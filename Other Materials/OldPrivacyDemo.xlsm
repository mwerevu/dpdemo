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6.xml" ContentType="application/vnd.openxmlformats-officedocument.drawing+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Ex2.xml" ContentType="application/vnd.ms-office.chartex+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18000" windowHeight="9780"/>
  </bookViews>
  <sheets>
    <sheet name="Intro" sheetId="12" r:id="rId1"/>
    <sheet name="Laplace Distribution Ex." sheetId="5" r:id="rId2"/>
    <sheet name="Test Firm Data" sheetId="1" r:id="rId3"/>
    <sheet name="Unprotected Summary" sheetId="6" r:id="rId4"/>
    <sheet name="Basic Laplace Implementation" sheetId="8" r:id="rId5"/>
    <sheet name="Naïve Employment Protection" sheetId="11" r:id="rId6"/>
    <sheet name="Better Employment Protection" sheetId="10" r:id="rId7"/>
    <sheet name="Smooth Laplace Parameter Limits" sheetId="13" r:id="rId8"/>
    <sheet name="Geometric Distribution Ex." sheetId="14" r:id="rId9"/>
  </sheets>
  <definedNames>
    <definedName name="_xlchart.v1.0" hidden="1">'Laplace Distribution Ex.'!$B$1</definedName>
    <definedName name="_xlchart.v1.1" hidden="1">'Laplace Distribution Ex.'!$B$2:$B$1001</definedName>
    <definedName name="_xlchart.v1.2" hidden="1">'Geometric Distribution Ex.'!$G$2:$G$1001</definedName>
    <definedName name="_xlchart.v1.3" hidden="1">'Geometric Distribution Ex.'!$B$2:$B$1001</definedName>
  </definedNames>
  <calcPr calcId="162913"/>
  <pivotCaches>
    <pivotCache cacheId="0" r:id="rId10"/>
    <pivotCache cacheId="1" r:id="rId11"/>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 i="14" l="1"/>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267" i="14"/>
  <c r="E268" i="14"/>
  <c r="E269" i="14"/>
  <c r="E270" i="14"/>
  <c r="E271" i="14"/>
  <c r="E272" i="14"/>
  <c r="E273" i="14"/>
  <c r="E274" i="14"/>
  <c r="E275" i="14"/>
  <c r="E276" i="14"/>
  <c r="E277" i="14"/>
  <c r="E278" i="14"/>
  <c r="E279" i="14"/>
  <c r="E280" i="14"/>
  <c r="E281" i="14"/>
  <c r="E282" i="14"/>
  <c r="E283" i="14"/>
  <c r="E284" i="14"/>
  <c r="E285" i="14"/>
  <c r="E286" i="14"/>
  <c r="E287" i="14"/>
  <c r="E288" i="14"/>
  <c r="E289" i="14"/>
  <c r="E290" i="14"/>
  <c r="E291" i="14"/>
  <c r="E292" i="14"/>
  <c r="E293" i="14"/>
  <c r="E294" i="14"/>
  <c r="E295" i="14"/>
  <c r="E296" i="14"/>
  <c r="E297" i="14"/>
  <c r="E298" i="14"/>
  <c r="E299" i="14"/>
  <c r="E300" i="14"/>
  <c r="E301" i="14"/>
  <c r="E302" i="14"/>
  <c r="E303" i="14"/>
  <c r="E304" i="14"/>
  <c r="E305" i="14"/>
  <c r="E306" i="14"/>
  <c r="E307" i="14"/>
  <c r="E308" i="14"/>
  <c r="E309" i="14"/>
  <c r="E310" i="14"/>
  <c r="E311" i="14"/>
  <c r="E312" i="14"/>
  <c r="E313" i="14"/>
  <c r="E314" i="14"/>
  <c r="E315" i="14"/>
  <c r="E316" i="14"/>
  <c r="E317" i="14"/>
  <c r="E318" i="14"/>
  <c r="E319" i="14"/>
  <c r="E320" i="14"/>
  <c r="E321" i="14"/>
  <c r="E322" i="14"/>
  <c r="E323" i="14"/>
  <c r="E324" i="14"/>
  <c r="E325" i="14"/>
  <c r="E326" i="14"/>
  <c r="E327" i="14"/>
  <c r="E328" i="14"/>
  <c r="E329" i="14"/>
  <c r="E330" i="14"/>
  <c r="E331" i="14"/>
  <c r="E332" i="14"/>
  <c r="E333" i="14"/>
  <c r="E334" i="14"/>
  <c r="E335" i="14"/>
  <c r="E336" i="14"/>
  <c r="E337" i="14"/>
  <c r="E338" i="14"/>
  <c r="E339" i="14"/>
  <c r="E340" i="14"/>
  <c r="E341" i="14"/>
  <c r="E342" i="14"/>
  <c r="E343" i="14"/>
  <c r="E344" i="14"/>
  <c r="E345" i="14"/>
  <c r="E346" i="14"/>
  <c r="E347" i="14"/>
  <c r="E348" i="14"/>
  <c r="E349" i="14"/>
  <c r="E350" i="14"/>
  <c r="E351" i="14"/>
  <c r="E352" i="14"/>
  <c r="E353" i="14"/>
  <c r="E354" i="14"/>
  <c r="E355" i="14"/>
  <c r="E356" i="14"/>
  <c r="E357" i="14"/>
  <c r="E358" i="14"/>
  <c r="E359" i="14"/>
  <c r="E360" i="14"/>
  <c r="E361" i="14"/>
  <c r="E362" i="14"/>
  <c r="E363" i="14"/>
  <c r="E364" i="14"/>
  <c r="E365" i="14"/>
  <c r="E366" i="14"/>
  <c r="E367" i="14"/>
  <c r="E368" i="14"/>
  <c r="E369" i="14"/>
  <c r="E370" i="14"/>
  <c r="E371" i="14"/>
  <c r="E372" i="14"/>
  <c r="E373" i="14"/>
  <c r="E374" i="14"/>
  <c r="E375" i="14"/>
  <c r="E376" i="14"/>
  <c r="E377" i="14"/>
  <c r="E378" i="14"/>
  <c r="E379" i="14"/>
  <c r="E380" i="14"/>
  <c r="E381" i="14"/>
  <c r="E382" i="14"/>
  <c r="E383" i="14"/>
  <c r="E384" i="14"/>
  <c r="E385" i="14"/>
  <c r="E386" i="14"/>
  <c r="E387" i="14"/>
  <c r="E388" i="14"/>
  <c r="E389" i="14"/>
  <c r="E390" i="14"/>
  <c r="E391" i="14"/>
  <c r="E392" i="14"/>
  <c r="E393" i="14"/>
  <c r="E394" i="14"/>
  <c r="E395" i="14"/>
  <c r="E396" i="14"/>
  <c r="E397" i="14"/>
  <c r="E398" i="14"/>
  <c r="E399" i="14"/>
  <c r="E400" i="14"/>
  <c r="E401" i="14"/>
  <c r="E402" i="14"/>
  <c r="E403" i="14"/>
  <c r="E404" i="14"/>
  <c r="E405" i="14"/>
  <c r="E406" i="14"/>
  <c r="E407" i="14"/>
  <c r="E408" i="14"/>
  <c r="E409" i="14"/>
  <c r="E410" i="14"/>
  <c r="E411" i="14"/>
  <c r="E412" i="14"/>
  <c r="E413" i="14"/>
  <c r="E414" i="14"/>
  <c r="E415" i="14"/>
  <c r="E416" i="14"/>
  <c r="E417" i="14"/>
  <c r="E418" i="14"/>
  <c r="E419" i="14"/>
  <c r="E420" i="14"/>
  <c r="E421" i="14"/>
  <c r="E422" i="14"/>
  <c r="E423" i="14"/>
  <c r="E424" i="14"/>
  <c r="E425" i="14"/>
  <c r="E426" i="14"/>
  <c r="E427" i="14"/>
  <c r="E428" i="14"/>
  <c r="E429" i="14"/>
  <c r="E430" i="14"/>
  <c r="E431" i="14"/>
  <c r="E432" i="14"/>
  <c r="E433" i="14"/>
  <c r="E434" i="14"/>
  <c r="E435" i="14"/>
  <c r="E436" i="14"/>
  <c r="E437" i="14"/>
  <c r="E438" i="14"/>
  <c r="E439" i="14"/>
  <c r="E440" i="14"/>
  <c r="E441" i="14"/>
  <c r="E442" i="14"/>
  <c r="E443" i="14"/>
  <c r="E444" i="14"/>
  <c r="E445" i="14"/>
  <c r="E446" i="14"/>
  <c r="E447" i="14"/>
  <c r="E448" i="14"/>
  <c r="E449" i="14"/>
  <c r="E450" i="14"/>
  <c r="E451" i="14"/>
  <c r="E452" i="14"/>
  <c r="E453" i="14"/>
  <c r="E454" i="14"/>
  <c r="E455" i="14"/>
  <c r="E456" i="14"/>
  <c r="E457" i="14"/>
  <c r="E458" i="14"/>
  <c r="E459" i="14"/>
  <c r="E460" i="14"/>
  <c r="E461" i="14"/>
  <c r="E462" i="14"/>
  <c r="E463" i="14"/>
  <c r="E464" i="14"/>
  <c r="E465" i="14"/>
  <c r="E466" i="14"/>
  <c r="E467" i="14"/>
  <c r="E468" i="14"/>
  <c r="E469" i="14"/>
  <c r="E470" i="14"/>
  <c r="E471" i="14"/>
  <c r="E472" i="14"/>
  <c r="E473" i="14"/>
  <c r="E474" i="14"/>
  <c r="E475" i="14"/>
  <c r="E476" i="14"/>
  <c r="E477" i="14"/>
  <c r="E478" i="14"/>
  <c r="E479" i="14"/>
  <c r="E480" i="14"/>
  <c r="E481" i="14"/>
  <c r="E482" i="14"/>
  <c r="E483" i="14"/>
  <c r="E484" i="14"/>
  <c r="E485" i="14"/>
  <c r="E486" i="14"/>
  <c r="E487" i="14"/>
  <c r="E488" i="14"/>
  <c r="E489" i="14"/>
  <c r="E490" i="14"/>
  <c r="E491" i="14"/>
  <c r="E492" i="14"/>
  <c r="E493" i="14"/>
  <c r="E494" i="14"/>
  <c r="E495" i="14"/>
  <c r="E496" i="14"/>
  <c r="E497" i="14"/>
  <c r="E498" i="14"/>
  <c r="E499" i="14"/>
  <c r="E500" i="14"/>
  <c r="E501" i="14"/>
  <c r="E502" i="14"/>
  <c r="E503" i="14"/>
  <c r="E504" i="14"/>
  <c r="E505" i="14"/>
  <c r="E506" i="14"/>
  <c r="E507" i="14"/>
  <c r="E508" i="14"/>
  <c r="E509" i="14"/>
  <c r="E510" i="14"/>
  <c r="E511" i="14"/>
  <c r="E512" i="14"/>
  <c r="E513" i="14"/>
  <c r="E514" i="14"/>
  <c r="E515" i="14"/>
  <c r="E516" i="14"/>
  <c r="E517" i="14"/>
  <c r="E518" i="14"/>
  <c r="E519" i="14"/>
  <c r="E520" i="14"/>
  <c r="E521" i="14"/>
  <c r="E522" i="14"/>
  <c r="E523" i="14"/>
  <c r="E524" i="14"/>
  <c r="E525" i="14"/>
  <c r="E526" i="14"/>
  <c r="E527" i="14"/>
  <c r="E528" i="14"/>
  <c r="E529" i="14"/>
  <c r="E530" i="14"/>
  <c r="E531" i="14"/>
  <c r="E532" i="14"/>
  <c r="E533" i="14"/>
  <c r="E534" i="14"/>
  <c r="E535" i="14"/>
  <c r="E536" i="14"/>
  <c r="E537" i="14"/>
  <c r="E538" i="14"/>
  <c r="E539" i="14"/>
  <c r="E540" i="14"/>
  <c r="E541" i="14"/>
  <c r="E542" i="14"/>
  <c r="E543" i="14"/>
  <c r="E544" i="14"/>
  <c r="E545" i="14"/>
  <c r="E546" i="14"/>
  <c r="E547" i="14"/>
  <c r="E548" i="14"/>
  <c r="E549" i="14"/>
  <c r="E550" i="14"/>
  <c r="E551" i="14"/>
  <c r="E552" i="14"/>
  <c r="E553" i="14"/>
  <c r="E554" i="14"/>
  <c r="E555" i="14"/>
  <c r="E556" i="14"/>
  <c r="E557" i="14"/>
  <c r="E558" i="14"/>
  <c r="E559" i="14"/>
  <c r="E560" i="14"/>
  <c r="E561" i="14"/>
  <c r="E562" i="14"/>
  <c r="E563" i="14"/>
  <c r="E564" i="14"/>
  <c r="E565" i="14"/>
  <c r="E566" i="14"/>
  <c r="E567" i="14"/>
  <c r="E568" i="14"/>
  <c r="E569" i="14"/>
  <c r="E570" i="14"/>
  <c r="E571" i="14"/>
  <c r="E572" i="14"/>
  <c r="E573" i="14"/>
  <c r="E574" i="14"/>
  <c r="E575" i="14"/>
  <c r="E576" i="14"/>
  <c r="E577" i="14"/>
  <c r="E578" i="14"/>
  <c r="E579" i="14"/>
  <c r="E580" i="14"/>
  <c r="E581" i="14"/>
  <c r="E582" i="14"/>
  <c r="E583" i="14"/>
  <c r="E584" i="14"/>
  <c r="E585" i="14"/>
  <c r="E586" i="14"/>
  <c r="E587" i="14"/>
  <c r="E588" i="14"/>
  <c r="E589" i="14"/>
  <c r="E590" i="14"/>
  <c r="E591" i="14"/>
  <c r="E592" i="14"/>
  <c r="E593" i="14"/>
  <c r="E594" i="14"/>
  <c r="E595" i="14"/>
  <c r="E596" i="14"/>
  <c r="E597" i="14"/>
  <c r="E598" i="14"/>
  <c r="E599" i="14"/>
  <c r="E600" i="14"/>
  <c r="E601" i="14"/>
  <c r="E602" i="14"/>
  <c r="E603" i="14"/>
  <c r="E604" i="14"/>
  <c r="E605" i="14"/>
  <c r="E606" i="14"/>
  <c r="E607" i="14"/>
  <c r="E608" i="14"/>
  <c r="E609" i="14"/>
  <c r="E610" i="14"/>
  <c r="E611" i="14"/>
  <c r="E612" i="14"/>
  <c r="E613" i="14"/>
  <c r="E614" i="14"/>
  <c r="E615" i="14"/>
  <c r="E616" i="14"/>
  <c r="E617" i="14"/>
  <c r="E618" i="14"/>
  <c r="E619" i="14"/>
  <c r="E620" i="14"/>
  <c r="E621" i="14"/>
  <c r="E622" i="14"/>
  <c r="E623" i="14"/>
  <c r="E624" i="14"/>
  <c r="E625" i="14"/>
  <c r="E626" i="14"/>
  <c r="E627" i="14"/>
  <c r="E628" i="14"/>
  <c r="E629" i="14"/>
  <c r="E630" i="14"/>
  <c r="E631" i="14"/>
  <c r="E632" i="14"/>
  <c r="E633" i="14"/>
  <c r="E634" i="14"/>
  <c r="E635" i="14"/>
  <c r="E636" i="14"/>
  <c r="E637" i="14"/>
  <c r="E638" i="14"/>
  <c r="E639" i="14"/>
  <c r="E640" i="14"/>
  <c r="E641" i="14"/>
  <c r="E642" i="14"/>
  <c r="E643" i="14"/>
  <c r="E644" i="14"/>
  <c r="E645" i="14"/>
  <c r="E646" i="14"/>
  <c r="E647" i="14"/>
  <c r="E648" i="14"/>
  <c r="E649" i="14"/>
  <c r="E650" i="14"/>
  <c r="E651" i="14"/>
  <c r="E652" i="14"/>
  <c r="E653" i="14"/>
  <c r="E654" i="14"/>
  <c r="E655" i="14"/>
  <c r="E656" i="14"/>
  <c r="E657" i="14"/>
  <c r="E658" i="14"/>
  <c r="E659" i="14"/>
  <c r="E660" i="14"/>
  <c r="E661" i="14"/>
  <c r="E662" i="14"/>
  <c r="E663" i="14"/>
  <c r="E664" i="14"/>
  <c r="E665" i="14"/>
  <c r="E666" i="14"/>
  <c r="E667" i="14"/>
  <c r="E668" i="14"/>
  <c r="E669" i="14"/>
  <c r="E670" i="14"/>
  <c r="E671" i="14"/>
  <c r="E672" i="14"/>
  <c r="E673" i="14"/>
  <c r="E674" i="14"/>
  <c r="E675" i="14"/>
  <c r="E676" i="14"/>
  <c r="E677" i="14"/>
  <c r="E678" i="14"/>
  <c r="E679" i="14"/>
  <c r="E680" i="14"/>
  <c r="E681" i="14"/>
  <c r="E682" i="14"/>
  <c r="E683" i="14"/>
  <c r="E684" i="14"/>
  <c r="E685" i="14"/>
  <c r="E686" i="14"/>
  <c r="E687" i="14"/>
  <c r="E688" i="14"/>
  <c r="E689" i="14"/>
  <c r="E690" i="14"/>
  <c r="E691" i="14"/>
  <c r="E692" i="14"/>
  <c r="E693" i="14"/>
  <c r="E694" i="14"/>
  <c r="E695" i="14"/>
  <c r="E696" i="14"/>
  <c r="E697" i="14"/>
  <c r="E698" i="14"/>
  <c r="E699" i="14"/>
  <c r="E700" i="14"/>
  <c r="E701" i="14"/>
  <c r="E702" i="14"/>
  <c r="E703" i="14"/>
  <c r="E704" i="14"/>
  <c r="E705" i="14"/>
  <c r="E706" i="14"/>
  <c r="E707" i="14"/>
  <c r="E708" i="14"/>
  <c r="E709" i="14"/>
  <c r="E710" i="14"/>
  <c r="E711" i="14"/>
  <c r="E712" i="14"/>
  <c r="E713" i="14"/>
  <c r="E714" i="14"/>
  <c r="E715" i="14"/>
  <c r="E716" i="14"/>
  <c r="E717" i="14"/>
  <c r="E718" i="14"/>
  <c r="E719" i="14"/>
  <c r="E720" i="14"/>
  <c r="E721" i="14"/>
  <c r="E722" i="14"/>
  <c r="E723" i="14"/>
  <c r="E724" i="14"/>
  <c r="E725" i="14"/>
  <c r="E726" i="14"/>
  <c r="E727" i="14"/>
  <c r="E728" i="14"/>
  <c r="E729" i="14"/>
  <c r="E730" i="14"/>
  <c r="E731" i="14"/>
  <c r="E732" i="14"/>
  <c r="E733" i="14"/>
  <c r="E734" i="14"/>
  <c r="E735" i="14"/>
  <c r="E736" i="14"/>
  <c r="E737" i="14"/>
  <c r="E738" i="14"/>
  <c r="E739" i="14"/>
  <c r="E740" i="14"/>
  <c r="E741" i="14"/>
  <c r="E742" i="14"/>
  <c r="E743" i="14"/>
  <c r="E744" i="14"/>
  <c r="E745" i="14"/>
  <c r="E746" i="14"/>
  <c r="E747" i="14"/>
  <c r="E748" i="14"/>
  <c r="E749" i="14"/>
  <c r="E750" i="14"/>
  <c r="E751" i="14"/>
  <c r="E752" i="14"/>
  <c r="E753" i="14"/>
  <c r="E754" i="14"/>
  <c r="E755" i="14"/>
  <c r="E756" i="14"/>
  <c r="E757" i="14"/>
  <c r="E758" i="14"/>
  <c r="E759" i="14"/>
  <c r="E760" i="14"/>
  <c r="E761" i="14"/>
  <c r="E762" i="14"/>
  <c r="E763" i="14"/>
  <c r="E764" i="14"/>
  <c r="E765" i="14"/>
  <c r="E766" i="14"/>
  <c r="E767" i="14"/>
  <c r="E768" i="14"/>
  <c r="E769" i="14"/>
  <c r="E770" i="14"/>
  <c r="E771" i="14"/>
  <c r="E772" i="14"/>
  <c r="E773" i="14"/>
  <c r="E774" i="14"/>
  <c r="E775" i="14"/>
  <c r="E776" i="14"/>
  <c r="E777" i="14"/>
  <c r="E778" i="14"/>
  <c r="E779" i="14"/>
  <c r="E780" i="14"/>
  <c r="E781" i="14"/>
  <c r="E782" i="14"/>
  <c r="E783" i="14"/>
  <c r="E784" i="14"/>
  <c r="E785" i="14"/>
  <c r="E786" i="14"/>
  <c r="E787" i="14"/>
  <c r="E788" i="14"/>
  <c r="E789" i="14"/>
  <c r="E790" i="14"/>
  <c r="E791" i="14"/>
  <c r="E792" i="14"/>
  <c r="E793" i="14"/>
  <c r="E794" i="14"/>
  <c r="E795" i="14"/>
  <c r="E796" i="14"/>
  <c r="E797" i="14"/>
  <c r="E798" i="14"/>
  <c r="E799" i="14"/>
  <c r="E800" i="14"/>
  <c r="E801" i="14"/>
  <c r="E802" i="14"/>
  <c r="E803" i="14"/>
  <c r="E804" i="14"/>
  <c r="E805" i="14"/>
  <c r="E806" i="14"/>
  <c r="E807" i="14"/>
  <c r="E808" i="14"/>
  <c r="E809" i="14"/>
  <c r="E810" i="14"/>
  <c r="E811" i="14"/>
  <c r="E812" i="14"/>
  <c r="E813" i="14"/>
  <c r="E814" i="14"/>
  <c r="E815" i="14"/>
  <c r="E816" i="14"/>
  <c r="E817" i="14"/>
  <c r="E818" i="14"/>
  <c r="E819" i="14"/>
  <c r="E820" i="14"/>
  <c r="E821" i="14"/>
  <c r="E822" i="14"/>
  <c r="E823" i="14"/>
  <c r="E824" i="14"/>
  <c r="E825" i="14"/>
  <c r="E826" i="14"/>
  <c r="E827" i="14"/>
  <c r="E828" i="14"/>
  <c r="E829" i="14"/>
  <c r="E830" i="14"/>
  <c r="E831" i="14"/>
  <c r="E832" i="14"/>
  <c r="E833" i="14"/>
  <c r="E834" i="14"/>
  <c r="E835" i="14"/>
  <c r="E836" i="14"/>
  <c r="E837" i="14"/>
  <c r="E838" i="14"/>
  <c r="E839" i="14"/>
  <c r="E840" i="14"/>
  <c r="E841" i="14"/>
  <c r="E842" i="14"/>
  <c r="E843" i="14"/>
  <c r="E844" i="14"/>
  <c r="E845" i="14"/>
  <c r="E846" i="14"/>
  <c r="E847" i="14"/>
  <c r="E848" i="14"/>
  <c r="E849" i="14"/>
  <c r="E850" i="14"/>
  <c r="E851" i="14"/>
  <c r="E852" i="14"/>
  <c r="E853" i="14"/>
  <c r="E854" i="14"/>
  <c r="E855" i="14"/>
  <c r="E856" i="14"/>
  <c r="E857" i="14"/>
  <c r="E858" i="14"/>
  <c r="E859" i="14"/>
  <c r="E860" i="14"/>
  <c r="E861" i="14"/>
  <c r="E862" i="14"/>
  <c r="E863" i="14"/>
  <c r="E864" i="14"/>
  <c r="E865" i="14"/>
  <c r="E866" i="14"/>
  <c r="E867" i="14"/>
  <c r="E868" i="14"/>
  <c r="E869" i="14"/>
  <c r="E870" i="14"/>
  <c r="E871" i="14"/>
  <c r="E872" i="14"/>
  <c r="E873" i="14"/>
  <c r="E874" i="14"/>
  <c r="E875" i="14"/>
  <c r="E876" i="14"/>
  <c r="E877" i="14"/>
  <c r="E878" i="14"/>
  <c r="E879" i="14"/>
  <c r="E880" i="14"/>
  <c r="E881" i="14"/>
  <c r="E882" i="14"/>
  <c r="E883" i="14"/>
  <c r="E884" i="14"/>
  <c r="E885" i="14"/>
  <c r="E886" i="14"/>
  <c r="E887" i="14"/>
  <c r="E888" i="14"/>
  <c r="E889" i="14"/>
  <c r="E890" i="14"/>
  <c r="E891" i="14"/>
  <c r="E892" i="14"/>
  <c r="E893" i="14"/>
  <c r="E894" i="14"/>
  <c r="E895" i="14"/>
  <c r="E896" i="14"/>
  <c r="E897" i="14"/>
  <c r="E898" i="14"/>
  <c r="E899" i="14"/>
  <c r="E900" i="14"/>
  <c r="E901" i="14"/>
  <c r="E902" i="14"/>
  <c r="E903" i="14"/>
  <c r="E904" i="14"/>
  <c r="E905" i="14"/>
  <c r="E906" i="14"/>
  <c r="E907" i="14"/>
  <c r="E908" i="14"/>
  <c r="E909" i="14"/>
  <c r="E910" i="14"/>
  <c r="E911" i="14"/>
  <c r="E912" i="14"/>
  <c r="E913" i="14"/>
  <c r="E914" i="14"/>
  <c r="E915" i="14"/>
  <c r="E916" i="14"/>
  <c r="E917" i="14"/>
  <c r="E918" i="14"/>
  <c r="E919" i="14"/>
  <c r="E920" i="14"/>
  <c r="E921" i="14"/>
  <c r="E922" i="14"/>
  <c r="E923" i="14"/>
  <c r="E924" i="14"/>
  <c r="E925" i="14"/>
  <c r="E926" i="14"/>
  <c r="E927" i="14"/>
  <c r="E928" i="14"/>
  <c r="E929" i="14"/>
  <c r="E930" i="14"/>
  <c r="E931" i="14"/>
  <c r="E932" i="14"/>
  <c r="E933" i="14"/>
  <c r="E934" i="14"/>
  <c r="E935" i="14"/>
  <c r="E936" i="14"/>
  <c r="E937" i="14"/>
  <c r="E938" i="14"/>
  <c r="E939" i="14"/>
  <c r="E940" i="14"/>
  <c r="E941" i="14"/>
  <c r="E942" i="14"/>
  <c r="E943" i="14"/>
  <c r="E944" i="14"/>
  <c r="E945" i="14"/>
  <c r="E946" i="14"/>
  <c r="E947" i="14"/>
  <c r="E948" i="14"/>
  <c r="E949" i="14"/>
  <c r="E950" i="14"/>
  <c r="E951" i="14"/>
  <c r="E952" i="14"/>
  <c r="E953" i="14"/>
  <c r="E954" i="14"/>
  <c r="E955" i="14"/>
  <c r="E956" i="14"/>
  <c r="E957" i="14"/>
  <c r="E958" i="14"/>
  <c r="E959" i="14"/>
  <c r="E960" i="14"/>
  <c r="E961" i="14"/>
  <c r="E962" i="14"/>
  <c r="E963" i="14"/>
  <c r="E964" i="14"/>
  <c r="E965" i="14"/>
  <c r="E966" i="14"/>
  <c r="E967" i="14"/>
  <c r="E968" i="14"/>
  <c r="E969" i="14"/>
  <c r="E970" i="14"/>
  <c r="E971" i="14"/>
  <c r="E972" i="14"/>
  <c r="E973" i="14"/>
  <c r="E974" i="14"/>
  <c r="E975" i="14"/>
  <c r="E976" i="14"/>
  <c r="E977" i="14"/>
  <c r="E978" i="14"/>
  <c r="E979" i="14"/>
  <c r="E980" i="14"/>
  <c r="E981" i="14"/>
  <c r="E982" i="14"/>
  <c r="E983" i="14"/>
  <c r="E984" i="14"/>
  <c r="E985" i="14"/>
  <c r="E986" i="14"/>
  <c r="E987" i="14"/>
  <c r="E988" i="14"/>
  <c r="E989" i="14"/>
  <c r="E990" i="14"/>
  <c r="E991" i="14"/>
  <c r="E992" i="14"/>
  <c r="E993" i="14"/>
  <c r="E994" i="14"/>
  <c r="E995" i="14"/>
  <c r="E996" i="14"/>
  <c r="E997" i="14"/>
  <c r="E998" i="14"/>
  <c r="E999" i="14"/>
  <c r="E1000" i="14"/>
  <c r="E1001" i="14"/>
  <c r="E2" i="14"/>
  <c r="F1" i="14"/>
  <c r="A3" i="14"/>
  <c r="A4" i="14"/>
  <c r="A5" i="14"/>
  <c r="A6" i="14"/>
  <c r="A7" i="14"/>
  <c r="A8" i="14"/>
  <c r="A9" i="14"/>
  <c r="A10" i="14"/>
  <c r="A11" i="14"/>
  <c r="A12" i="14"/>
  <c r="A13" i="14"/>
  <c r="A14" i="14"/>
  <c r="A15" i="14"/>
  <c r="A16" i="14"/>
  <c r="A17" i="14"/>
  <c r="A18" i="14"/>
  <c r="A19" i="14"/>
  <c r="A20" i="14"/>
  <c r="A21" i="14"/>
  <c r="A22" i="14"/>
  <c r="A23" i="14"/>
  <c r="A24" i="14"/>
  <c r="A25" i="14"/>
  <c r="A26" i="14"/>
  <c r="A27" i="14"/>
  <c r="A28" i="14"/>
  <c r="A29" i="14"/>
  <c r="A30" i="14"/>
  <c r="A31" i="14"/>
  <c r="A32" i="14"/>
  <c r="A33" i="14"/>
  <c r="A34" i="14"/>
  <c r="A35" i="14"/>
  <c r="A36" i="14"/>
  <c r="A37" i="14"/>
  <c r="A38" i="14"/>
  <c r="A39" i="14"/>
  <c r="A40" i="14"/>
  <c r="A41" i="14"/>
  <c r="A42" i="14"/>
  <c r="A43" i="14"/>
  <c r="A44" i="14"/>
  <c r="A45" i="14"/>
  <c r="A46" i="14"/>
  <c r="A47" i="14"/>
  <c r="A48" i="14"/>
  <c r="A49" i="14"/>
  <c r="A50" i="14"/>
  <c r="A51" i="14"/>
  <c r="A52" i="14"/>
  <c r="A53" i="14"/>
  <c r="A54" i="14"/>
  <c r="A55" i="14"/>
  <c r="A56" i="14"/>
  <c r="A57" i="14"/>
  <c r="A58" i="14"/>
  <c r="A59" i="14"/>
  <c r="A60" i="14"/>
  <c r="A61" i="14"/>
  <c r="A62" i="14"/>
  <c r="A63" i="14"/>
  <c r="A64" i="14"/>
  <c r="A65" i="14"/>
  <c r="A66" i="14"/>
  <c r="A67" i="14"/>
  <c r="A68" i="14"/>
  <c r="A69" i="14"/>
  <c r="A70" i="14"/>
  <c r="A71" i="14"/>
  <c r="A72" i="14"/>
  <c r="A73" i="14"/>
  <c r="A74" i="14"/>
  <c r="A75" i="14"/>
  <c r="A76" i="14"/>
  <c r="A77" i="14"/>
  <c r="A78" i="14"/>
  <c r="A79" i="14"/>
  <c r="A80" i="14"/>
  <c r="A81" i="14"/>
  <c r="A82" i="14"/>
  <c r="A83" i="14"/>
  <c r="A84" i="14"/>
  <c r="A85" i="14"/>
  <c r="A86" i="14"/>
  <c r="A87" i="14"/>
  <c r="A88" i="14"/>
  <c r="A89" i="14"/>
  <c r="A90" i="14"/>
  <c r="A91" i="14"/>
  <c r="A92" i="14"/>
  <c r="A93" i="14"/>
  <c r="A94" i="14"/>
  <c r="A95" i="14"/>
  <c r="A96" i="14"/>
  <c r="A97" i="14"/>
  <c r="A98" i="14"/>
  <c r="A99" i="14"/>
  <c r="A100" i="14"/>
  <c r="A101" i="14"/>
  <c r="A102" i="14"/>
  <c r="A103" i="14"/>
  <c r="A104" i="14"/>
  <c r="A105" i="14"/>
  <c r="A106" i="14"/>
  <c r="A107" i="14"/>
  <c r="A108" i="14"/>
  <c r="A109" i="14"/>
  <c r="A110" i="14"/>
  <c r="A111" i="14"/>
  <c r="A112" i="14"/>
  <c r="A113" i="14"/>
  <c r="A114" i="14"/>
  <c r="A115" i="14"/>
  <c r="A116" i="14"/>
  <c r="A117" i="14"/>
  <c r="A118" i="14"/>
  <c r="A119" i="14"/>
  <c r="A120" i="14"/>
  <c r="A121" i="14"/>
  <c r="A122" i="14"/>
  <c r="A123" i="14"/>
  <c r="A124" i="14"/>
  <c r="A125" i="14"/>
  <c r="A126" i="14"/>
  <c r="A127" i="14"/>
  <c r="A128" i="14"/>
  <c r="A129" i="14"/>
  <c r="A130" i="14"/>
  <c r="A131" i="14"/>
  <c r="A132" i="14"/>
  <c r="A133" i="14"/>
  <c r="A134" i="14"/>
  <c r="A135" i="14"/>
  <c r="A136" i="14"/>
  <c r="A137" i="14"/>
  <c r="A138" i="14"/>
  <c r="A139" i="14"/>
  <c r="A140" i="14"/>
  <c r="A141" i="14"/>
  <c r="A142" i="14"/>
  <c r="A143" i="14"/>
  <c r="A144" i="14"/>
  <c r="A145" i="14"/>
  <c r="A146" i="14"/>
  <c r="A147" i="14"/>
  <c r="A148" i="14"/>
  <c r="A149" i="14"/>
  <c r="A150" i="14"/>
  <c r="A151" i="14"/>
  <c r="A152" i="14"/>
  <c r="A153" i="14"/>
  <c r="A154" i="14"/>
  <c r="A155" i="14"/>
  <c r="A156" i="14"/>
  <c r="A157" i="14"/>
  <c r="A158" i="14"/>
  <c r="A159" i="14"/>
  <c r="A160" i="14"/>
  <c r="A161" i="14"/>
  <c r="A162" i="14"/>
  <c r="A163" i="14"/>
  <c r="A164" i="14"/>
  <c r="A165" i="14"/>
  <c r="A166" i="14"/>
  <c r="A167" i="14"/>
  <c r="A168" i="14"/>
  <c r="A169" i="14"/>
  <c r="A170" i="14"/>
  <c r="A171" i="14"/>
  <c r="A172" i="14"/>
  <c r="A173" i="14"/>
  <c r="A174" i="14"/>
  <c r="A175" i="14"/>
  <c r="A176" i="14"/>
  <c r="A177" i="14"/>
  <c r="A178" i="14"/>
  <c r="A179" i="14"/>
  <c r="A180" i="14"/>
  <c r="A181" i="14"/>
  <c r="A182" i="14"/>
  <c r="A183" i="14"/>
  <c r="A184" i="14"/>
  <c r="A185" i="14"/>
  <c r="A186" i="14"/>
  <c r="A187" i="14"/>
  <c r="A188" i="14"/>
  <c r="A189" i="14"/>
  <c r="A190" i="14"/>
  <c r="A191" i="14"/>
  <c r="A192" i="14"/>
  <c r="A193" i="14"/>
  <c r="A194" i="14"/>
  <c r="A195" i="14"/>
  <c r="A196" i="14"/>
  <c r="A197" i="14"/>
  <c r="A198" i="14"/>
  <c r="A199" i="14"/>
  <c r="A200" i="14"/>
  <c r="A201" i="14"/>
  <c r="A202" i="14"/>
  <c r="A203" i="14"/>
  <c r="A204" i="14"/>
  <c r="A205" i="14"/>
  <c r="A206" i="14"/>
  <c r="A207" i="14"/>
  <c r="A208" i="14"/>
  <c r="A209" i="14"/>
  <c r="A210" i="14"/>
  <c r="A211" i="14"/>
  <c r="A212" i="14"/>
  <c r="A213" i="14"/>
  <c r="A214" i="14"/>
  <c r="A215" i="14"/>
  <c r="A216" i="14"/>
  <c r="A217" i="14"/>
  <c r="A218" i="14"/>
  <c r="A219" i="14"/>
  <c r="A220" i="14"/>
  <c r="A221" i="14"/>
  <c r="A222" i="14"/>
  <c r="A223" i="14"/>
  <c r="A224" i="14"/>
  <c r="A225" i="14"/>
  <c r="A226" i="14"/>
  <c r="A227" i="14"/>
  <c r="A228" i="14"/>
  <c r="A229" i="14"/>
  <c r="A230" i="14"/>
  <c r="A231" i="14"/>
  <c r="A232" i="14"/>
  <c r="A233" i="14"/>
  <c r="A234" i="14"/>
  <c r="A235" i="14"/>
  <c r="A236" i="14"/>
  <c r="A237" i="14"/>
  <c r="A238" i="14"/>
  <c r="A239" i="14"/>
  <c r="A240" i="14"/>
  <c r="A241" i="14"/>
  <c r="A242" i="14"/>
  <c r="A243" i="14"/>
  <c r="A244" i="14"/>
  <c r="A245" i="14"/>
  <c r="A246" i="14"/>
  <c r="A247" i="14"/>
  <c r="A248" i="14"/>
  <c r="A249" i="14"/>
  <c r="A250" i="14"/>
  <c r="A251" i="14"/>
  <c r="A252" i="14"/>
  <c r="A253" i="14"/>
  <c r="A254" i="14"/>
  <c r="A255" i="14"/>
  <c r="A256" i="14"/>
  <c r="A257" i="14"/>
  <c r="A258" i="14"/>
  <c r="A259" i="14"/>
  <c r="A260" i="14"/>
  <c r="A261" i="14"/>
  <c r="A262" i="14"/>
  <c r="A263" i="14"/>
  <c r="A264" i="14"/>
  <c r="A265" i="14"/>
  <c r="A266" i="14"/>
  <c r="A267" i="14"/>
  <c r="A268" i="14"/>
  <c r="A269" i="14"/>
  <c r="A270" i="14"/>
  <c r="A271" i="14"/>
  <c r="A272" i="14"/>
  <c r="A273" i="14"/>
  <c r="A274" i="14"/>
  <c r="A275" i="14"/>
  <c r="A276" i="14"/>
  <c r="A277" i="14"/>
  <c r="A278" i="14"/>
  <c r="A279" i="14"/>
  <c r="A280" i="14"/>
  <c r="A281" i="14"/>
  <c r="A282" i="14"/>
  <c r="A283" i="14"/>
  <c r="A284" i="14"/>
  <c r="A285" i="14"/>
  <c r="A286" i="14"/>
  <c r="A287" i="14"/>
  <c r="A288" i="14"/>
  <c r="A289" i="14"/>
  <c r="A290" i="14"/>
  <c r="A291" i="14"/>
  <c r="A292" i="14"/>
  <c r="A293" i="14"/>
  <c r="A294" i="14"/>
  <c r="A295" i="14"/>
  <c r="A296" i="14"/>
  <c r="A297" i="14"/>
  <c r="A298" i="14"/>
  <c r="A299" i="14"/>
  <c r="A300" i="14"/>
  <c r="A301" i="14"/>
  <c r="A302" i="14"/>
  <c r="A303" i="14"/>
  <c r="A304" i="14"/>
  <c r="A305" i="14"/>
  <c r="A306" i="14"/>
  <c r="A307" i="14"/>
  <c r="A308" i="14"/>
  <c r="A309" i="14"/>
  <c r="A310" i="14"/>
  <c r="A311" i="14"/>
  <c r="A312" i="14"/>
  <c r="A313" i="14"/>
  <c r="A314" i="14"/>
  <c r="A315" i="14"/>
  <c r="A316" i="14"/>
  <c r="A317" i="14"/>
  <c r="A318" i="14"/>
  <c r="A319" i="14"/>
  <c r="A320" i="14"/>
  <c r="A321" i="14"/>
  <c r="A322" i="14"/>
  <c r="A323" i="14"/>
  <c r="A324" i="14"/>
  <c r="A325" i="14"/>
  <c r="A326" i="14"/>
  <c r="A327" i="14"/>
  <c r="A328" i="14"/>
  <c r="A329" i="14"/>
  <c r="A330" i="14"/>
  <c r="A331" i="14"/>
  <c r="A332" i="14"/>
  <c r="A333" i="14"/>
  <c r="A334" i="14"/>
  <c r="A335" i="14"/>
  <c r="A336" i="14"/>
  <c r="A337" i="14"/>
  <c r="A338" i="14"/>
  <c r="A339" i="14"/>
  <c r="A340" i="14"/>
  <c r="A341" i="14"/>
  <c r="A342" i="14"/>
  <c r="A343" i="14"/>
  <c r="A344" i="14"/>
  <c r="A345" i="14"/>
  <c r="A346" i="14"/>
  <c r="A347" i="14"/>
  <c r="A348" i="14"/>
  <c r="A349" i="14"/>
  <c r="A350" i="14"/>
  <c r="A351" i="14"/>
  <c r="A352" i="14"/>
  <c r="A353" i="14"/>
  <c r="A354" i="14"/>
  <c r="A355" i="14"/>
  <c r="A356" i="14"/>
  <c r="A357" i="14"/>
  <c r="A358" i="14"/>
  <c r="A359" i="14"/>
  <c r="A360" i="14"/>
  <c r="A361" i="14"/>
  <c r="A362" i="14"/>
  <c r="A363" i="14"/>
  <c r="A364" i="14"/>
  <c r="A365" i="14"/>
  <c r="A366" i="14"/>
  <c r="A367" i="14"/>
  <c r="A368" i="14"/>
  <c r="A369" i="14"/>
  <c r="A370" i="14"/>
  <c r="A371" i="14"/>
  <c r="A372" i="14"/>
  <c r="A373" i="14"/>
  <c r="A374" i="14"/>
  <c r="A375" i="14"/>
  <c r="A376" i="14"/>
  <c r="A377" i="14"/>
  <c r="A378" i="14"/>
  <c r="A379" i="14"/>
  <c r="A380" i="14"/>
  <c r="A381" i="14"/>
  <c r="A382" i="14"/>
  <c r="A383" i="14"/>
  <c r="A384" i="14"/>
  <c r="A385" i="14"/>
  <c r="A386" i="14"/>
  <c r="A387" i="14"/>
  <c r="A388" i="14"/>
  <c r="A389" i="14"/>
  <c r="A390" i="14"/>
  <c r="A391" i="14"/>
  <c r="A392" i="14"/>
  <c r="A393" i="14"/>
  <c r="A394" i="14"/>
  <c r="A395" i="14"/>
  <c r="A396" i="14"/>
  <c r="A397" i="14"/>
  <c r="A398" i="14"/>
  <c r="A399" i="14"/>
  <c r="A400" i="14"/>
  <c r="A401" i="14"/>
  <c r="A402" i="14"/>
  <c r="A403" i="14"/>
  <c r="A404" i="14"/>
  <c r="A405" i="14"/>
  <c r="A406" i="14"/>
  <c r="A407" i="14"/>
  <c r="A408" i="14"/>
  <c r="A409" i="14"/>
  <c r="A410" i="14"/>
  <c r="A411" i="14"/>
  <c r="A412" i="14"/>
  <c r="A413" i="14"/>
  <c r="A414" i="14"/>
  <c r="A415" i="14"/>
  <c r="A416" i="14"/>
  <c r="A417" i="14"/>
  <c r="A418" i="14"/>
  <c r="A419" i="14"/>
  <c r="A420" i="14"/>
  <c r="A421" i="14"/>
  <c r="A422" i="14"/>
  <c r="A423" i="14"/>
  <c r="A424" i="14"/>
  <c r="A425" i="14"/>
  <c r="A426" i="14"/>
  <c r="A427" i="14"/>
  <c r="A428" i="14"/>
  <c r="A429" i="14"/>
  <c r="A430" i="14"/>
  <c r="A431" i="14"/>
  <c r="A432" i="14"/>
  <c r="A433" i="14"/>
  <c r="A434" i="14"/>
  <c r="A435" i="14"/>
  <c r="A436" i="14"/>
  <c r="A437" i="14"/>
  <c r="A438" i="14"/>
  <c r="A439" i="14"/>
  <c r="A440" i="14"/>
  <c r="A441" i="14"/>
  <c r="A442" i="14"/>
  <c r="A443" i="14"/>
  <c r="A444" i="14"/>
  <c r="A445" i="14"/>
  <c r="A446" i="14"/>
  <c r="A447" i="14"/>
  <c r="A448" i="14"/>
  <c r="A449" i="14"/>
  <c r="A450" i="14"/>
  <c r="A451" i="14"/>
  <c r="A452" i="14"/>
  <c r="A453" i="14"/>
  <c r="A454" i="14"/>
  <c r="A455" i="14"/>
  <c r="A456" i="14"/>
  <c r="A457" i="14"/>
  <c r="A458" i="14"/>
  <c r="A459" i="14"/>
  <c r="A460" i="14"/>
  <c r="A461" i="14"/>
  <c r="A462" i="14"/>
  <c r="A463" i="14"/>
  <c r="A464" i="14"/>
  <c r="A465" i="14"/>
  <c r="A466" i="14"/>
  <c r="A467" i="14"/>
  <c r="A468" i="14"/>
  <c r="A469" i="14"/>
  <c r="A470" i="14"/>
  <c r="A471" i="14"/>
  <c r="A472" i="14"/>
  <c r="A473" i="14"/>
  <c r="A474" i="14"/>
  <c r="A475" i="14"/>
  <c r="A476" i="14"/>
  <c r="A477" i="14"/>
  <c r="A478" i="14"/>
  <c r="A479" i="14"/>
  <c r="A480" i="14"/>
  <c r="A481" i="14"/>
  <c r="A482" i="14"/>
  <c r="A483" i="14"/>
  <c r="A484" i="14"/>
  <c r="A485" i="14"/>
  <c r="A486" i="14"/>
  <c r="A487" i="14"/>
  <c r="A488" i="14"/>
  <c r="A489" i="14"/>
  <c r="A490" i="14"/>
  <c r="A491" i="14"/>
  <c r="A492" i="14"/>
  <c r="A493" i="14"/>
  <c r="A494" i="14"/>
  <c r="A495" i="14"/>
  <c r="A496" i="14"/>
  <c r="A497" i="14"/>
  <c r="A498" i="14"/>
  <c r="A499" i="14"/>
  <c r="A500" i="14"/>
  <c r="A501" i="14"/>
  <c r="A502" i="14"/>
  <c r="A503" i="14"/>
  <c r="A504" i="14"/>
  <c r="A505" i="14"/>
  <c r="A506" i="14"/>
  <c r="A507" i="14"/>
  <c r="A508" i="14"/>
  <c r="A509" i="14"/>
  <c r="A510" i="14"/>
  <c r="A511" i="14"/>
  <c r="A512" i="14"/>
  <c r="A513" i="14"/>
  <c r="A514" i="14"/>
  <c r="A515" i="14"/>
  <c r="A516" i="14"/>
  <c r="A517" i="14"/>
  <c r="A518" i="14"/>
  <c r="A519" i="14"/>
  <c r="A520" i="14"/>
  <c r="A521" i="14"/>
  <c r="A522" i="14"/>
  <c r="A523" i="14"/>
  <c r="A524" i="14"/>
  <c r="A525" i="14"/>
  <c r="A526" i="14"/>
  <c r="A527" i="14"/>
  <c r="A528" i="14"/>
  <c r="A529" i="14"/>
  <c r="A530" i="14"/>
  <c r="A531" i="14"/>
  <c r="A532" i="14"/>
  <c r="A533" i="14"/>
  <c r="A534" i="14"/>
  <c r="A535" i="14"/>
  <c r="A536" i="14"/>
  <c r="A537" i="14"/>
  <c r="A538" i="14"/>
  <c r="A539" i="14"/>
  <c r="A540" i="14"/>
  <c r="A541" i="14"/>
  <c r="A542" i="14"/>
  <c r="A543" i="14"/>
  <c r="A544" i="14"/>
  <c r="A545" i="14"/>
  <c r="A546" i="14"/>
  <c r="A547" i="14"/>
  <c r="A548" i="14"/>
  <c r="A549" i="14"/>
  <c r="A550" i="14"/>
  <c r="A551" i="14"/>
  <c r="A552" i="14"/>
  <c r="A553" i="14"/>
  <c r="A554" i="14"/>
  <c r="A555" i="14"/>
  <c r="A556" i="14"/>
  <c r="A557" i="14"/>
  <c r="A558" i="14"/>
  <c r="A559" i="14"/>
  <c r="A560" i="14"/>
  <c r="A561" i="14"/>
  <c r="A562" i="14"/>
  <c r="A563" i="14"/>
  <c r="A564" i="14"/>
  <c r="A565" i="14"/>
  <c r="A566" i="14"/>
  <c r="A567" i="14"/>
  <c r="A568" i="14"/>
  <c r="A569" i="14"/>
  <c r="A570" i="14"/>
  <c r="A571" i="14"/>
  <c r="A572" i="14"/>
  <c r="A573" i="14"/>
  <c r="A574" i="14"/>
  <c r="A575" i="14"/>
  <c r="A576" i="14"/>
  <c r="A577" i="14"/>
  <c r="A578" i="14"/>
  <c r="A579" i="14"/>
  <c r="A580" i="14"/>
  <c r="A581" i="14"/>
  <c r="A582" i="14"/>
  <c r="A583" i="14"/>
  <c r="A584" i="14"/>
  <c r="A585" i="14"/>
  <c r="A586" i="14"/>
  <c r="A587" i="14"/>
  <c r="A588" i="14"/>
  <c r="A589" i="14"/>
  <c r="A590" i="14"/>
  <c r="A591" i="14"/>
  <c r="A592" i="14"/>
  <c r="A593" i="14"/>
  <c r="A594" i="14"/>
  <c r="A595" i="14"/>
  <c r="A596" i="14"/>
  <c r="A597" i="14"/>
  <c r="A598" i="14"/>
  <c r="A599" i="14"/>
  <c r="A600" i="14"/>
  <c r="A601" i="14"/>
  <c r="A602" i="14"/>
  <c r="A603" i="14"/>
  <c r="A604" i="14"/>
  <c r="A605" i="14"/>
  <c r="A606" i="14"/>
  <c r="A607" i="14"/>
  <c r="A608" i="14"/>
  <c r="A609" i="14"/>
  <c r="A610" i="14"/>
  <c r="A611" i="14"/>
  <c r="A612" i="14"/>
  <c r="A613" i="14"/>
  <c r="A614" i="14"/>
  <c r="A615" i="14"/>
  <c r="A616" i="14"/>
  <c r="A617" i="14"/>
  <c r="A618" i="14"/>
  <c r="A619" i="14"/>
  <c r="A620" i="14"/>
  <c r="A621" i="14"/>
  <c r="A622" i="14"/>
  <c r="A623" i="14"/>
  <c r="A624" i="14"/>
  <c r="A625" i="14"/>
  <c r="A626" i="14"/>
  <c r="A627" i="14"/>
  <c r="A628" i="14"/>
  <c r="A629" i="14"/>
  <c r="A630" i="14"/>
  <c r="A631" i="14"/>
  <c r="A632" i="14"/>
  <c r="A633" i="14"/>
  <c r="A634" i="14"/>
  <c r="A635" i="14"/>
  <c r="A636" i="14"/>
  <c r="A637" i="14"/>
  <c r="A638" i="14"/>
  <c r="A639" i="14"/>
  <c r="A640" i="14"/>
  <c r="A641" i="14"/>
  <c r="A642" i="14"/>
  <c r="A643" i="14"/>
  <c r="A644" i="14"/>
  <c r="A645" i="14"/>
  <c r="A646" i="14"/>
  <c r="A647" i="14"/>
  <c r="A648" i="14"/>
  <c r="A649" i="14"/>
  <c r="A650" i="14"/>
  <c r="A651" i="14"/>
  <c r="A652" i="14"/>
  <c r="A653" i="14"/>
  <c r="A654" i="14"/>
  <c r="A655" i="14"/>
  <c r="A656" i="14"/>
  <c r="A657" i="14"/>
  <c r="A658" i="14"/>
  <c r="A659" i="14"/>
  <c r="A660" i="14"/>
  <c r="A661" i="14"/>
  <c r="A662" i="14"/>
  <c r="A663" i="14"/>
  <c r="A664" i="14"/>
  <c r="A665" i="14"/>
  <c r="A666" i="14"/>
  <c r="A667" i="14"/>
  <c r="A668" i="14"/>
  <c r="A669" i="14"/>
  <c r="A670" i="14"/>
  <c r="A671" i="14"/>
  <c r="A672" i="14"/>
  <c r="A673" i="14"/>
  <c r="A674" i="14"/>
  <c r="A675" i="14"/>
  <c r="A676" i="14"/>
  <c r="A677" i="14"/>
  <c r="A678" i="14"/>
  <c r="A679" i="14"/>
  <c r="A680" i="14"/>
  <c r="A681" i="14"/>
  <c r="A682" i="14"/>
  <c r="A683" i="14"/>
  <c r="A684" i="14"/>
  <c r="A685" i="14"/>
  <c r="A686" i="14"/>
  <c r="A687" i="14"/>
  <c r="A688" i="14"/>
  <c r="A689" i="14"/>
  <c r="A690" i="14"/>
  <c r="A691" i="14"/>
  <c r="A692" i="14"/>
  <c r="A693" i="14"/>
  <c r="A694" i="14"/>
  <c r="A695" i="14"/>
  <c r="A696" i="14"/>
  <c r="A697" i="14"/>
  <c r="A698" i="14"/>
  <c r="A699" i="14"/>
  <c r="A700" i="14"/>
  <c r="A701" i="14"/>
  <c r="A702" i="14"/>
  <c r="A703" i="14"/>
  <c r="A704" i="14"/>
  <c r="A705" i="14"/>
  <c r="A706" i="14"/>
  <c r="A707" i="14"/>
  <c r="A708" i="14"/>
  <c r="A709" i="14"/>
  <c r="A710" i="14"/>
  <c r="A711" i="14"/>
  <c r="A712" i="14"/>
  <c r="A713" i="14"/>
  <c r="A714" i="14"/>
  <c r="A715" i="14"/>
  <c r="A716" i="14"/>
  <c r="A717" i="14"/>
  <c r="A718" i="14"/>
  <c r="A719" i="14"/>
  <c r="A720" i="14"/>
  <c r="A721" i="14"/>
  <c r="A722" i="14"/>
  <c r="A723" i="14"/>
  <c r="A724" i="14"/>
  <c r="A725" i="14"/>
  <c r="A726" i="14"/>
  <c r="A727" i="14"/>
  <c r="A728" i="14"/>
  <c r="A729" i="14"/>
  <c r="A730" i="14"/>
  <c r="A731" i="14"/>
  <c r="A732" i="14"/>
  <c r="A733" i="14"/>
  <c r="A734" i="14"/>
  <c r="A735" i="14"/>
  <c r="A736" i="14"/>
  <c r="A737" i="14"/>
  <c r="A738" i="14"/>
  <c r="A739" i="14"/>
  <c r="A740" i="14"/>
  <c r="A741" i="14"/>
  <c r="A742" i="14"/>
  <c r="A743" i="14"/>
  <c r="A744" i="14"/>
  <c r="A745" i="14"/>
  <c r="A746" i="14"/>
  <c r="A747" i="14"/>
  <c r="A748" i="14"/>
  <c r="A749" i="14"/>
  <c r="A750" i="14"/>
  <c r="A751" i="14"/>
  <c r="A752" i="14"/>
  <c r="A753" i="14"/>
  <c r="A754" i="14"/>
  <c r="A755" i="14"/>
  <c r="A756" i="14"/>
  <c r="A757" i="14"/>
  <c r="A758" i="14"/>
  <c r="A759" i="14"/>
  <c r="A760" i="14"/>
  <c r="A761" i="14"/>
  <c r="A762" i="14"/>
  <c r="A763" i="14"/>
  <c r="A764" i="14"/>
  <c r="A765" i="14"/>
  <c r="A766" i="14"/>
  <c r="A767" i="14"/>
  <c r="A768" i="14"/>
  <c r="A769" i="14"/>
  <c r="A770" i="14"/>
  <c r="A771" i="14"/>
  <c r="A772" i="14"/>
  <c r="A773" i="14"/>
  <c r="A774" i="14"/>
  <c r="A775" i="14"/>
  <c r="A776" i="14"/>
  <c r="A777" i="14"/>
  <c r="A778" i="14"/>
  <c r="A779" i="14"/>
  <c r="A780" i="14"/>
  <c r="A781" i="14"/>
  <c r="A782" i="14"/>
  <c r="A783" i="14"/>
  <c r="A784" i="14"/>
  <c r="A785" i="14"/>
  <c r="A786" i="14"/>
  <c r="A787" i="14"/>
  <c r="A788" i="14"/>
  <c r="A789" i="14"/>
  <c r="A790" i="14"/>
  <c r="A791" i="14"/>
  <c r="A792" i="14"/>
  <c r="A793" i="14"/>
  <c r="A794" i="14"/>
  <c r="A795" i="14"/>
  <c r="A796" i="14"/>
  <c r="A797" i="14"/>
  <c r="A798" i="14"/>
  <c r="A799" i="14"/>
  <c r="A800" i="14"/>
  <c r="A801" i="14"/>
  <c r="A802" i="14"/>
  <c r="A803" i="14"/>
  <c r="A804" i="14"/>
  <c r="A805" i="14"/>
  <c r="A806" i="14"/>
  <c r="A807" i="14"/>
  <c r="A808" i="14"/>
  <c r="A809" i="14"/>
  <c r="A810" i="14"/>
  <c r="A811" i="14"/>
  <c r="A812" i="14"/>
  <c r="A813" i="14"/>
  <c r="A814" i="14"/>
  <c r="A815" i="14"/>
  <c r="A816" i="14"/>
  <c r="A817" i="14"/>
  <c r="A818" i="14"/>
  <c r="A819" i="14"/>
  <c r="A820" i="14"/>
  <c r="A821" i="14"/>
  <c r="A822" i="14"/>
  <c r="A823" i="14"/>
  <c r="A824" i="14"/>
  <c r="A825" i="14"/>
  <c r="A826" i="14"/>
  <c r="A827" i="14"/>
  <c r="A828" i="14"/>
  <c r="A829" i="14"/>
  <c r="A830" i="14"/>
  <c r="A831" i="14"/>
  <c r="A832" i="14"/>
  <c r="A833" i="14"/>
  <c r="A834" i="14"/>
  <c r="A835" i="14"/>
  <c r="A836" i="14"/>
  <c r="A837" i="14"/>
  <c r="A838" i="14"/>
  <c r="A839" i="14"/>
  <c r="A840" i="14"/>
  <c r="A841" i="14"/>
  <c r="A842" i="14"/>
  <c r="A843" i="14"/>
  <c r="A844" i="14"/>
  <c r="A845" i="14"/>
  <c r="A846" i="14"/>
  <c r="A847" i="14"/>
  <c r="A848" i="14"/>
  <c r="A849" i="14"/>
  <c r="A850" i="14"/>
  <c r="A851" i="14"/>
  <c r="A852" i="14"/>
  <c r="A853" i="14"/>
  <c r="A854" i="14"/>
  <c r="A855" i="14"/>
  <c r="A856" i="14"/>
  <c r="A857" i="14"/>
  <c r="A858" i="14"/>
  <c r="A859" i="14"/>
  <c r="A860" i="14"/>
  <c r="A861" i="14"/>
  <c r="A862" i="14"/>
  <c r="A863" i="14"/>
  <c r="A864" i="14"/>
  <c r="A865" i="14"/>
  <c r="A866" i="14"/>
  <c r="A867" i="14"/>
  <c r="A868" i="14"/>
  <c r="A869" i="14"/>
  <c r="A870" i="14"/>
  <c r="A871" i="14"/>
  <c r="A872" i="14"/>
  <c r="A873" i="14"/>
  <c r="A874" i="14"/>
  <c r="A875" i="14"/>
  <c r="A876" i="14"/>
  <c r="A877" i="14"/>
  <c r="A878" i="14"/>
  <c r="A879" i="14"/>
  <c r="A880" i="14"/>
  <c r="A881" i="14"/>
  <c r="A882" i="14"/>
  <c r="A883" i="14"/>
  <c r="A884" i="14"/>
  <c r="A885" i="14"/>
  <c r="A886" i="14"/>
  <c r="A887" i="14"/>
  <c r="A888" i="14"/>
  <c r="A889" i="14"/>
  <c r="A890" i="14"/>
  <c r="A891" i="14"/>
  <c r="A892" i="14"/>
  <c r="A893" i="14"/>
  <c r="A894" i="14"/>
  <c r="A895" i="14"/>
  <c r="A896" i="14"/>
  <c r="A897" i="14"/>
  <c r="A898" i="14"/>
  <c r="A899" i="14"/>
  <c r="A900" i="14"/>
  <c r="A901" i="14"/>
  <c r="A902" i="14"/>
  <c r="A903" i="14"/>
  <c r="A904" i="14"/>
  <c r="A905" i="14"/>
  <c r="A906" i="14"/>
  <c r="A907" i="14"/>
  <c r="A908" i="14"/>
  <c r="A909" i="14"/>
  <c r="A910" i="14"/>
  <c r="A911" i="14"/>
  <c r="A912" i="14"/>
  <c r="A913" i="14"/>
  <c r="A914" i="14"/>
  <c r="A915" i="14"/>
  <c r="A916" i="14"/>
  <c r="A917" i="14"/>
  <c r="A918" i="14"/>
  <c r="A919" i="14"/>
  <c r="A920" i="14"/>
  <c r="A921" i="14"/>
  <c r="A922" i="14"/>
  <c r="A923" i="14"/>
  <c r="A924" i="14"/>
  <c r="A925" i="14"/>
  <c r="A926" i="14"/>
  <c r="A927" i="14"/>
  <c r="A928" i="14"/>
  <c r="A929" i="14"/>
  <c r="A930" i="14"/>
  <c r="A931" i="14"/>
  <c r="A932" i="14"/>
  <c r="A933" i="14"/>
  <c r="A934" i="14"/>
  <c r="A935" i="14"/>
  <c r="A936" i="14"/>
  <c r="A937" i="14"/>
  <c r="A938" i="14"/>
  <c r="A939" i="14"/>
  <c r="A940" i="14"/>
  <c r="A941" i="14"/>
  <c r="A942" i="14"/>
  <c r="A943" i="14"/>
  <c r="A944" i="14"/>
  <c r="A945" i="14"/>
  <c r="A946" i="14"/>
  <c r="A947" i="14"/>
  <c r="A948" i="14"/>
  <c r="A949" i="14"/>
  <c r="A950" i="14"/>
  <c r="A951" i="14"/>
  <c r="A952" i="14"/>
  <c r="A953" i="14"/>
  <c r="A954" i="14"/>
  <c r="A955" i="14"/>
  <c r="A956" i="14"/>
  <c r="A957" i="14"/>
  <c r="A958" i="14"/>
  <c r="A959" i="14"/>
  <c r="A960" i="14"/>
  <c r="A961" i="14"/>
  <c r="A962" i="14"/>
  <c r="A963" i="14"/>
  <c r="A964" i="14"/>
  <c r="A965" i="14"/>
  <c r="A966" i="14"/>
  <c r="A967" i="14"/>
  <c r="A968" i="14"/>
  <c r="A969" i="14"/>
  <c r="A970" i="14"/>
  <c r="A971" i="14"/>
  <c r="A972" i="14"/>
  <c r="A973" i="14"/>
  <c r="A974" i="14"/>
  <c r="A975" i="14"/>
  <c r="A976" i="14"/>
  <c r="A977" i="14"/>
  <c r="A978" i="14"/>
  <c r="A979" i="14"/>
  <c r="A980" i="14"/>
  <c r="A981" i="14"/>
  <c r="A982" i="14"/>
  <c r="A983" i="14"/>
  <c r="A984" i="14"/>
  <c r="A985" i="14"/>
  <c r="A986" i="14"/>
  <c r="A987" i="14"/>
  <c r="A988" i="14"/>
  <c r="A989" i="14"/>
  <c r="A990" i="14"/>
  <c r="A991" i="14"/>
  <c r="A992" i="14"/>
  <c r="A993" i="14"/>
  <c r="A994" i="14"/>
  <c r="A995" i="14"/>
  <c r="A996" i="14"/>
  <c r="A997" i="14"/>
  <c r="A998" i="14"/>
  <c r="A999" i="14"/>
  <c r="A1000" i="14"/>
  <c r="A1001" i="14"/>
  <c r="B1" i="14"/>
  <c r="AE4" i="14"/>
  <c r="AF4" i="14" s="1"/>
  <c r="A2" i="14"/>
  <c r="AE5" i="14" l="1"/>
  <c r="AE6" i="14"/>
  <c r="AF6" i="14" s="1"/>
  <c r="AF5" i="14"/>
  <c r="AE7" i="14" l="1"/>
  <c r="AF7" i="14" s="1"/>
  <c r="AE8" i="14"/>
  <c r="AF8" i="14" s="1"/>
  <c r="AE9" i="14" l="1"/>
  <c r="AF9" i="14" s="1"/>
  <c r="AE10" i="14" l="1"/>
  <c r="AF10" i="14" s="1"/>
  <c r="AE11" i="14" l="1"/>
  <c r="AF11" i="14" s="1"/>
  <c r="AE12" i="14" l="1"/>
  <c r="AF12" i="14" s="1"/>
  <c r="AE13" i="14" l="1"/>
  <c r="AF13" i="14" s="1"/>
  <c r="AE14" i="14" l="1"/>
  <c r="AF14" i="14" s="1"/>
  <c r="E54" i="10"/>
  <c r="F54" i="10" s="1"/>
  <c r="E55" i="10"/>
  <c r="F55" i="10" s="1"/>
  <c r="E56" i="10"/>
  <c r="F56" i="10" s="1"/>
  <c r="E57" i="10"/>
  <c r="F57" i="10" s="1"/>
  <c r="E58" i="10"/>
  <c r="F58" i="10" s="1"/>
  <c r="E59" i="10"/>
  <c r="F59" i="10" s="1"/>
  <c r="E60" i="10"/>
  <c r="F60" i="10" s="1"/>
  <c r="E53" i="10"/>
  <c r="F53" i="10" s="1"/>
  <c r="E28" i="10"/>
  <c r="F28" i="10" s="1"/>
  <c r="E29" i="10"/>
  <c r="F29" i="10" s="1"/>
  <c r="E30" i="10"/>
  <c r="F30" i="10" s="1"/>
  <c r="E31" i="10"/>
  <c r="F31" i="10" s="1"/>
  <c r="E32" i="10"/>
  <c r="F32" i="10" s="1"/>
  <c r="E33" i="10"/>
  <c r="F33" i="10" s="1"/>
  <c r="E34" i="10"/>
  <c r="F34" i="10" s="1"/>
  <c r="E35" i="10"/>
  <c r="F35" i="10" s="1"/>
  <c r="E36" i="10"/>
  <c r="F36" i="10" s="1"/>
  <c r="E37" i="10"/>
  <c r="F37" i="10" s="1"/>
  <c r="E38" i="10"/>
  <c r="F38" i="10" s="1"/>
  <c r="E39" i="10"/>
  <c r="F39" i="10" s="1"/>
  <c r="E40" i="10"/>
  <c r="F40" i="10" s="1"/>
  <c r="E41" i="10"/>
  <c r="F41" i="10" s="1"/>
  <c r="E42" i="10"/>
  <c r="F42" i="10" s="1"/>
  <c r="E43" i="10"/>
  <c r="F43" i="10" s="1"/>
  <c r="E44" i="10"/>
  <c r="F44" i="10" s="1"/>
  <c r="E45" i="10"/>
  <c r="F45" i="10" s="1"/>
  <c r="E46" i="10"/>
  <c r="F46" i="10" s="1"/>
  <c r="E27" i="10"/>
  <c r="F27" i="10" s="1"/>
  <c r="B1" i="5"/>
  <c r="A3" i="5"/>
  <c r="B3" i="5" s="1"/>
  <c r="A4" i="5"/>
  <c r="B4" i="5" s="1"/>
  <c r="A5" i="5"/>
  <c r="B5" i="5" s="1"/>
  <c r="A6" i="5"/>
  <c r="B6" i="5" s="1"/>
  <c r="A7" i="5"/>
  <c r="B7" i="5" s="1"/>
  <c r="A8" i="5"/>
  <c r="B8" i="5" s="1"/>
  <c r="A9" i="5"/>
  <c r="B9" i="5" s="1"/>
  <c r="A10" i="5"/>
  <c r="B10" i="5" s="1"/>
  <c r="A11" i="5"/>
  <c r="B11" i="5" s="1"/>
  <c r="A12" i="5"/>
  <c r="B12" i="5" s="1"/>
  <c r="A13" i="5"/>
  <c r="B13" i="5" s="1"/>
  <c r="A14" i="5"/>
  <c r="B14" i="5" s="1"/>
  <c r="A15" i="5"/>
  <c r="B15" i="5" s="1"/>
  <c r="A16" i="5"/>
  <c r="B16" i="5" s="1"/>
  <c r="A17" i="5"/>
  <c r="B17" i="5" s="1"/>
  <c r="A18" i="5"/>
  <c r="B18" i="5" s="1"/>
  <c r="A19" i="5"/>
  <c r="B19" i="5" s="1"/>
  <c r="A20" i="5"/>
  <c r="B20" i="5" s="1"/>
  <c r="A21" i="5"/>
  <c r="B21" i="5" s="1"/>
  <c r="A22" i="5"/>
  <c r="B22" i="5" s="1"/>
  <c r="A23" i="5"/>
  <c r="B23" i="5" s="1"/>
  <c r="A24" i="5"/>
  <c r="B24" i="5" s="1"/>
  <c r="A25" i="5"/>
  <c r="B25" i="5" s="1"/>
  <c r="A26" i="5"/>
  <c r="B26" i="5" s="1"/>
  <c r="A27" i="5"/>
  <c r="B27" i="5" s="1"/>
  <c r="A28" i="5"/>
  <c r="B28" i="5" s="1"/>
  <c r="A29" i="5"/>
  <c r="B29" i="5" s="1"/>
  <c r="A30" i="5"/>
  <c r="B30" i="5" s="1"/>
  <c r="A31" i="5"/>
  <c r="B31" i="5" s="1"/>
  <c r="A32" i="5"/>
  <c r="B32" i="5" s="1"/>
  <c r="A33" i="5"/>
  <c r="B33" i="5" s="1"/>
  <c r="A34" i="5"/>
  <c r="B34" i="5" s="1"/>
  <c r="A35" i="5"/>
  <c r="B35" i="5" s="1"/>
  <c r="A36" i="5"/>
  <c r="B36" i="5" s="1"/>
  <c r="A37" i="5"/>
  <c r="B37" i="5" s="1"/>
  <c r="A38" i="5"/>
  <c r="B38" i="5" s="1"/>
  <c r="A39" i="5"/>
  <c r="B39" i="5" s="1"/>
  <c r="A40" i="5"/>
  <c r="B40" i="5" s="1"/>
  <c r="A41" i="5"/>
  <c r="B41" i="5" s="1"/>
  <c r="A42" i="5"/>
  <c r="B42" i="5" s="1"/>
  <c r="A43" i="5"/>
  <c r="B43" i="5" s="1"/>
  <c r="A44" i="5"/>
  <c r="B44" i="5" s="1"/>
  <c r="A45" i="5"/>
  <c r="B45" i="5" s="1"/>
  <c r="A46" i="5"/>
  <c r="B46" i="5" s="1"/>
  <c r="A47" i="5"/>
  <c r="B47" i="5" s="1"/>
  <c r="A48" i="5"/>
  <c r="B48" i="5" s="1"/>
  <c r="A49" i="5"/>
  <c r="B49" i="5" s="1"/>
  <c r="A50" i="5"/>
  <c r="B50" i="5" s="1"/>
  <c r="A51" i="5"/>
  <c r="B51" i="5" s="1"/>
  <c r="A52" i="5"/>
  <c r="B52" i="5" s="1"/>
  <c r="A53" i="5"/>
  <c r="B53" i="5" s="1"/>
  <c r="A54" i="5"/>
  <c r="B54" i="5" s="1"/>
  <c r="A55" i="5"/>
  <c r="B55" i="5" s="1"/>
  <c r="A56" i="5"/>
  <c r="B56" i="5" s="1"/>
  <c r="A57" i="5"/>
  <c r="B57" i="5" s="1"/>
  <c r="A58" i="5"/>
  <c r="B58" i="5" s="1"/>
  <c r="A59" i="5"/>
  <c r="B59" i="5" s="1"/>
  <c r="A60" i="5"/>
  <c r="B60" i="5" s="1"/>
  <c r="A61" i="5"/>
  <c r="B61" i="5" s="1"/>
  <c r="A62" i="5"/>
  <c r="B62" i="5" s="1"/>
  <c r="A63" i="5"/>
  <c r="B63" i="5" s="1"/>
  <c r="A64" i="5"/>
  <c r="B64" i="5" s="1"/>
  <c r="A65" i="5"/>
  <c r="B65" i="5" s="1"/>
  <c r="A66" i="5"/>
  <c r="B66" i="5" s="1"/>
  <c r="A67" i="5"/>
  <c r="B67" i="5" s="1"/>
  <c r="A68" i="5"/>
  <c r="B68" i="5" s="1"/>
  <c r="A69" i="5"/>
  <c r="B69" i="5" s="1"/>
  <c r="A70" i="5"/>
  <c r="B70" i="5" s="1"/>
  <c r="A71" i="5"/>
  <c r="B71" i="5" s="1"/>
  <c r="A72" i="5"/>
  <c r="B72" i="5" s="1"/>
  <c r="A73" i="5"/>
  <c r="B73" i="5" s="1"/>
  <c r="A74" i="5"/>
  <c r="B74" i="5" s="1"/>
  <c r="A75" i="5"/>
  <c r="B75" i="5" s="1"/>
  <c r="A76" i="5"/>
  <c r="B76" i="5" s="1"/>
  <c r="A77" i="5"/>
  <c r="B77" i="5" s="1"/>
  <c r="A78" i="5"/>
  <c r="B78" i="5" s="1"/>
  <c r="A79" i="5"/>
  <c r="B79" i="5" s="1"/>
  <c r="A80" i="5"/>
  <c r="B80" i="5" s="1"/>
  <c r="A81" i="5"/>
  <c r="B81" i="5" s="1"/>
  <c r="A82" i="5"/>
  <c r="B82" i="5" s="1"/>
  <c r="A83" i="5"/>
  <c r="B83" i="5" s="1"/>
  <c r="A84" i="5"/>
  <c r="B84" i="5" s="1"/>
  <c r="A85" i="5"/>
  <c r="B85" i="5" s="1"/>
  <c r="A86" i="5"/>
  <c r="B86" i="5" s="1"/>
  <c r="A87" i="5"/>
  <c r="B87" i="5" s="1"/>
  <c r="A88" i="5"/>
  <c r="B88" i="5" s="1"/>
  <c r="A89" i="5"/>
  <c r="B89" i="5" s="1"/>
  <c r="A90" i="5"/>
  <c r="B90" i="5" s="1"/>
  <c r="A91" i="5"/>
  <c r="B91" i="5" s="1"/>
  <c r="A92" i="5"/>
  <c r="B92" i="5" s="1"/>
  <c r="A93" i="5"/>
  <c r="B93" i="5" s="1"/>
  <c r="A94" i="5"/>
  <c r="B94" i="5" s="1"/>
  <c r="A95" i="5"/>
  <c r="B95" i="5" s="1"/>
  <c r="A96" i="5"/>
  <c r="B96" i="5" s="1"/>
  <c r="A97" i="5"/>
  <c r="B97" i="5" s="1"/>
  <c r="A98" i="5"/>
  <c r="B98" i="5" s="1"/>
  <c r="A99" i="5"/>
  <c r="B99" i="5" s="1"/>
  <c r="A100" i="5"/>
  <c r="B100" i="5" s="1"/>
  <c r="A101" i="5"/>
  <c r="B101" i="5" s="1"/>
  <c r="A102" i="5"/>
  <c r="B102" i="5" s="1"/>
  <c r="A103" i="5"/>
  <c r="B103" i="5" s="1"/>
  <c r="A104" i="5"/>
  <c r="B104" i="5" s="1"/>
  <c r="A105" i="5"/>
  <c r="B105" i="5" s="1"/>
  <c r="A106" i="5"/>
  <c r="B106" i="5" s="1"/>
  <c r="A107" i="5"/>
  <c r="B107" i="5" s="1"/>
  <c r="A108" i="5"/>
  <c r="B108" i="5" s="1"/>
  <c r="A109" i="5"/>
  <c r="B109" i="5" s="1"/>
  <c r="A110" i="5"/>
  <c r="B110" i="5" s="1"/>
  <c r="A111" i="5"/>
  <c r="B111" i="5" s="1"/>
  <c r="A112" i="5"/>
  <c r="B112" i="5" s="1"/>
  <c r="A113" i="5"/>
  <c r="B113" i="5" s="1"/>
  <c r="A114" i="5"/>
  <c r="B114" i="5" s="1"/>
  <c r="A115" i="5"/>
  <c r="B115" i="5" s="1"/>
  <c r="A116" i="5"/>
  <c r="B116" i="5" s="1"/>
  <c r="A117" i="5"/>
  <c r="B117" i="5" s="1"/>
  <c r="A118" i="5"/>
  <c r="B118" i="5" s="1"/>
  <c r="A119" i="5"/>
  <c r="B119" i="5" s="1"/>
  <c r="A120" i="5"/>
  <c r="B120" i="5" s="1"/>
  <c r="A121" i="5"/>
  <c r="B121" i="5" s="1"/>
  <c r="A122" i="5"/>
  <c r="B122" i="5" s="1"/>
  <c r="A123" i="5"/>
  <c r="B123" i="5" s="1"/>
  <c r="A124" i="5"/>
  <c r="B124" i="5" s="1"/>
  <c r="A125" i="5"/>
  <c r="B125" i="5" s="1"/>
  <c r="A126" i="5"/>
  <c r="B126" i="5" s="1"/>
  <c r="A127" i="5"/>
  <c r="B127" i="5" s="1"/>
  <c r="A128" i="5"/>
  <c r="B128" i="5" s="1"/>
  <c r="A129" i="5"/>
  <c r="B129" i="5" s="1"/>
  <c r="A130" i="5"/>
  <c r="B130" i="5" s="1"/>
  <c r="A131" i="5"/>
  <c r="B131" i="5" s="1"/>
  <c r="A132" i="5"/>
  <c r="B132" i="5" s="1"/>
  <c r="A133" i="5"/>
  <c r="B133" i="5" s="1"/>
  <c r="A134" i="5"/>
  <c r="B134" i="5" s="1"/>
  <c r="A135" i="5"/>
  <c r="B135" i="5" s="1"/>
  <c r="A136" i="5"/>
  <c r="B136" i="5" s="1"/>
  <c r="A137" i="5"/>
  <c r="B137" i="5" s="1"/>
  <c r="A138" i="5"/>
  <c r="B138" i="5" s="1"/>
  <c r="A139" i="5"/>
  <c r="B139" i="5" s="1"/>
  <c r="A140" i="5"/>
  <c r="B140" i="5" s="1"/>
  <c r="A141" i="5"/>
  <c r="B141" i="5" s="1"/>
  <c r="A142" i="5"/>
  <c r="B142" i="5" s="1"/>
  <c r="A143" i="5"/>
  <c r="B143" i="5" s="1"/>
  <c r="A144" i="5"/>
  <c r="B144" i="5" s="1"/>
  <c r="A145" i="5"/>
  <c r="B145" i="5" s="1"/>
  <c r="A146" i="5"/>
  <c r="B146" i="5" s="1"/>
  <c r="A147" i="5"/>
  <c r="B147" i="5" s="1"/>
  <c r="A148" i="5"/>
  <c r="B148" i="5" s="1"/>
  <c r="A149" i="5"/>
  <c r="B149" i="5" s="1"/>
  <c r="A150" i="5"/>
  <c r="B150" i="5" s="1"/>
  <c r="A151" i="5"/>
  <c r="B151" i="5" s="1"/>
  <c r="A152" i="5"/>
  <c r="B152" i="5" s="1"/>
  <c r="A153" i="5"/>
  <c r="B153" i="5" s="1"/>
  <c r="A154" i="5"/>
  <c r="B154" i="5" s="1"/>
  <c r="A155" i="5"/>
  <c r="B155" i="5" s="1"/>
  <c r="A156" i="5"/>
  <c r="B156" i="5" s="1"/>
  <c r="A157" i="5"/>
  <c r="B157" i="5" s="1"/>
  <c r="A158" i="5"/>
  <c r="B158" i="5" s="1"/>
  <c r="A159" i="5"/>
  <c r="B159" i="5" s="1"/>
  <c r="A160" i="5"/>
  <c r="B160" i="5" s="1"/>
  <c r="A161" i="5"/>
  <c r="B161" i="5" s="1"/>
  <c r="A162" i="5"/>
  <c r="B162" i="5" s="1"/>
  <c r="A163" i="5"/>
  <c r="B163" i="5" s="1"/>
  <c r="A164" i="5"/>
  <c r="B164" i="5" s="1"/>
  <c r="A165" i="5"/>
  <c r="B165" i="5" s="1"/>
  <c r="A166" i="5"/>
  <c r="B166" i="5" s="1"/>
  <c r="A167" i="5"/>
  <c r="B167" i="5" s="1"/>
  <c r="A168" i="5"/>
  <c r="B168" i="5" s="1"/>
  <c r="A169" i="5"/>
  <c r="B169" i="5" s="1"/>
  <c r="A170" i="5"/>
  <c r="B170" i="5" s="1"/>
  <c r="A171" i="5"/>
  <c r="B171" i="5" s="1"/>
  <c r="A172" i="5"/>
  <c r="B172" i="5" s="1"/>
  <c r="A173" i="5"/>
  <c r="B173" i="5" s="1"/>
  <c r="A174" i="5"/>
  <c r="B174" i="5" s="1"/>
  <c r="A175" i="5"/>
  <c r="B175" i="5" s="1"/>
  <c r="A176" i="5"/>
  <c r="B176" i="5" s="1"/>
  <c r="A177" i="5"/>
  <c r="B177" i="5" s="1"/>
  <c r="A178" i="5"/>
  <c r="B178" i="5" s="1"/>
  <c r="A179" i="5"/>
  <c r="B179" i="5" s="1"/>
  <c r="A180" i="5"/>
  <c r="B180" i="5" s="1"/>
  <c r="A181" i="5"/>
  <c r="B181" i="5" s="1"/>
  <c r="A182" i="5"/>
  <c r="B182" i="5" s="1"/>
  <c r="A183" i="5"/>
  <c r="B183" i="5" s="1"/>
  <c r="A184" i="5"/>
  <c r="B184" i="5" s="1"/>
  <c r="A185" i="5"/>
  <c r="B185" i="5" s="1"/>
  <c r="A186" i="5"/>
  <c r="B186" i="5" s="1"/>
  <c r="A187" i="5"/>
  <c r="B187" i="5" s="1"/>
  <c r="A188" i="5"/>
  <c r="B188" i="5" s="1"/>
  <c r="A189" i="5"/>
  <c r="B189" i="5" s="1"/>
  <c r="A190" i="5"/>
  <c r="B190" i="5" s="1"/>
  <c r="A191" i="5"/>
  <c r="B191" i="5" s="1"/>
  <c r="A192" i="5"/>
  <c r="B192" i="5" s="1"/>
  <c r="A193" i="5"/>
  <c r="B193" i="5" s="1"/>
  <c r="A194" i="5"/>
  <c r="B194" i="5" s="1"/>
  <c r="A195" i="5"/>
  <c r="B195" i="5" s="1"/>
  <c r="A196" i="5"/>
  <c r="B196" i="5" s="1"/>
  <c r="A197" i="5"/>
  <c r="B197" i="5" s="1"/>
  <c r="A198" i="5"/>
  <c r="B198" i="5" s="1"/>
  <c r="A199" i="5"/>
  <c r="B199" i="5" s="1"/>
  <c r="A200" i="5"/>
  <c r="B200" i="5" s="1"/>
  <c r="A201" i="5"/>
  <c r="B201" i="5" s="1"/>
  <c r="A202" i="5"/>
  <c r="B202" i="5" s="1"/>
  <c r="A203" i="5"/>
  <c r="B203" i="5" s="1"/>
  <c r="A204" i="5"/>
  <c r="B204" i="5" s="1"/>
  <c r="A205" i="5"/>
  <c r="B205" i="5" s="1"/>
  <c r="A206" i="5"/>
  <c r="B206" i="5" s="1"/>
  <c r="A207" i="5"/>
  <c r="B207" i="5" s="1"/>
  <c r="A208" i="5"/>
  <c r="B208" i="5" s="1"/>
  <c r="A209" i="5"/>
  <c r="B209" i="5" s="1"/>
  <c r="A210" i="5"/>
  <c r="B210" i="5" s="1"/>
  <c r="A211" i="5"/>
  <c r="B211" i="5" s="1"/>
  <c r="A212" i="5"/>
  <c r="B212" i="5" s="1"/>
  <c r="A213" i="5"/>
  <c r="B213" i="5" s="1"/>
  <c r="A214" i="5"/>
  <c r="B214" i="5" s="1"/>
  <c r="A215" i="5"/>
  <c r="B215" i="5" s="1"/>
  <c r="A216" i="5"/>
  <c r="B216" i="5" s="1"/>
  <c r="A217" i="5"/>
  <c r="B217" i="5" s="1"/>
  <c r="A218" i="5"/>
  <c r="B218" i="5" s="1"/>
  <c r="A219" i="5"/>
  <c r="B219" i="5" s="1"/>
  <c r="A220" i="5"/>
  <c r="B220" i="5" s="1"/>
  <c r="A221" i="5"/>
  <c r="B221" i="5" s="1"/>
  <c r="A222" i="5"/>
  <c r="B222" i="5" s="1"/>
  <c r="A223" i="5"/>
  <c r="B223" i="5" s="1"/>
  <c r="A224" i="5"/>
  <c r="B224" i="5" s="1"/>
  <c r="A225" i="5"/>
  <c r="B225" i="5" s="1"/>
  <c r="A226" i="5"/>
  <c r="B226" i="5" s="1"/>
  <c r="A227" i="5"/>
  <c r="B227" i="5" s="1"/>
  <c r="A228" i="5"/>
  <c r="B228" i="5" s="1"/>
  <c r="A229" i="5"/>
  <c r="B229" i="5" s="1"/>
  <c r="A230" i="5"/>
  <c r="B230" i="5" s="1"/>
  <c r="A231" i="5"/>
  <c r="B231" i="5" s="1"/>
  <c r="A232" i="5"/>
  <c r="B232" i="5" s="1"/>
  <c r="A233" i="5"/>
  <c r="B233" i="5" s="1"/>
  <c r="A234" i="5"/>
  <c r="B234" i="5" s="1"/>
  <c r="A235" i="5"/>
  <c r="B235" i="5" s="1"/>
  <c r="A236" i="5"/>
  <c r="B236" i="5" s="1"/>
  <c r="A237" i="5"/>
  <c r="B237" i="5" s="1"/>
  <c r="A238" i="5"/>
  <c r="B238" i="5" s="1"/>
  <c r="A239" i="5"/>
  <c r="B239" i="5" s="1"/>
  <c r="A240" i="5"/>
  <c r="B240" i="5" s="1"/>
  <c r="A241" i="5"/>
  <c r="B241" i="5" s="1"/>
  <c r="A242" i="5"/>
  <c r="B242" i="5" s="1"/>
  <c r="A243" i="5"/>
  <c r="B243" i="5" s="1"/>
  <c r="A244" i="5"/>
  <c r="B244" i="5" s="1"/>
  <c r="A245" i="5"/>
  <c r="B245" i="5" s="1"/>
  <c r="A246" i="5"/>
  <c r="B246" i="5" s="1"/>
  <c r="A247" i="5"/>
  <c r="B247" i="5" s="1"/>
  <c r="A248" i="5"/>
  <c r="B248" i="5" s="1"/>
  <c r="A249" i="5"/>
  <c r="B249" i="5" s="1"/>
  <c r="A250" i="5"/>
  <c r="B250" i="5" s="1"/>
  <c r="A251" i="5"/>
  <c r="B251" i="5" s="1"/>
  <c r="A252" i="5"/>
  <c r="B252" i="5" s="1"/>
  <c r="A253" i="5"/>
  <c r="B253" i="5" s="1"/>
  <c r="A254" i="5"/>
  <c r="B254" i="5" s="1"/>
  <c r="A255" i="5"/>
  <c r="B255" i="5" s="1"/>
  <c r="A256" i="5"/>
  <c r="B256" i="5" s="1"/>
  <c r="A257" i="5"/>
  <c r="B257" i="5" s="1"/>
  <c r="A258" i="5"/>
  <c r="B258" i="5" s="1"/>
  <c r="A259" i="5"/>
  <c r="B259" i="5" s="1"/>
  <c r="A260" i="5"/>
  <c r="B260" i="5" s="1"/>
  <c r="A261" i="5"/>
  <c r="B261" i="5" s="1"/>
  <c r="A262" i="5"/>
  <c r="B262" i="5" s="1"/>
  <c r="A263" i="5"/>
  <c r="B263" i="5" s="1"/>
  <c r="A264" i="5"/>
  <c r="B264" i="5" s="1"/>
  <c r="A265" i="5"/>
  <c r="B265" i="5" s="1"/>
  <c r="A266" i="5"/>
  <c r="B266" i="5" s="1"/>
  <c r="A267" i="5"/>
  <c r="B267" i="5" s="1"/>
  <c r="A268" i="5"/>
  <c r="B268" i="5" s="1"/>
  <c r="A269" i="5"/>
  <c r="B269" i="5" s="1"/>
  <c r="A270" i="5"/>
  <c r="B270" i="5" s="1"/>
  <c r="A271" i="5"/>
  <c r="B271" i="5" s="1"/>
  <c r="A272" i="5"/>
  <c r="B272" i="5" s="1"/>
  <c r="A273" i="5"/>
  <c r="B273" i="5" s="1"/>
  <c r="A274" i="5"/>
  <c r="B274" i="5" s="1"/>
  <c r="A275" i="5"/>
  <c r="B275" i="5" s="1"/>
  <c r="A276" i="5"/>
  <c r="B276" i="5" s="1"/>
  <c r="A277" i="5"/>
  <c r="B277" i="5" s="1"/>
  <c r="A278" i="5"/>
  <c r="B278" i="5" s="1"/>
  <c r="A279" i="5"/>
  <c r="B279" i="5" s="1"/>
  <c r="A280" i="5"/>
  <c r="B280" i="5" s="1"/>
  <c r="A281" i="5"/>
  <c r="B281" i="5" s="1"/>
  <c r="A282" i="5"/>
  <c r="B282" i="5" s="1"/>
  <c r="A283" i="5"/>
  <c r="B283" i="5" s="1"/>
  <c r="A284" i="5"/>
  <c r="B284" i="5" s="1"/>
  <c r="A285" i="5"/>
  <c r="B285" i="5" s="1"/>
  <c r="A286" i="5"/>
  <c r="B286" i="5" s="1"/>
  <c r="A287" i="5"/>
  <c r="B287" i="5" s="1"/>
  <c r="A288" i="5"/>
  <c r="B288" i="5" s="1"/>
  <c r="A289" i="5"/>
  <c r="B289" i="5" s="1"/>
  <c r="A290" i="5"/>
  <c r="B290" i="5" s="1"/>
  <c r="A291" i="5"/>
  <c r="B291" i="5" s="1"/>
  <c r="A292" i="5"/>
  <c r="B292" i="5" s="1"/>
  <c r="A293" i="5"/>
  <c r="B293" i="5" s="1"/>
  <c r="A294" i="5"/>
  <c r="B294" i="5" s="1"/>
  <c r="A295" i="5"/>
  <c r="B295" i="5" s="1"/>
  <c r="A296" i="5"/>
  <c r="B296" i="5" s="1"/>
  <c r="A297" i="5"/>
  <c r="B297" i="5" s="1"/>
  <c r="A298" i="5"/>
  <c r="B298" i="5" s="1"/>
  <c r="A299" i="5"/>
  <c r="B299" i="5" s="1"/>
  <c r="A300" i="5"/>
  <c r="B300" i="5" s="1"/>
  <c r="A301" i="5"/>
  <c r="B301" i="5" s="1"/>
  <c r="A302" i="5"/>
  <c r="B302" i="5" s="1"/>
  <c r="A303" i="5"/>
  <c r="B303" i="5" s="1"/>
  <c r="A304" i="5"/>
  <c r="B304" i="5" s="1"/>
  <c r="A305" i="5"/>
  <c r="B305" i="5" s="1"/>
  <c r="A306" i="5"/>
  <c r="B306" i="5" s="1"/>
  <c r="A307" i="5"/>
  <c r="B307" i="5" s="1"/>
  <c r="A308" i="5"/>
  <c r="B308" i="5" s="1"/>
  <c r="A309" i="5"/>
  <c r="B309" i="5" s="1"/>
  <c r="A310" i="5"/>
  <c r="B310" i="5" s="1"/>
  <c r="A311" i="5"/>
  <c r="B311" i="5" s="1"/>
  <c r="A312" i="5"/>
  <c r="B312" i="5" s="1"/>
  <c r="A313" i="5"/>
  <c r="B313" i="5" s="1"/>
  <c r="A314" i="5"/>
  <c r="B314" i="5" s="1"/>
  <c r="A315" i="5"/>
  <c r="B315" i="5" s="1"/>
  <c r="A316" i="5"/>
  <c r="B316" i="5" s="1"/>
  <c r="A317" i="5"/>
  <c r="B317" i="5" s="1"/>
  <c r="A318" i="5"/>
  <c r="B318" i="5" s="1"/>
  <c r="A319" i="5"/>
  <c r="B319" i="5" s="1"/>
  <c r="A320" i="5"/>
  <c r="B320" i="5" s="1"/>
  <c r="A321" i="5"/>
  <c r="B321" i="5" s="1"/>
  <c r="A322" i="5"/>
  <c r="B322" i="5" s="1"/>
  <c r="A323" i="5"/>
  <c r="B323" i="5" s="1"/>
  <c r="A324" i="5"/>
  <c r="B324" i="5" s="1"/>
  <c r="A325" i="5"/>
  <c r="B325" i="5" s="1"/>
  <c r="A326" i="5"/>
  <c r="B326" i="5" s="1"/>
  <c r="A327" i="5"/>
  <c r="B327" i="5" s="1"/>
  <c r="A328" i="5"/>
  <c r="B328" i="5" s="1"/>
  <c r="A329" i="5"/>
  <c r="B329" i="5" s="1"/>
  <c r="A330" i="5"/>
  <c r="B330" i="5" s="1"/>
  <c r="A331" i="5"/>
  <c r="B331" i="5" s="1"/>
  <c r="A332" i="5"/>
  <c r="B332" i="5" s="1"/>
  <c r="A333" i="5"/>
  <c r="B333" i="5" s="1"/>
  <c r="A334" i="5"/>
  <c r="B334" i="5" s="1"/>
  <c r="A335" i="5"/>
  <c r="B335" i="5" s="1"/>
  <c r="A336" i="5"/>
  <c r="B336" i="5" s="1"/>
  <c r="A337" i="5"/>
  <c r="B337" i="5" s="1"/>
  <c r="A338" i="5"/>
  <c r="B338" i="5" s="1"/>
  <c r="A339" i="5"/>
  <c r="B339" i="5" s="1"/>
  <c r="A340" i="5"/>
  <c r="B340" i="5" s="1"/>
  <c r="A341" i="5"/>
  <c r="B341" i="5" s="1"/>
  <c r="A342" i="5"/>
  <c r="B342" i="5" s="1"/>
  <c r="A343" i="5"/>
  <c r="B343" i="5" s="1"/>
  <c r="A344" i="5"/>
  <c r="B344" i="5" s="1"/>
  <c r="A345" i="5"/>
  <c r="B345" i="5" s="1"/>
  <c r="A346" i="5"/>
  <c r="B346" i="5" s="1"/>
  <c r="A347" i="5"/>
  <c r="B347" i="5" s="1"/>
  <c r="A348" i="5"/>
  <c r="B348" i="5" s="1"/>
  <c r="A349" i="5"/>
  <c r="B349" i="5" s="1"/>
  <c r="A350" i="5"/>
  <c r="B350" i="5" s="1"/>
  <c r="A351" i="5"/>
  <c r="B351" i="5" s="1"/>
  <c r="A352" i="5"/>
  <c r="B352" i="5" s="1"/>
  <c r="A353" i="5"/>
  <c r="B353" i="5" s="1"/>
  <c r="A354" i="5"/>
  <c r="B354" i="5" s="1"/>
  <c r="A355" i="5"/>
  <c r="B355" i="5" s="1"/>
  <c r="A356" i="5"/>
  <c r="B356" i="5" s="1"/>
  <c r="A357" i="5"/>
  <c r="B357" i="5" s="1"/>
  <c r="A358" i="5"/>
  <c r="B358" i="5" s="1"/>
  <c r="A359" i="5"/>
  <c r="B359" i="5" s="1"/>
  <c r="A360" i="5"/>
  <c r="B360" i="5" s="1"/>
  <c r="A361" i="5"/>
  <c r="B361" i="5" s="1"/>
  <c r="A362" i="5"/>
  <c r="B362" i="5" s="1"/>
  <c r="A363" i="5"/>
  <c r="B363" i="5" s="1"/>
  <c r="A364" i="5"/>
  <c r="B364" i="5" s="1"/>
  <c r="A365" i="5"/>
  <c r="B365" i="5" s="1"/>
  <c r="A366" i="5"/>
  <c r="B366" i="5" s="1"/>
  <c r="A367" i="5"/>
  <c r="B367" i="5" s="1"/>
  <c r="A368" i="5"/>
  <c r="B368" i="5" s="1"/>
  <c r="A369" i="5"/>
  <c r="B369" i="5" s="1"/>
  <c r="A370" i="5"/>
  <c r="B370" i="5" s="1"/>
  <c r="A371" i="5"/>
  <c r="B371" i="5" s="1"/>
  <c r="A372" i="5"/>
  <c r="B372" i="5" s="1"/>
  <c r="A373" i="5"/>
  <c r="B373" i="5" s="1"/>
  <c r="A374" i="5"/>
  <c r="B374" i="5" s="1"/>
  <c r="A375" i="5"/>
  <c r="B375" i="5" s="1"/>
  <c r="A376" i="5"/>
  <c r="B376" i="5" s="1"/>
  <c r="A377" i="5"/>
  <c r="B377" i="5" s="1"/>
  <c r="A378" i="5"/>
  <c r="B378" i="5" s="1"/>
  <c r="A379" i="5"/>
  <c r="B379" i="5" s="1"/>
  <c r="A380" i="5"/>
  <c r="B380" i="5" s="1"/>
  <c r="A381" i="5"/>
  <c r="B381" i="5" s="1"/>
  <c r="A382" i="5"/>
  <c r="B382" i="5" s="1"/>
  <c r="A383" i="5"/>
  <c r="B383" i="5" s="1"/>
  <c r="A384" i="5"/>
  <c r="B384" i="5" s="1"/>
  <c r="A385" i="5"/>
  <c r="B385" i="5" s="1"/>
  <c r="A386" i="5"/>
  <c r="B386" i="5" s="1"/>
  <c r="A387" i="5"/>
  <c r="B387" i="5" s="1"/>
  <c r="A388" i="5"/>
  <c r="B388" i="5" s="1"/>
  <c r="A389" i="5"/>
  <c r="B389" i="5" s="1"/>
  <c r="A390" i="5"/>
  <c r="B390" i="5" s="1"/>
  <c r="A391" i="5"/>
  <c r="B391" i="5" s="1"/>
  <c r="A392" i="5"/>
  <c r="B392" i="5" s="1"/>
  <c r="A393" i="5"/>
  <c r="B393" i="5" s="1"/>
  <c r="A394" i="5"/>
  <c r="B394" i="5" s="1"/>
  <c r="A395" i="5"/>
  <c r="B395" i="5" s="1"/>
  <c r="A396" i="5"/>
  <c r="B396" i="5" s="1"/>
  <c r="A397" i="5"/>
  <c r="B397" i="5" s="1"/>
  <c r="A398" i="5"/>
  <c r="B398" i="5" s="1"/>
  <c r="A399" i="5"/>
  <c r="B399" i="5" s="1"/>
  <c r="A400" i="5"/>
  <c r="B400" i="5" s="1"/>
  <c r="A401" i="5"/>
  <c r="B401" i="5" s="1"/>
  <c r="A402" i="5"/>
  <c r="B402" i="5" s="1"/>
  <c r="A403" i="5"/>
  <c r="B403" i="5" s="1"/>
  <c r="A404" i="5"/>
  <c r="B404" i="5" s="1"/>
  <c r="A405" i="5"/>
  <c r="B405" i="5" s="1"/>
  <c r="A406" i="5"/>
  <c r="B406" i="5" s="1"/>
  <c r="A407" i="5"/>
  <c r="B407" i="5" s="1"/>
  <c r="A408" i="5"/>
  <c r="B408" i="5" s="1"/>
  <c r="A409" i="5"/>
  <c r="B409" i="5" s="1"/>
  <c r="A410" i="5"/>
  <c r="B410" i="5" s="1"/>
  <c r="A411" i="5"/>
  <c r="B411" i="5" s="1"/>
  <c r="A412" i="5"/>
  <c r="B412" i="5" s="1"/>
  <c r="A413" i="5"/>
  <c r="B413" i="5" s="1"/>
  <c r="A414" i="5"/>
  <c r="B414" i="5" s="1"/>
  <c r="A415" i="5"/>
  <c r="B415" i="5" s="1"/>
  <c r="A416" i="5"/>
  <c r="B416" i="5" s="1"/>
  <c r="A417" i="5"/>
  <c r="B417" i="5" s="1"/>
  <c r="A418" i="5"/>
  <c r="B418" i="5" s="1"/>
  <c r="A419" i="5"/>
  <c r="B419" i="5" s="1"/>
  <c r="A420" i="5"/>
  <c r="B420" i="5" s="1"/>
  <c r="A421" i="5"/>
  <c r="B421" i="5" s="1"/>
  <c r="A422" i="5"/>
  <c r="B422" i="5" s="1"/>
  <c r="A423" i="5"/>
  <c r="B423" i="5" s="1"/>
  <c r="A424" i="5"/>
  <c r="B424" i="5" s="1"/>
  <c r="A425" i="5"/>
  <c r="B425" i="5" s="1"/>
  <c r="A426" i="5"/>
  <c r="B426" i="5" s="1"/>
  <c r="A427" i="5"/>
  <c r="B427" i="5" s="1"/>
  <c r="A428" i="5"/>
  <c r="B428" i="5" s="1"/>
  <c r="A429" i="5"/>
  <c r="B429" i="5" s="1"/>
  <c r="A430" i="5"/>
  <c r="B430" i="5" s="1"/>
  <c r="A431" i="5"/>
  <c r="B431" i="5" s="1"/>
  <c r="A432" i="5"/>
  <c r="B432" i="5" s="1"/>
  <c r="A433" i="5"/>
  <c r="B433" i="5" s="1"/>
  <c r="A434" i="5"/>
  <c r="B434" i="5" s="1"/>
  <c r="A435" i="5"/>
  <c r="B435" i="5" s="1"/>
  <c r="A436" i="5"/>
  <c r="B436" i="5" s="1"/>
  <c r="A437" i="5"/>
  <c r="B437" i="5" s="1"/>
  <c r="A438" i="5"/>
  <c r="B438" i="5" s="1"/>
  <c r="A439" i="5"/>
  <c r="B439" i="5" s="1"/>
  <c r="A440" i="5"/>
  <c r="B440" i="5" s="1"/>
  <c r="A441" i="5"/>
  <c r="B441" i="5" s="1"/>
  <c r="A442" i="5"/>
  <c r="B442" i="5" s="1"/>
  <c r="A443" i="5"/>
  <c r="B443" i="5" s="1"/>
  <c r="A444" i="5"/>
  <c r="B444" i="5" s="1"/>
  <c r="A445" i="5"/>
  <c r="B445" i="5" s="1"/>
  <c r="A446" i="5"/>
  <c r="B446" i="5" s="1"/>
  <c r="A447" i="5"/>
  <c r="B447" i="5" s="1"/>
  <c r="A448" i="5"/>
  <c r="B448" i="5" s="1"/>
  <c r="A449" i="5"/>
  <c r="B449" i="5" s="1"/>
  <c r="A450" i="5"/>
  <c r="B450" i="5" s="1"/>
  <c r="A451" i="5"/>
  <c r="B451" i="5" s="1"/>
  <c r="A452" i="5"/>
  <c r="B452" i="5" s="1"/>
  <c r="A453" i="5"/>
  <c r="B453" i="5" s="1"/>
  <c r="A454" i="5"/>
  <c r="B454" i="5" s="1"/>
  <c r="A455" i="5"/>
  <c r="B455" i="5" s="1"/>
  <c r="A456" i="5"/>
  <c r="B456" i="5" s="1"/>
  <c r="A457" i="5"/>
  <c r="B457" i="5" s="1"/>
  <c r="A458" i="5"/>
  <c r="B458" i="5" s="1"/>
  <c r="A459" i="5"/>
  <c r="B459" i="5" s="1"/>
  <c r="A460" i="5"/>
  <c r="B460" i="5" s="1"/>
  <c r="A461" i="5"/>
  <c r="B461" i="5" s="1"/>
  <c r="A462" i="5"/>
  <c r="B462" i="5" s="1"/>
  <c r="A463" i="5"/>
  <c r="B463" i="5" s="1"/>
  <c r="A464" i="5"/>
  <c r="B464" i="5" s="1"/>
  <c r="A465" i="5"/>
  <c r="B465" i="5" s="1"/>
  <c r="A466" i="5"/>
  <c r="B466" i="5" s="1"/>
  <c r="A467" i="5"/>
  <c r="B467" i="5" s="1"/>
  <c r="A468" i="5"/>
  <c r="B468" i="5" s="1"/>
  <c r="A469" i="5"/>
  <c r="B469" i="5" s="1"/>
  <c r="A470" i="5"/>
  <c r="B470" i="5" s="1"/>
  <c r="A471" i="5"/>
  <c r="B471" i="5" s="1"/>
  <c r="A472" i="5"/>
  <c r="B472" i="5" s="1"/>
  <c r="A473" i="5"/>
  <c r="B473" i="5" s="1"/>
  <c r="A474" i="5"/>
  <c r="B474" i="5" s="1"/>
  <c r="A475" i="5"/>
  <c r="B475" i="5" s="1"/>
  <c r="A476" i="5"/>
  <c r="B476" i="5" s="1"/>
  <c r="A477" i="5"/>
  <c r="B477" i="5" s="1"/>
  <c r="A478" i="5"/>
  <c r="B478" i="5" s="1"/>
  <c r="A479" i="5"/>
  <c r="B479" i="5" s="1"/>
  <c r="A480" i="5"/>
  <c r="B480" i="5" s="1"/>
  <c r="A481" i="5"/>
  <c r="B481" i="5" s="1"/>
  <c r="A482" i="5"/>
  <c r="B482" i="5" s="1"/>
  <c r="A483" i="5"/>
  <c r="B483" i="5" s="1"/>
  <c r="A484" i="5"/>
  <c r="B484" i="5" s="1"/>
  <c r="A485" i="5"/>
  <c r="B485" i="5" s="1"/>
  <c r="A486" i="5"/>
  <c r="B486" i="5" s="1"/>
  <c r="A487" i="5"/>
  <c r="B487" i="5" s="1"/>
  <c r="A488" i="5"/>
  <c r="B488" i="5" s="1"/>
  <c r="A489" i="5"/>
  <c r="B489" i="5" s="1"/>
  <c r="A490" i="5"/>
  <c r="B490" i="5" s="1"/>
  <c r="A491" i="5"/>
  <c r="B491" i="5" s="1"/>
  <c r="A492" i="5"/>
  <c r="B492" i="5" s="1"/>
  <c r="A493" i="5"/>
  <c r="B493" i="5" s="1"/>
  <c r="A494" i="5"/>
  <c r="B494" i="5" s="1"/>
  <c r="A495" i="5"/>
  <c r="B495" i="5" s="1"/>
  <c r="A496" i="5"/>
  <c r="B496" i="5" s="1"/>
  <c r="A497" i="5"/>
  <c r="B497" i="5" s="1"/>
  <c r="A498" i="5"/>
  <c r="B498" i="5" s="1"/>
  <c r="A499" i="5"/>
  <c r="B499" i="5" s="1"/>
  <c r="A500" i="5"/>
  <c r="B500" i="5" s="1"/>
  <c r="A501" i="5"/>
  <c r="B501" i="5" s="1"/>
  <c r="A502" i="5"/>
  <c r="B502" i="5" s="1"/>
  <c r="A503" i="5"/>
  <c r="B503" i="5" s="1"/>
  <c r="A504" i="5"/>
  <c r="B504" i="5" s="1"/>
  <c r="A505" i="5"/>
  <c r="B505" i="5" s="1"/>
  <c r="A506" i="5"/>
  <c r="B506" i="5" s="1"/>
  <c r="A507" i="5"/>
  <c r="B507" i="5" s="1"/>
  <c r="A508" i="5"/>
  <c r="B508" i="5" s="1"/>
  <c r="A509" i="5"/>
  <c r="B509" i="5" s="1"/>
  <c r="A510" i="5"/>
  <c r="B510" i="5" s="1"/>
  <c r="A511" i="5"/>
  <c r="B511" i="5" s="1"/>
  <c r="A512" i="5"/>
  <c r="B512" i="5" s="1"/>
  <c r="A513" i="5"/>
  <c r="B513" i="5" s="1"/>
  <c r="A514" i="5"/>
  <c r="B514" i="5" s="1"/>
  <c r="A515" i="5"/>
  <c r="B515" i="5" s="1"/>
  <c r="A516" i="5"/>
  <c r="B516" i="5" s="1"/>
  <c r="A517" i="5"/>
  <c r="B517" i="5" s="1"/>
  <c r="A518" i="5"/>
  <c r="B518" i="5" s="1"/>
  <c r="A519" i="5"/>
  <c r="B519" i="5" s="1"/>
  <c r="A520" i="5"/>
  <c r="B520" i="5" s="1"/>
  <c r="A521" i="5"/>
  <c r="B521" i="5" s="1"/>
  <c r="A522" i="5"/>
  <c r="B522" i="5" s="1"/>
  <c r="A523" i="5"/>
  <c r="B523" i="5" s="1"/>
  <c r="A524" i="5"/>
  <c r="B524" i="5" s="1"/>
  <c r="A525" i="5"/>
  <c r="B525" i="5" s="1"/>
  <c r="A526" i="5"/>
  <c r="B526" i="5" s="1"/>
  <c r="A527" i="5"/>
  <c r="B527" i="5" s="1"/>
  <c r="A528" i="5"/>
  <c r="B528" i="5" s="1"/>
  <c r="A529" i="5"/>
  <c r="B529" i="5" s="1"/>
  <c r="A530" i="5"/>
  <c r="B530" i="5" s="1"/>
  <c r="A531" i="5"/>
  <c r="B531" i="5" s="1"/>
  <c r="A532" i="5"/>
  <c r="B532" i="5" s="1"/>
  <c r="A533" i="5"/>
  <c r="B533" i="5" s="1"/>
  <c r="A534" i="5"/>
  <c r="B534" i="5" s="1"/>
  <c r="A535" i="5"/>
  <c r="B535" i="5" s="1"/>
  <c r="A536" i="5"/>
  <c r="B536" i="5" s="1"/>
  <c r="A537" i="5"/>
  <c r="B537" i="5" s="1"/>
  <c r="A538" i="5"/>
  <c r="B538" i="5" s="1"/>
  <c r="A539" i="5"/>
  <c r="B539" i="5" s="1"/>
  <c r="A540" i="5"/>
  <c r="B540" i="5" s="1"/>
  <c r="A541" i="5"/>
  <c r="B541" i="5" s="1"/>
  <c r="A542" i="5"/>
  <c r="B542" i="5" s="1"/>
  <c r="A543" i="5"/>
  <c r="B543" i="5" s="1"/>
  <c r="A544" i="5"/>
  <c r="B544" i="5" s="1"/>
  <c r="A545" i="5"/>
  <c r="B545" i="5" s="1"/>
  <c r="A546" i="5"/>
  <c r="B546" i="5" s="1"/>
  <c r="A547" i="5"/>
  <c r="B547" i="5" s="1"/>
  <c r="A548" i="5"/>
  <c r="B548" i="5" s="1"/>
  <c r="A549" i="5"/>
  <c r="B549" i="5" s="1"/>
  <c r="A550" i="5"/>
  <c r="B550" i="5" s="1"/>
  <c r="A551" i="5"/>
  <c r="B551" i="5" s="1"/>
  <c r="A552" i="5"/>
  <c r="B552" i="5" s="1"/>
  <c r="A553" i="5"/>
  <c r="B553" i="5" s="1"/>
  <c r="A554" i="5"/>
  <c r="B554" i="5" s="1"/>
  <c r="A555" i="5"/>
  <c r="B555" i="5" s="1"/>
  <c r="A556" i="5"/>
  <c r="B556" i="5" s="1"/>
  <c r="A557" i="5"/>
  <c r="B557" i="5" s="1"/>
  <c r="A558" i="5"/>
  <c r="B558" i="5" s="1"/>
  <c r="A559" i="5"/>
  <c r="B559" i="5" s="1"/>
  <c r="A560" i="5"/>
  <c r="B560" i="5" s="1"/>
  <c r="A561" i="5"/>
  <c r="B561" i="5" s="1"/>
  <c r="A562" i="5"/>
  <c r="B562" i="5" s="1"/>
  <c r="A563" i="5"/>
  <c r="B563" i="5" s="1"/>
  <c r="A564" i="5"/>
  <c r="B564" i="5" s="1"/>
  <c r="A565" i="5"/>
  <c r="B565" i="5" s="1"/>
  <c r="A566" i="5"/>
  <c r="B566" i="5" s="1"/>
  <c r="A567" i="5"/>
  <c r="B567" i="5" s="1"/>
  <c r="A568" i="5"/>
  <c r="B568" i="5" s="1"/>
  <c r="A569" i="5"/>
  <c r="B569" i="5" s="1"/>
  <c r="A570" i="5"/>
  <c r="B570" i="5" s="1"/>
  <c r="A571" i="5"/>
  <c r="B571" i="5" s="1"/>
  <c r="A572" i="5"/>
  <c r="B572" i="5" s="1"/>
  <c r="A573" i="5"/>
  <c r="B573" i="5" s="1"/>
  <c r="A574" i="5"/>
  <c r="B574" i="5" s="1"/>
  <c r="A575" i="5"/>
  <c r="B575" i="5" s="1"/>
  <c r="A576" i="5"/>
  <c r="B576" i="5" s="1"/>
  <c r="A577" i="5"/>
  <c r="B577" i="5" s="1"/>
  <c r="A578" i="5"/>
  <c r="B578" i="5" s="1"/>
  <c r="A579" i="5"/>
  <c r="B579" i="5" s="1"/>
  <c r="A580" i="5"/>
  <c r="B580" i="5" s="1"/>
  <c r="A581" i="5"/>
  <c r="B581" i="5" s="1"/>
  <c r="A582" i="5"/>
  <c r="B582" i="5" s="1"/>
  <c r="A583" i="5"/>
  <c r="B583" i="5" s="1"/>
  <c r="A584" i="5"/>
  <c r="B584" i="5" s="1"/>
  <c r="A585" i="5"/>
  <c r="B585" i="5" s="1"/>
  <c r="A586" i="5"/>
  <c r="B586" i="5" s="1"/>
  <c r="A587" i="5"/>
  <c r="B587" i="5" s="1"/>
  <c r="A588" i="5"/>
  <c r="B588" i="5" s="1"/>
  <c r="A589" i="5"/>
  <c r="B589" i="5" s="1"/>
  <c r="A590" i="5"/>
  <c r="B590" i="5" s="1"/>
  <c r="A591" i="5"/>
  <c r="B591" i="5" s="1"/>
  <c r="A592" i="5"/>
  <c r="B592" i="5" s="1"/>
  <c r="A593" i="5"/>
  <c r="B593" i="5" s="1"/>
  <c r="A594" i="5"/>
  <c r="B594" i="5" s="1"/>
  <c r="A595" i="5"/>
  <c r="B595" i="5" s="1"/>
  <c r="A596" i="5"/>
  <c r="B596" i="5" s="1"/>
  <c r="A597" i="5"/>
  <c r="B597" i="5" s="1"/>
  <c r="A598" i="5"/>
  <c r="B598" i="5" s="1"/>
  <c r="A599" i="5"/>
  <c r="B599" i="5" s="1"/>
  <c r="A600" i="5"/>
  <c r="B600" i="5" s="1"/>
  <c r="A601" i="5"/>
  <c r="B601" i="5" s="1"/>
  <c r="A602" i="5"/>
  <c r="B602" i="5" s="1"/>
  <c r="A603" i="5"/>
  <c r="B603" i="5" s="1"/>
  <c r="A604" i="5"/>
  <c r="B604" i="5" s="1"/>
  <c r="A605" i="5"/>
  <c r="B605" i="5" s="1"/>
  <c r="A606" i="5"/>
  <c r="B606" i="5" s="1"/>
  <c r="A607" i="5"/>
  <c r="B607" i="5" s="1"/>
  <c r="A608" i="5"/>
  <c r="B608" i="5" s="1"/>
  <c r="A609" i="5"/>
  <c r="B609" i="5" s="1"/>
  <c r="A610" i="5"/>
  <c r="B610" i="5" s="1"/>
  <c r="A611" i="5"/>
  <c r="B611" i="5" s="1"/>
  <c r="A612" i="5"/>
  <c r="B612" i="5" s="1"/>
  <c r="A613" i="5"/>
  <c r="B613" i="5" s="1"/>
  <c r="A614" i="5"/>
  <c r="B614" i="5" s="1"/>
  <c r="A615" i="5"/>
  <c r="B615" i="5" s="1"/>
  <c r="A616" i="5"/>
  <c r="B616" i="5" s="1"/>
  <c r="A617" i="5"/>
  <c r="B617" i="5" s="1"/>
  <c r="A618" i="5"/>
  <c r="B618" i="5" s="1"/>
  <c r="A619" i="5"/>
  <c r="B619" i="5" s="1"/>
  <c r="A620" i="5"/>
  <c r="B620" i="5" s="1"/>
  <c r="A621" i="5"/>
  <c r="B621" i="5" s="1"/>
  <c r="A622" i="5"/>
  <c r="B622" i="5" s="1"/>
  <c r="A623" i="5"/>
  <c r="B623" i="5" s="1"/>
  <c r="A624" i="5"/>
  <c r="B624" i="5" s="1"/>
  <c r="A625" i="5"/>
  <c r="B625" i="5" s="1"/>
  <c r="A626" i="5"/>
  <c r="B626" i="5" s="1"/>
  <c r="A627" i="5"/>
  <c r="B627" i="5" s="1"/>
  <c r="A628" i="5"/>
  <c r="B628" i="5" s="1"/>
  <c r="A629" i="5"/>
  <c r="B629" i="5" s="1"/>
  <c r="A630" i="5"/>
  <c r="B630" i="5" s="1"/>
  <c r="A631" i="5"/>
  <c r="B631" i="5" s="1"/>
  <c r="A632" i="5"/>
  <c r="B632" i="5" s="1"/>
  <c r="A633" i="5"/>
  <c r="B633" i="5" s="1"/>
  <c r="A634" i="5"/>
  <c r="B634" i="5" s="1"/>
  <c r="A635" i="5"/>
  <c r="B635" i="5" s="1"/>
  <c r="A636" i="5"/>
  <c r="B636" i="5" s="1"/>
  <c r="A637" i="5"/>
  <c r="B637" i="5" s="1"/>
  <c r="A638" i="5"/>
  <c r="B638" i="5" s="1"/>
  <c r="A639" i="5"/>
  <c r="B639" i="5" s="1"/>
  <c r="A640" i="5"/>
  <c r="B640" i="5" s="1"/>
  <c r="A641" i="5"/>
  <c r="B641" i="5" s="1"/>
  <c r="A642" i="5"/>
  <c r="B642" i="5" s="1"/>
  <c r="A643" i="5"/>
  <c r="B643" i="5" s="1"/>
  <c r="A644" i="5"/>
  <c r="B644" i="5" s="1"/>
  <c r="A645" i="5"/>
  <c r="B645" i="5" s="1"/>
  <c r="A646" i="5"/>
  <c r="B646" i="5" s="1"/>
  <c r="A647" i="5"/>
  <c r="B647" i="5" s="1"/>
  <c r="A648" i="5"/>
  <c r="B648" i="5" s="1"/>
  <c r="A649" i="5"/>
  <c r="B649" i="5" s="1"/>
  <c r="A650" i="5"/>
  <c r="B650" i="5" s="1"/>
  <c r="A651" i="5"/>
  <c r="B651" i="5" s="1"/>
  <c r="A652" i="5"/>
  <c r="B652" i="5" s="1"/>
  <c r="A653" i="5"/>
  <c r="B653" i="5" s="1"/>
  <c r="A654" i="5"/>
  <c r="B654" i="5" s="1"/>
  <c r="A655" i="5"/>
  <c r="B655" i="5" s="1"/>
  <c r="A656" i="5"/>
  <c r="B656" i="5" s="1"/>
  <c r="A657" i="5"/>
  <c r="B657" i="5" s="1"/>
  <c r="A658" i="5"/>
  <c r="B658" i="5" s="1"/>
  <c r="A659" i="5"/>
  <c r="B659" i="5" s="1"/>
  <c r="A660" i="5"/>
  <c r="B660" i="5" s="1"/>
  <c r="A661" i="5"/>
  <c r="B661" i="5" s="1"/>
  <c r="A662" i="5"/>
  <c r="B662" i="5" s="1"/>
  <c r="A663" i="5"/>
  <c r="B663" i="5" s="1"/>
  <c r="A664" i="5"/>
  <c r="B664" i="5" s="1"/>
  <c r="A665" i="5"/>
  <c r="B665" i="5" s="1"/>
  <c r="A666" i="5"/>
  <c r="B666" i="5" s="1"/>
  <c r="A667" i="5"/>
  <c r="B667" i="5" s="1"/>
  <c r="A668" i="5"/>
  <c r="B668" i="5" s="1"/>
  <c r="A669" i="5"/>
  <c r="B669" i="5" s="1"/>
  <c r="A670" i="5"/>
  <c r="B670" i="5" s="1"/>
  <c r="A671" i="5"/>
  <c r="B671" i="5" s="1"/>
  <c r="A672" i="5"/>
  <c r="B672" i="5" s="1"/>
  <c r="A673" i="5"/>
  <c r="B673" i="5" s="1"/>
  <c r="A674" i="5"/>
  <c r="B674" i="5" s="1"/>
  <c r="A675" i="5"/>
  <c r="B675" i="5" s="1"/>
  <c r="A676" i="5"/>
  <c r="B676" i="5" s="1"/>
  <c r="A677" i="5"/>
  <c r="B677" i="5" s="1"/>
  <c r="A678" i="5"/>
  <c r="B678" i="5" s="1"/>
  <c r="A679" i="5"/>
  <c r="B679" i="5" s="1"/>
  <c r="A680" i="5"/>
  <c r="B680" i="5" s="1"/>
  <c r="A681" i="5"/>
  <c r="B681" i="5" s="1"/>
  <c r="A682" i="5"/>
  <c r="B682" i="5" s="1"/>
  <c r="A683" i="5"/>
  <c r="B683" i="5" s="1"/>
  <c r="A684" i="5"/>
  <c r="B684" i="5" s="1"/>
  <c r="A685" i="5"/>
  <c r="B685" i="5" s="1"/>
  <c r="A686" i="5"/>
  <c r="B686" i="5" s="1"/>
  <c r="A687" i="5"/>
  <c r="B687" i="5" s="1"/>
  <c r="A688" i="5"/>
  <c r="B688" i="5" s="1"/>
  <c r="A689" i="5"/>
  <c r="B689" i="5" s="1"/>
  <c r="A690" i="5"/>
  <c r="B690" i="5" s="1"/>
  <c r="A691" i="5"/>
  <c r="B691" i="5" s="1"/>
  <c r="A692" i="5"/>
  <c r="B692" i="5" s="1"/>
  <c r="A693" i="5"/>
  <c r="B693" i="5" s="1"/>
  <c r="A694" i="5"/>
  <c r="B694" i="5" s="1"/>
  <c r="A695" i="5"/>
  <c r="B695" i="5" s="1"/>
  <c r="A696" i="5"/>
  <c r="B696" i="5" s="1"/>
  <c r="A697" i="5"/>
  <c r="B697" i="5" s="1"/>
  <c r="A698" i="5"/>
  <c r="B698" i="5" s="1"/>
  <c r="A699" i="5"/>
  <c r="B699" i="5" s="1"/>
  <c r="A700" i="5"/>
  <c r="B700" i="5" s="1"/>
  <c r="A701" i="5"/>
  <c r="B701" i="5" s="1"/>
  <c r="A702" i="5"/>
  <c r="B702" i="5" s="1"/>
  <c r="A703" i="5"/>
  <c r="B703" i="5" s="1"/>
  <c r="A704" i="5"/>
  <c r="B704" i="5" s="1"/>
  <c r="A705" i="5"/>
  <c r="B705" i="5" s="1"/>
  <c r="A706" i="5"/>
  <c r="B706" i="5" s="1"/>
  <c r="A707" i="5"/>
  <c r="B707" i="5" s="1"/>
  <c r="A708" i="5"/>
  <c r="B708" i="5" s="1"/>
  <c r="A709" i="5"/>
  <c r="B709" i="5" s="1"/>
  <c r="A710" i="5"/>
  <c r="B710" i="5" s="1"/>
  <c r="A711" i="5"/>
  <c r="B711" i="5" s="1"/>
  <c r="A712" i="5"/>
  <c r="B712" i="5" s="1"/>
  <c r="A713" i="5"/>
  <c r="B713" i="5" s="1"/>
  <c r="A714" i="5"/>
  <c r="B714" i="5" s="1"/>
  <c r="A715" i="5"/>
  <c r="B715" i="5" s="1"/>
  <c r="A716" i="5"/>
  <c r="B716" i="5" s="1"/>
  <c r="A717" i="5"/>
  <c r="B717" i="5" s="1"/>
  <c r="A718" i="5"/>
  <c r="B718" i="5" s="1"/>
  <c r="A719" i="5"/>
  <c r="B719" i="5" s="1"/>
  <c r="A720" i="5"/>
  <c r="B720" i="5" s="1"/>
  <c r="A721" i="5"/>
  <c r="B721" i="5" s="1"/>
  <c r="A722" i="5"/>
  <c r="B722" i="5" s="1"/>
  <c r="A723" i="5"/>
  <c r="B723" i="5" s="1"/>
  <c r="A724" i="5"/>
  <c r="B724" i="5" s="1"/>
  <c r="A725" i="5"/>
  <c r="B725" i="5" s="1"/>
  <c r="A726" i="5"/>
  <c r="B726" i="5" s="1"/>
  <c r="A727" i="5"/>
  <c r="B727" i="5" s="1"/>
  <c r="A728" i="5"/>
  <c r="B728" i="5" s="1"/>
  <c r="A729" i="5"/>
  <c r="B729" i="5" s="1"/>
  <c r="A730" i="5"/>
  <c r="B730" i="5" s="1"/>
  <c r="A731" i="5"/>
  <c r="B731" i="5" s="1"/>
  <c r="A732" i="5"/>
  <c r="B732" i="5" s="1"/>
  <c r="A733" i="5"/>
  <c r="B733" i="5" s="1"/>
  <c r="A734" i="5"/>
  <c r="B734" i="5" s="1"/>
  <c r="A735" i="5"/>
  <c r="B735" i="5" s="1"/>
  <c r="A736" i="5"/>
  <c r="B736" i="5" s="1"/>
  <c r="A737" i="5"/>
  <c r="B737" i="5" s="1"/>
  <c r="A738" i="5"/>
  <c r="B738" i="5" s="1"/>
  <c r="A739" i="5"/>
  <c r="B739" i="5" s="1"/>
  <c r="A740" i="5"/>
  <c r="B740" i="5" s="1"/>
  <c r="A741" i="5"/>
  <c r="B741" i="5" s="1"/>
  <c r="A742" i="5"/>
  <c r="B742" i="5" s="1"/>
  <c r="A743" i="5"/>
  <c r="B743" i="5" s="1"/>
  <c r="A744" i="5"/>
  <c r="B744" i="5" s="1"/>
  <c r="A745" i="5"/>
  <c r="B745" i="5" s="1"/>
  <c r="A746" i="5"/>
  <c r="B746" i="5" s="1"/>
  <c r="A747" i="5"/>
  <c r="B747" i="5" s="1"/>
  <c r="A748" i="5"/>
  <c r="B748" i="5" s="1"/>
  <c r="A749" i="5"/>
  <c r="B749" i="5" s="1"/>
  <c r="A750" i="5"/>
  <c r="B750" i="5" s="1"/>
  <c r="A751" i="5"/>
  <c r="B751" i="5" s="1"/>
  <c r="A752" i="5"/>
  <c r="B752" i="5" s="1"/>
  <c r="A753" i="5"/>
  <c r="B753" i="5" s="1"/>
  <c r="A754" i="5"/>
  <c r="B754" i="5" s="1"/>
  <c r="A755" i="5"/>
  <c r="B755" i="5" s="1"/>
  <c r="A756" i="5"/>
  <c r="B756" i="5" s="1"/>
  <c r="A757" i="5"/>
  <c r="B757" i="5" s="1"/>
  <c r="A758" i="5"/>
  <c r="B758" i="5" s="1"/>
  <c r="A759" i="5"/>
  <c r="B759" i="5" s="1"/>
  <c r="A760" i="5"/>
  <c r="B760" i="5" s="1"/>
  <c r="A761" i="5"/>
  <c r="B761" i="5" s="1"/>
  <c r="A762" i="5"/>
  <c r="B762" i="5" s="1"/>
  <c r="A763" i="5"/>
  <c r="B763" i="5" s="1"/>
  <c r="A764" i="5"/>
  <c r="B764" i="5" s="1"/>
  <c r="A765" i="5"/>
  <c r="B765" i="5" s="1"/>
  <c r="A766" i="5"/>
  <c r="B766" i="5" s="1"/>
  <c r="A767" i="5"/>
  <c r="B767" i="5" s="1"/>
  <c r="A768" i="5"/>
  <c r="B768" i="5" s="1"/>
  <c r="A769" i="5"/>
  <c r="B769" i="5" s="1"/>
  <c r="A770" i="5"/>
  <c r="B770" i="5" s="1"/>
  <c r="A771" i="5"/>
  <c r="B771" i="5" s="1"/>
  <c r="A772" i="5"/>
  <c r="B772" i="5" s="1"/>
  <c r="A773" i="5"/>
  <c r="B773" i="5" s="1"/>
  <c r="A774" i="5"/>
  <c r="B774" i="5" s="1"/>
  <c r="A775" i="5"/>
  <c r="B775" i="5" s="1"/>
  <c r="A776" i="5"/>
  <c r="B776" i="5" s="1"/>
  <c r="A777" i="5"/>
  <c r="B777" i="5" s="1"/>
  <c r="A778" i="5"/>
  <c r="B778" i="5" s="1"/>
  <c r="A779" i="5"/>
  <c r="B779" i="5" s="1"/>
  <c r="A780" i="5"/>
  <c r="B780" i="5" s="1"/>
  <c r="A781" i="5"/>
  <c r="B781" i="5" s="1"/>
  <c r="A782" i="5"/>
  <c r="B782" i="5" s="1"/>
  <c r="A783" i="5"/>
  <c r="B783" i="5" s="1"/>
  <c r="A784" i="5"/>
  <c r="B784" i="5" s="1"/>
  <c r="A785" i="5"/>
  <c r="B785" i="5" s="1"/>
  <c r="A786" i="5"/>
  <c r="B786" i="5" s="1"/>
  <c r="A787" i="5"/>
  <c r="B787" i="5" s="1"/>
  <c r="A788" i="5"/>
  <c r="B788" i="5" s="1"/>
  <c r="A789" i="5"/>
  <c r="B789" i="5" s="1"/>
  <c r="A790" i="5"/>
  <c r="B790" i="5" s="1"/>
  <c r="A791" i="5"/>
  <c r="B791" i="5" s="1"/>
  <c r="A792" i="5"/>
  <c r="B792" i="5" s="1"/>
  <c r="A793" i="5"/>
  <c r="B793" i="5" s="1"/>
  <c r="A794" i="5"/>
  <c r="B794" i="5" s="1"/>
  <c r="A795" i="5"/>
  <c r="B795" i="5" s="1"/>
  <c r="A796" i="5"/>
  <c r="B796" i="5" s="1"/>
  <c r="A797" i="5"/>
  <c r="B797" i="5" s="1"/>
  <c r="A798" i="5"/>
  <c r="B798" i="5" s="1"/>
  <c r="A799" i="5"/>
  <c r="B799" i="5" s="1"/>
  <c r="A800" i="5"/>
  <c r="B800" i="5" s="1"/>
  <c r="A801" i="5"/>
  <c r="B801" i="5" s="1"/>
  <c r="A802" i="5"/>
  <c r="B802" i="5" s="1"/>
  <c r="A803" i="5"/>
  <c r="B803" i="5" s="1"/>
  <c r="A804" i="5"/>
  <c r="B804" i="5" s="1"/>
  <c r="A805" i="5"/>
  <c r="B805" i="5" s="1"/>
  <c r="A806" i="5"/>
  <c r="B806" i="5" s="1"/>
  <c r="A807" i="5"/>
  <c r="B807" i="5" s="1"/>
  <c r="A808" i="5"/>
  <c r="B808" i="5" s="1"/>
  <c r="A809" i="5"/>
  <c r="B809" i="5" s="1"/>
  <c r="A810" i="5"/>
  <c r="B810" i="5" s="1"/>
  <c r="A811" i="5"/>
  <c r="B811" i="5" s="1"/>
  <c r="A812" i="5"/>
  <c r="B812" i="5" s="1"/>
  <c r="A813" i="5"/>
  <c r="B813" i="5" s="1"/>
  <c r="A814" i="5"/>
  <c r="B814" i="5" s="1"/>
  <c r="A815" i="5"/>
  <c r="B815" i="5" s="1"/>
  <c r="A816" i="5"/>
  <c r="B816" i="5" s="1"/>
  <c r="A817" i="5"/>
  <c r="B817" i="5" s="1"/>
  <c r="A818" i="5"/>
  <c r="B818" i="5" s="1"/>
  <c r="A819" i="5"/>
  <c r="B819" i="5" s="1"/>
  <c r="A820" i="5"/>
  <c r="B820" i="5" s="1"/>
  <c r="A821" i="5"/>
  <c r="B821" i="5" s="1"/>
  <c r="A822" i="5"/>
  <c r="B822" i="5" s="1"/>
  <c r="A823" i="5"/>
  <c r="B823" i="5" s="1"/>
  <c r="A824" i="5"/>
  <c r="B824" i="5" s="1"/>
  <c r="A825" i="5"/>
  <c r="B825" i="5" s="1"/>
  <c r="A826" i="5"/>
  <c r="B826" i="5" s="1"/>
  <c r="A827" i="5"/>
  <c r="B827" i="5" s="1"/>
  <c r="A828" i="5"/>
  <c r="B828" i="5" s="1"/>
  <c r="A829" i="5"/>
  <c r="B829" i="5" s="1"/>
  <c r="A830" i="5"/>
  <c r="B830" i="5" s="1"/>
  <c r="A831" i="5"/>
  <c r="B831" i="5" s="1"/>
  <c r="A832" i="5"/>
  <c r="B832" i="5" s="1"/>
  <c r="A833" i="5"/>
  <c r="B833" i="5" s="1"/>
  <c r="A834" i="5"/>
  <c r="B834" i="5" s="1"/>
  <c r="A835" i="5"/>
  <c r="B835" i="5" s="1"/>
  <c r="A836" i="5"/>
  <c r="B836" i="5" s="1"/>
  <c r="A837" i="5"/>
  <c r="B837" i="5" s="1"/>
  <c r="A838" i="5"/>
  <c r="B838" i="5" s="1"/>
  <c r="A839" i="5"/>
  <c r="B839" i="5" s="1"/>
  <c r="A840" i="5"/>
  <c r="B840" i="5" s="1"/>
  <c r="A841" i="5"/>
  <c r="B841" i="5" s="1"/>
  <c r="A842" i="5"/>
  <c r="B842" i="5" s="1"/>
  <c r="A843" i="5"/>
  <c r="B843" i="5" s="1"/>
  <c r="A844" i="5"/>
  <c r="B844" i="5" s="1"/>
  <c r="A845" i="5"/>
  <c r="B845" i="5" s="1"/>
  <c r="A846" i="5"/>
  <c r="B846" i="5" s="1"/>
  <c r="A847" i="5"/>
  <c r="B847" i="5" s="1"/>
  <c r="A848" i="5"/>
  <c r="B848" i="5" s="1"/>
  <c r="A849" i="5"/>
  <c r="B849" i="5" s="1"/>
  <c r="A850" i="5"/>
  <c r="B850" i="5" s="1"/>
  <c r="A851" i="5"/>
  <c r="B851" i="5" s="1"/>
  <c r="A852" i="5"/>
  <c r="B852" i="5" s="1"/>
  <c r="A853" i="5"/>
  <c r="B853" i="5" s="1"/>
  <c r="A854" i="5"/>
  <c r="B854" i="5" s="1"/>
  <c r="A855" i="5"/>
  <c r="B855" i="5" s="1"/>
  <c r="A856" i="5"/>
  <c r="B856" i="5" s="1"/>
  <c r="A857" i="5"/>
  <c r="B857" i="5" s="1"/>
  <c r="A858" i="5"/>
  <c r="B858" i="5" s="1"/>
  <c r="A859" i="5"/>
  <c r="B859" i="5" s="1"/>
  <c r="A860" i="5"/>
  <c r="B860" i="5" s="1"/>
  <c r="A861" i="5"/>
  <c r="B861" i="5" s="1"/>
  <c r="A862" i="5"/>
  <c r="B862" i="5" s="1"/>
  <c r="A863" i="5"/>
  <c r="B863" i="5" s="1"/>
  <c r="A864" i="5"/>
  <c r="B864" i="5" s="1"/>
  <c r="A865" i="5"/>
  <c r="B865" i="5" s="1"/>
  <c r="A866" i="5"/>
  <c r="B866" i="5" s="1"/>
  <c r="A867" i="5"/>
  <c r="B867" i="5" s="1"/>
  <c r="A868" i="5"/>
  <c r="B868" i="5" s="1"/>
  <c r="A869" i="5"/>
  <c r="B869" i="5" s="1"/>
  <c r="A870" i="5"/>
  <c r="B870" i="5" s="1"/>
  <c r="A871" i="5"/>
  <c r="B871" i="5" s="1"/>
  <c r="A872" i="5"/>
  <c r="B872" i="5" s="1"/>
  <c r="A873" i="5"/>
  <c r="B873" i="5" s="1"/>
  <c r="A874" i="5"/>
  <c r="B874" i="5" s="1"/>
  <c r="A875" i="5"/>
  <c r="B875" i="5" s="1"/>
  <c r="A876" i="5"/>
  <c r="B876" i="5" s="1"/>
  <c r="A877" i="5"/>
  <c r="B877" i="5" s="1"/>
  <c r="A878" i="5"/>
  <c r="B878" i="5" s="1"/>
  <c r="A879" i="5"/>
  <c r="B879" i="5" s="1"/>
  <c r="A880" i="5"/>
  <c r="B880" i="5" s="1"/>
  <c r="A881" i="5"/>
  <c r="B881" i="5" s="1"/>
  <c r="A882" i="5"/>
  <c r="B882" i="5" s="1"/>
  <c r="A883" i="5"/>
  <c r="B883" i="5" s="1"/>
  <c r="A884" i="5"/>
  <c r="B884" i="5" s="1"/>
  <c r="A885" i="5"/>
  <c r="B885" i="5" s="1"/>
  <c r="A886" i="5"/>
  <c r="B886" i="5" s="1"/>
  <c r="A887" i="5"/>
  <c r="B887" i="5" s="1"/>
  <c r="A888" i="5"/>
  <c r="B888" i="5" s="1"/>
  <c r="A889" i="5"/>
  <c r="B889" i="5" s="1"/>
  <c r="A890" i="5"/>
  <c r="B890" i="5" s="1"/>
  <c r="A891" i="5"/>
  <c r="B891" i="5" s="1"/>
  <c r="A892" i="5"/>
  <c r="B892" i="5" s="1"/>
  <c r="A893" i="5"/>
  <c r="B893" i="5" s="1"/>
  <c r="A894" i="5"/>
  <c r="B894" i="5" s="1"/>
  <c r="A895" i="5"/>
  <c r="B895" i="5" s="1"/>
  <c r="A896" i="5"/>
  <c r="B896" i="5" s="1"/>
  <c r="A897" i="5"/>
  <c r="B897" i="5" s="1"/>
  <c r="A898" i="5"/>
  <c r="B898" i="5" s="1"/>
  <c r="A899" i="5"/>
  <c r="B899" i="5" s="1"/>
  <c r="A900" i="5"/>
  <c r="B900" i="5" s="1"/>
  <c r="A901" i="5"/>
  <c r="B901" i="5" s="1"/>
  <c r="A902" i="5"/>
  <c r="B902" i="5" s="1"/>
  <c r="A903" i="5"/>
  <c r="B903" i="5" s="1"/>
  <c r="A904" i="5"/>
  <c r="B904" i="5" s="1"/>
  <c r="A905" i="5"/>
  <c r="B905" i="5" s="1"/>
  <c r="A906" i="5"/>
  <c r="B906" i="5" s="1"/>
  <c r="A907" i="5"/>
  <c r="B907" i="5" s="1"/>
  <c r="A908" i="5"/>
  <c r="B908" i="5" s="1"/>
  <c r="A909" i="5"/>
  <c r="B909" i="5" s="1"/>
  <c r="A910" i="5"/>
  <c r="B910" i="5" s="1"/>
  <c r="A911" i="5"/>
  <c r="B911" i="5" s="1"/>
  <c r="A912" i="5"/>
  <c r="B912" i="5" s="1"/>
  <c r="A913" i="5"/>
  <c r="B913" i="5" s="1"/>
  <c r="A914" i="5"/>
  <c r="B914" i="5" s="1"/>
  <c r="A915" i="5"/>
  <c r="B915" i="5" s="1"/>
  <c r="A916" i="5"/>
  <c r="B916" i="5" s="1"/>
  <c r="A917" i="5"/>
  <c r="B917" i="5" s="1"/>
  <c r="A918" i="5"/>
  <c r="B918" i="5" s="1"/>
  <c r="A919" i="5"/>
  <c r="B919" i="5" s="1"/>
  <c r="A920" i="5"/>
  <c r="B920" i="5" s="1"/>
  <c r="A921" i="5"/>
  <c r="B921" i="5" s="1"/>
  <c r="A922" i="5"/>
  <c r="B922" i="5" s="1"/>
  <c r="A923" i="5"/>
  <c r="B923" i="5" s="1"/>
  <c r="A924" i="5"/>
  <c r="B924" i="5" s="1"/>
  <c r="A925" i="5"/>
  <c r="B925" i="5" s="1"/>
  <c r="A926" i="5"/>
  <c r="B926" i="5" s="1"/>
  <c r="A927" i="5"/>
  <c r="B927" i="5" s="1"/>
  <c r="A928" i="5"/>
  <c r="B928" i="5" s="1"/>
  <c r="A929" i="5"/>
  <c r="B929" i="5" s="1"/>
  <c r="A930" i="5"/>
  <c r="B930" i="5" s="1"/>
  <c r="A931" i="5"/>
  <c r="B931" i="5" s="1"/>
  <c r="A932" i="5"/>
  <c r="B932" i="5" s="1"/>
  <c r="A933" i="5"/>
  <c r="B933" i="5" s="1"/>
  <c r="A934" i="5"/>
  <c r="B934" i="5" s="1"/>
  <c r="A935" i="5"/>
  <c r="B935" i="5" s="1"/>
  <c r="A936" i="5"/>
  <c r="B936" i="5" s="1"/>
  <c r="A937" i="5"/>
  <c r="B937" i="5" s="1"/>
  <c r="A938" i="5"/>
  <c r="B938" i="5" s="1"/>
  <c r="A939" i="5"/>
  <c r="B939" i="5" s="1"/>
  <c r="A940" i="5"/>
  <c r="B940" i="5" s="1"/>
  <c r="A941" i="5"/>
  <c r="B941" i="5" s="1"/>
  <c r="A942" i="5"/>
  <c r="B942" i="5" s="1"/>
  <c r="A943" i="5"/>
  <c r="B943" i="5" s="1"/>
  <c r="A944" i="5"/>
  <c r="B944" i="5" s="1"/>
  <c r="A945" i="5"/>
  <c r="B945" i="5" s="1"/>
  <c r="A946" i="5"/>
  <c r="B946" i="5" s="1"/>
  <c r="A947" i="5"/>
  <c r="B947" i="5" s="1"/>
  <c r="A948" i="5"/>
  <c r="B948" i="5" s="1"/>
  <c r="A949" i="5"/>
  <c r="B949" i="5" s="1"/>
  <c r="A950" i="5"/>
  <c r="B950" i="5" s="1"/>
  <c r="A951" i="5"/>
  <c r="B951" i="5" s="1"/>
  <c r="A952" i="5"/>
  <c r="B952" i="5" s="1"/>
  <c r="A953" i="5"/>
  <c r="B953" i="5" s="1"/>
  <c r="A954" i="5"/>
  <c r="B954" i="5" s="1"/>
  <c r="A955" i="5"/>
  <c r="B955" i="5" s="1"/>
  <c r="A956" i="5"/>
  <c r="B956" i="5" s="1"/>
  <c r="A957" i="5"/>
  <c r="B957" i="5" s="1"/>
  <c r="A958" i="5"/>
  <c r="B958" i="5" s="1"/>
  <c r="A959" i="5"/>
  <c r="B959" i="5" s="1"/>
  <c r="A960" i="5"/>
  <c r="B960" i="5" s="1"/>
  <c r="A961" i="5"/>
  <c r="B961" i="5" s="1"/>
  <c r="A962" i="5"/>
  <c r="B962" i="5" s="1"/>
  <c r="A963" i="5"/>
  <c r="B963" i="5" s="1"/>
  <c r="A964" i="5"/>
  <c r="B964" i="5" s="1"/>
  <c r="A965" i="5"/>
  <c r="B965" i="5" s="1"/>
  <c r="A966" i="5"/>
  <c r="B966" i="5" s="1"/>
  <c r="A967" i="5"/>
  <c r="B967" i="5" s="1"/>
  <c r="A968" i="5"/>
  <c r="B968" i="5" s="1"/>
  <c r="A969" i="5"/>
  <c r="B969" i="5" s="1"/>
  <c r="A970" i="5"/>
  <c r="B970" i="5" s="1"/>
  <c r="A971" i="5"/>
  <c r="B971" i="5" s="1"/>
  <c r="A972" i="5"/>
  <c r="B972" i="5" s="1"/>
  <c r="A973" i="5"/>
  <c r="B973" i="5" s="1"/>
  <c r="A974" i="5"/>
  <c r="B974" i="5" s="1"/>
  <c r="A975" i="5"/>
  <c r="B975" i="5" s="1"/>
  <c r="A976" i="5"/>
  <c r="B976" i="5" s="1"/>
  <c r="A977" i="5"/>
  <c r="B977" i="5" s="1"/>
  <c r="A978" i="5"/>
  <c r="B978" i="5" s="1"/>
  <c r="A979" i="5"/>
  <c r="B979" i="5" s="1"/>
  <c r="A980" i="5"/>
  <c r="B980" i="5" s="1"/>
  <c r="A981" i="5"/>
  <c r="B981" i="5" s="1"/>
  <c r="A982" i="5"/>
  <c r="B982" i="5" s="1"/>
  <c r="A983" i="5"/>
  <c r="B983" i="5" s="1"/>
  <c r="A984" i="5"/>
  <c r="B984" i="5" s="1"/>
  <c r="A985" i="5"/>
  <c r="B985" i="5" s="1"/>
  <c r="A986" i="5"/>
  <c r="B986" i="5" s="1"/>
  <c r="A987" i="5"/>
  <c r="B987" i="5" s="1"/>
  <c r="A988" i="5"/>
  <c r="B988" i="5" s="1"/>
  <c r="A989" i="5"/>
  <c r="B989" i="5" s="1"/>
  <c r="A990" i="5"/>
  <c r="B990" i="5" s="1"/>
  <c r="A991" i="5"/>
  <c r="B991" i="5" s="1"/>
  <c r="A992" i="5"/>
  <c r="B992" i="5" s="1"/>
  <c r="A993" i="5"/>
  <c r="B993" i="5" s="1"/>
  <c r="A994" i="5"/>
  <c r="B994" i="5" s="1"/>
  <c r="A995" i="5"/>
  <c r="B995" i="5" s="1"/>
  <c r="A996" i="5"/>
  <c r="B996" i="5" s="1"/>
  <c r="A997" i="5"/>
  <c r="B997" i="5" s="1"/>
  <c r="A998" i="5"/>
  <c r="B998" i="5" s="1"/>
  <c r="A999" i="5"/>
  <c r="B999" i="5" s="1"/>
  <c r="A1000" i="5"/>
  <c r="B1000" i="5" s="1"/>
  <c r="A1001" i="5"/>
  <c r="B1001" i="5" s="1"/>
  <c r="A2" i="5"/>
  <c r="B2" i="5" s="1"/>
  <c r="C31" i="8"/>
  <c r="C32" i="8"/>
  <c r="C33" i="8"/>
  <c r="C34" i="8"/>
  <c r="C35" i="8"/>
  <c r="C36" i="8"/>
  <c r="C37" i="8"/>
  <c r="C30" i="8"/>
  <c r="C21" i="8"/>
  <c r="C22" i="8"/>
  <c r="C23" i="8"/>
  <c r="C24" i="8"/>
  <c r="C20"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56" i="8"/>
  <c r="H58" i="8"/>
  <c r="E67" i="11"/>
  <c r="F67" i="11" s="1"/>
  <c r="E68" i="11"/>
  <c r="F68" i="11" s="1"/>
  <c r="E69" i="11"/>
  <c r="F69" i="11" s="1"/>
  <c r="E70" i="11"/>
  <c r="F70" i="11" s="1"/>
  <c r="E71" i="11"/>
  <c r="F71" i="11" s="1"/>
  <c r="E72" i="11"/>
  <c r="F72" i="11" s="1"/>
  <c r="E73" i="11"/>
  <c r="F73" i="11" s="1"/>
  <c r="E66" i="11"/>
  <c r="F66" i="11" s="1"/>
  <c r="C26" i="11"/>
  <c r="C27" i="11"/>
  <c r="C28" i="11"/>
  <c r="C29" i="11"/>
  <c r="C30" i="11"/>
  <c r="C31" i="11"/>
  <c r="C32" i="11"/>
  <c r="C33" i="11"/>
  <c r="C34" i="11"/>
  <c r="C35" i="11"/>
  <c r="C36" i="11"/>
  <c r="C37" i="11"/>
  <c r="C38" i="11"/>
  <c r="C39" i="11"/>
  <c r="C40" i="11"/>
  <c r="C41" i="11"/>
  <c r="C42" i="11"/>
  <c r="C43" i="11"/>
  <c r="C44" i="11"/>
  <c r="C25" i="11"/>
  <c r="AE15" i="14" l="1"/>
  <c r="AF15" i="14" s="1"/>
  <c r="D2" i="5"/>
  <c r="D3" i="5"/>
  <c r="D7" i="5"/>
  <c r="D11" i="5"/>
  <c r="D15" i="5"/>
  <c r="D19" i="5"/>
  <c r="D23" i="5"/>
  <c r="D27" i="5"/>
  <c r="D31" i="5"/>
  <c r="D35" i="5"/>
  <c r="D39" i="5"/>
  <c r="D43" i="5"/>
  <c r="D47" i="5"/>
  <c r="D51" i="5"/>
  <c r="D55" i="5"/>
  <c r="D59" i="5"/>
  <c r="D63" i="5"/>
  <c r="D67" i="5"/>
  <c r="D71" i="5"/>
  <c r="D75" i="5"/>
  <c r="D79" i="5"/>
  <c r="D83" i="5"/>
  <c r="D87" i="5"/>
  <c r="D91" i="5"/>
  <c r="D95" i="5"/>
  <c r="D99" i="5"/>
  <c r="D103" i="5"/>
  <c r="D107" i="5"/>
  <c r="D111" i="5"/>
  <c r="D115" i="5"/>
  <c r="D119" i="5"/>
  <c r="D123" i="5"/>
  <c r="D127" i="5"/>
  <c r="D131" i="5"/>
  <c r="D135" i="5"/>
  <c r="D139" i="5"/>
  <c r="D143" i="5"/>
  <c r="D147" i="5"/>
  <c r="D151" i="5"/>
  <c r="D155" i="5"/>
  <c r="D159" i="5"/>
  <c r="D163" i="5"/>
  <c r="D167" i="5"/>
  <c r="D171" i="5"/>
  <c r="D175" i="5"/>
  <c r="D179" i="5"/>
  <c r="D183" i="5"/>
  <c r="D187" i="5"/>
  <c r="D191" i="5"/>
  <c r="D195" i="5"/>
  <c r="D199" i="5"/>
  <c r="D203" i="5"/>
  <c r="D207" i="5"/>
  <c r="D211" i="5"/>
  <c r="D215" i="5"/>
  <c r="D219" i="5"/>
  <c r="D223" i="5"/>
  <c r="D227" i="5"/>
  <c r="D231" i="5"/>
  <c r="D235" i="5"/>
  <c r="D239" i="5"/>
  <c r="D243" i="5"/>
  <c r="D247" i="5"/>
  <c r="D251" i="5"/>
  <c r="D255" i="5"/>
  <c r="D259" i="5"/>
  <c r="D263" i="5"/>
  <c r="D267" i="5"/>
  <c r="D271" i="5"/>
  <c r="D275" i="5"/>
  <c r="D279" i="5"/>
  <c r="D283" i="5"/>
  <c r="D287" i="5"/>
  <c r="D291" i="5"/>
  <c r="D295" i="5"/>
  <c r="D299" i="5"/>
  <c r="D303" i="5"/>
  <c r="D307" i="5"/>
  <c r="D311" i="5"/>
  <c r="D315" i="5"/>
  <c r="D319" i="5"/>
  <c r="D323" i="5"/>
  <c r="D327" i="5"/>
  <c r="D331" i="5"/>
  <c r="D335" i="5"/>
  <c r="D339" i="5"/>
  <c r="D4" i="5"/>
  <c r="D8" i="5"/>
  <c r="D12" i="5"/>
  <c r="D16" i="5"/>
  <c r="D20" i="5"/>
  <c r="D24" i="5"/>
  <c r="D28" i="5"/>
  <c r="D32" i="5"/>
  <c r="D36" i="5"/>
  <c r="D40" i="5"/>
  <c r="D44" i="5"/>
  <c r="D48" i="5"/>
  <c r="D52" i="5"/>
  <c r="D56" i="5"/>
  <c r="D60" i="5"/>
  <c r="D64" i="5"/>
  <c r="D68" i="5"/>
  <c r="D72" i="5"/>
  <c r="D76" i="5"/>
  <c r="D80" i="5"/>
  <c r="D84" i="5"/>
  <c r="D88" i="5"/>
  <c r="D92" i="5"/>
  <c r="D96" i="5"/>
  <c r="D100" i="5"/>
  <c r="D104" i="5"/>
  <c r="D108" i="5"/>
  <c r="D112" i="5"/>
  <c r="D116" i="5"/>
  <c r="D120" i="5"/>
  <c r="D124" i="5"/>
  <c r="D128" i="5"/>
  <c r="D132" i="5"/>
  <c r="D136" i="5"/>
  <c r="D140" i="5"/>
  <c r="D144" i="5"/>
  <c r="D148" i="5"/>
  <c r="D152" i="5"/>
  <c r="D156" i="5"/>
  <c r="D160" i="5"/>
  <c r="D164" i="5"/>
  <c r="D168" i="5"/>
  <c r="D172" i="5"/>
  <c r="D176" i="5"/>
  <c r="D180" i="5"/>
  <c r="D184" i="5"/>
  <c r="D188" i="5"/>
  <c r="D192" i="5"/>
  <c r="D196" i="5"/>
  <c r="D200" i="5"/>
  <c r="D204" i="5"/>
  <c r="D208" i="5"/>
  <c r="D212" i="5"/>
  <c r="D216" i="5"/>
  <c r="D220" i="5"/>
  <c r="D224" i="5"/>
  <c r="D228" i="5"/>
  <c r="D232" i="5"/>
  <c r="D236" i="5"/>
  <c r="D240" i="5"/>
  <c r="D244" i="5"/>
  <c r="D248" i="5"/>
  <c r="D252" i="5"/>
  <c r="D256" i="5"/>
  <c r="D260" i="5"/>
  <c r="D5" i="5"/>
  <c r="D9" i="5"/>
  <c r="D13" i="5"/>
  <c r="D17" i="5"/>
  <c r="D21" i="5"/>
  <c r="D25" i="5"/>
  <c r="D29" i="5"/>
  <c r="D33" i="5"/>
  <c r="D37" i="5"/>
  <c r="D41" i="5"/>
  <c r="D45" i="5"/>
  <c r="D49" i="5"/>
  <c r="D53" i="5"/>
  <c r="D57" i="5"/>
  <c r="D61" i="5"/>
  <c r="D65" i="5"/>
  <c r="D69" i="5"/>
  <c r="D73" i="5"/>
  <c r="D77" i="5"/>
  <c r="D81" i="5"/>
  <c r="D85" i="5"/>
  <c r="D89" i="5"/>
  <c r="D93" i="5"/>
  <c r="D97" i="5"/>
  <c r="D101" i="5"/>
  <c r="D105" i="5"/>
  <c r="D109" i="5"/>
  <c r="D113" i="5"/>
  <c r="D117" i="5"/>
  <c r="D121" i="5"/>
  <c r="D125" i="5"/>
  <c r="D129" i="5"/>
  <c r="D133" i="5"/>
  <c r="D137" i="5"/>
  <c r="D141" i="5"/>
  <c r="D145" i="5"/>
  <c r="D149" i="5"/>
  <c r="D153" i="5"/>
  <c r="D157" i="5"/>
  <c r="D161" i="5"/>
  <c r="D165" i="5"/>
  <c r="D169" i="5"/>
  <c r="D173" i="5"/>
  <c r="D177" i="5"/>
  <c r="D181" i="5"/>
  <c r="D185" i="5"/>
  <c r="D189" i="5"/>
  <c r="D193" i="5"/>
  <c r="D197" i="5"/>
  <c r="D201" i="5"/>
  <c r="D205" i="5"/>
  <c r="D209" i="5"/>
  <c r="D213" i="5"/>
  <c r="D217" i="5"/>
  <c r="D221" i="5"/>
  <c r="D225" i="5"/>
  <c r="D229" i="5"/>
  <c r="D233" i="5"/>
  <c r="D237" i="5"/>
  <c r="D241" i="5"/>
  <c r="D245" i="5"/>
  <c r="D249" i="5"/>
  <c r="D253" i="5"/>
  <c r="D257" i="5"/>
  <c r="D261" i="5"/>
  <c r="D265" i="5"/>
  <c r="D269" i="5"/>
  <c r="D273" i="5"/>
  <c r="D277" i="5"/>
  <c r="D281" i="5"/>
  <c r="D285" i="5"/>
  <c r="D289" i="5"/>
  <c r="D293" i="5"/>
  <c r="D297" i="5"/>
  <c r="D301" i="5"/>
  <c r="D305" i="5"/>
  <c r="D309" i="5"/>
  <c r="D313" i="5"/>
  <c r="D317" i="5"/>
  <c r="D321" i="5"/>
  <c r="D325" i="5"/>
  <c r="D329" i="5"/>
  <c r="D333" i="5"/>
  <c r="D337" i="5"/>
  <c r="D341" i="5"/>
  <c r="D6" i="5"/>
  <c r="D22" i="5"/>
  <c r="D38" i="5"/>
  <c r="D54" i="5"/>
  <c r="D70" i="5"/>
  <c r="D86" i="5"/>
  <c r="D102" i="5"/>
  <c r="D118" i="5"/>
  <c r="D134" i="5"/>
  <c r="D150" i="5"/>
  <c r="D166" i="5"/>
  <c r="D182" i="5"/>
  <c r="D198" i="5"/>
  <c r="D214" i="5"/>
  <c r="D230" i="5"/>
  <c r="D246" i="5"/>
  <c r="D262" i="5"/>
  <c r="D270" i="5"/>
  <c r="D278" i="5"/>
  <c r="D286" i="5"/>
  <c r="D294" i="5"/>
  <c r="D302" i="5"/>
  <c r="D310" i="5"/>
  <c r="D318" i="5"/>
  <c r="D326" i="5"/>
  <c r="D334" i="5"/>
  <c r="D342" i="5"/>
  <c r="D346" i="5"/>
  <c r="D350" i="5"/>
  <c r="D354" i="5"/>
  <c r="D358" i="5"/>
  <c r="D362" i="5"/>
  <c r="D366" i="5"/>
  <c r="D370" i="5"/>
  <c r="D374" i="5"/>
  <c r="D378" i="5"/>
  <c r="D382" i="5"/>
  <c r="D386" i="5"/>
  <c r="D390" i="5"/>
  <c r="D394" i="5"/>
  <c r="D398" i="5"/>
  <c r="D402" i="5"/>
  <c r="D406" i="5"/>
  <c r="D410" i="5"/>
  <c r="D414" i="5"/>
  <c r="D418" i="5"/>
  <c r="D422" i="5"/>
  <c r="D426" i="5"/>
  <c r="D430" i="5"/>
  <c r="D434" i="5"/>
  <c r="D438" i="5"/>
  <c r="D442" i="5"/>
  <c r="D446" i="5"/>
  <c r="D450" i="5"/>
  <c r="D454" i="5"/>
  <c r="D458" i="5"/>
  <c r="D462" i="5"/>
  <c r="D466" i="5"/>
  <c r="D470" i="5"/>
  <c r="D474" i="5"/>
  <c r="D478" i="5"/>
  <c r="D482" i="5"/>
  <c r="D486" i="5"/>
  <c r="D490" i="5"/>
  <c r="D494" i="5"/>
  <c r="D498" i="5"/>
  <c r="D502" i="5"/>
  <c r="D506" i="5"/>
  <c r="D510" i="5"/>
  <c r="D514" i="5"/>
  <c r="D518" i="5"/>
  <c r="D522" i="5"/>
  <c r="D526" i="5"/>
  <c r="D530" i="5"/>
  <c r="D534" i="5"/>
  <c r="D538" i="5"/>
  <c r="D542" i="5"/>
  <c r="D546" i="5"/>
  <c r="D550" i="5"/>
  <c r="D554" i="5"/>
  <c r="D558" i="5"/>
  <c r="D562" i="5"/>
  <c r="D566" i="5"/>
  <c r="D570" i="5"/>
  <c r="D574" i="5"/>
  <c r="D578" i="5"/>
  <c r="D582" i="5"/>
  <c r="D586" i="5"/>
  <c r="D590" i="5"/>
  <c r="D594" i="5"/>
  <c r="D598" i="5"/>
  <c r="D602" i="5"/>
  <c r="D606" i="5"/>
  <c r="D10" i="5"/>
  <c r="D26" i="5"/>
  <c r="D42" i="5"/>
  <c r="D58" i="5"/>
  <c r="D74" i="5"/>
  <c r="D90" i="5"/>
  <c r="D106" i="5"/>
  <c r="D122" i="5"/>
  <c r="D138" i="5"/>
  <c r="D154" i="5"/>
  <c r="D170" i="5"/>
  <c r="D186" i="5"/>
  <c r="D202" i="5"/>
  <c r="D218" i="5"/>
  <c r="D234" i="5"/>
  <c r="D250" i="5"/>
  <c r="D264" i="5"/>
  <c r="D272" i="5"/>
  <c r="D280" i="5"/>
  <c r="D288" i="5"/>
  <c r="D296" i="5"/>
  <c r="D304" i="5"/>
  <c r="D312" i="5"/>
  <c r="D320" i="5"/>
  <c r="D328" i="5"/>
  <c r="D336" i="5"/>
  <c r="D343" i="5"/>
  <c r="D347" i="5"/>
  <c r="D351" i="5"/>
  <c r="D355" i="5"/>
  <c r="D359" i="5"/>
  <c r="D363" i="5"/>
  <c r="D367" i="5"/>
  <c r="D371" i="5"/>
  <c r="D375" i="5"/>
  <c r="D379" i="5"/>
  <c r="D383" i="5"/>
  <c r="D387" i="5"/>
  <c r="D391" i="5"/>
  <c r="D395" i="5"/>
  <c r="D399" i="5"/>
  <c r="D403" i="5"/>
  <c r="D407" i="5"/>
  <c r="D411" i="5"/>
  <c r="D415" i="5"/>
  <c r="D419" i="5"/>
  <c r="D423" i="5"/>
  <c r="D427" i="5"/>
  <c r="D431" i="5"/>
  <c r="D435" i="5"/>
  <c r="D439" i="5"/>
  <c r="D443" i="5"/>
  <c r="D447" i="5"/>
  <c r="D451" i="5"/>
  <c r="D455" i="5"/>
  <c r="D459" i="5"/>
  <c r="D463" i="5"/>
  <c r="D467" i="5"/>
  <c r="D471" i="5"/>
  <c r="D475" i="5"/>
  <c r="D479" i="5"/>
  <c r="D483" i="5"/>
  <c r="D487" i="5"/>
  <c r="D491" i="5"/>
  <c r="D495" i="5"/>
  <c r="D499" i="5"/>
  <c r="D503" i="5"/>
  <c r="D507" i="5"/>
  <c r="D14" i="5"/>
  <c r="D30" i="5"/>
  <c r="D46" i="5"/>
  <c r="D62" i="5"/>
  <c r="D78" i="5"/>
  <c r="D94" i="5"/>
  <c r="D110" i="5"/>
  <c r="D126" i="5"/>
  <c r="D142" i="5"/>
  <c r="D158" i="5"/>
  <c r="D174" i="5"/>
  <c r="D190" i="5"/>
  <c r="D206" i="5"/>
  <c r="D222" i="5"/>
  <c r="D238" i="5"/>
  <c r="D254" i="5"/>
  <c r="D266" i="5"/>
  <c r="D274" i="5"/>
  <c r="D282" i="5"/>
  <c r="D290" i="5"/>
  <c r="D298" i="5"/>
  <c r="D306" i="5"/>
  <c r="D314" i="5"/>
  <c r="D322" i="5"/>
  <c r="D330" i="5"/>
  <c r="D338" i="5"/>
  <c r="D344" i="5"/>
  <c r="D348" i="5"/>
  <c r="D352" i="5"/>
  <c r="D356" i="5"/>
  <c r="D360" i="5"/>
  <c r="D364" i="5"/>
  <c r="D368" i="5"/>
  <c r="D372" i="5"/>
  <c r="D376" i="5"/>
  <c r="D380" i="5"/>
  <c r="D384" i="5"/>
  <c r="D388" i="5"/>
  <c r="D392" i="5"/>
  <c r="D396" i="5"/>
  <c r="D400" i="5"/>
  <c r="D404" i="5"/>
  <c r="D408" i="5"/>
  <c r="D412" i="5"/>
  <c r="D416" i="5"/>
  <c r="D420" i="5"/>
  <c r="D424" i="5"/>
  <c r="D428" i="5"/>
  <c r="D432" i="5"/>
  <c r="D436" i="5"/>
  <c r="D440" i="5"/>
  <c r="D444" i="5"/>
  <c r="D448" i="5"/>
  <c r="D452" i="5"/>
  <c r="D456" i="5"/>
  <c r="D460" i="5"/>
  <c r="D464" i="5"/>
  <c r="D468" i="5"/>
  <c r="D472" i="5"/>
  <c r="D476" i="5"/>
  <c r="D480" i="5"/>
  <c r="D484" i="5"/>
  <c r="D488" i="5"/>
  <c r="D492" i="5"/>
  <c r="D496" i="5"/>
  <c r="D500" i="5"/>
  <c r="D504" i="5"/>
  <c r="D508" i="5"/>
  <c r="D512" i="5"/>
  <c r="D516" i="5"/>
  <c r="D520" i="5"/>
  <c r="D524" i="5"/>
  <c r="D528" i="5"/>
  <c r="D532" i="5"/>
  <c r="D536" i="5"/>
  <c r="D540" i="5"/>
  <c r="D544" i="5"/>
  <c r="D548" i="5"/>
  <c r="D552" i="5"/>
  <c r="D556" i="5"/>
  <c r="D560" i="5"/>
  <c r="D564" i="5"/>
  <c r="D568" i="5"/>
  <c r="D572" i="5"/>
  <c r="D576" i="5"/>
  <c r="D18" i="5"/>
  <c r="D82" i="5"/>
  <c r="D146" i="5"/>
  <c r="D210" i="5"/>
  <c r="D268" i="5"/>
  <c r="D300" i="5"/>
  <c r="D332" i="5"/>
  <c r="D353" i="5"/>
  <c r="D369" i="5"/>
  <c r="D385" i="5"/>
  <c r="D401" i="5"/>
  <c r="D417" i="5"/>
  <c r="D433" i="5"/>
  <c r="D449" i="5"/>
  <c r="D465" i="5"/>
  <c r="D481" i="5"/>
  <c r="D497" i="5"/>
  <c r="D511" i="5"/>
  <c r="D519" i="5"/>
  <c r="D527" i="5"/>
  <c r="D535" i="5"/>
  <c r="D543" i="5"/>
  <c r="D551" i="5"/>
  <c r="D559" i="5"/>
  <c r="D567" i="5"/>
  <c r="D575" i="5"/>
  <c r="D581" i="5"/>
  <c r="D587" i="5"/>
  <c r="D592" i="5"/>
  <c r="D597" i="5"/>
  <c r="D603" i="5"/>
  <c r="D608" i="5"/>
  <c r="D612" i="5"/>
  <c r="D616" i="5"/>
  <c r="D620" i="5"/>
  <c r="D624" i="5"/>
  <c r="D628" i="5"/>
  <c r="D632" i="5"/>
  <c r="D636" i="5"/>
  <c r="D640" i="5"/>
  <c r="D644" i="5"/>
  <c r="D648" i="5"/>
  <c r="D652" i="5"/>
  <c r="D656" i="5"/>
  <c r="D660" i="5"/>
  <c r="D664" i="5"/>
  <c r="D668" i="5"/>
  <c r="D672" i="5"/>
  <c r="D676" i="5"/>
  <c r="D680" i="5"/>
  <c r="D684" i="5"/>
  <c r="D688" i="5"/>
  <c r="D692" i="5"/>
  <c r="D696" i="5"/>
  <c r="D700" i="5"/>
  <c r="D704" i="5"/>
  <c r="D708" i="5"/>
  <c r="D712" i="5"/>
  <c r="D716" i="5"/>
  <c r="D720" i="5"/>
  <c r="D724" i="5"/>
  <c r="D728" i="5"/>
  <c r="D732" i="5"/>
  <c r="D736" i="5"/>
  <c r="D740" i="5"/>
  <c r="D744" i="5"/>
  <c r="D748" i="5"/>
  <c r="D752" i="5"/>
  <c r="D756" i="5"/>
  <c r="D760" i="5"/>
  <c r="D764" i="5"/>
  <c r="D768" i="5"/>
  <c r="D772" i="5"/>
  <c r="D776" i="5"/>
  <c r="D780" i="5"/>
  <c r="D784" i="5"/>
  <c r="D788" i="5"/>
  <c r="D792" i="5"/>
  <c r="D796" i="5"/>
  <c r="D800" i="5"/>
  <c r="D804" i="5"/>
  <c r="D808" i="5"/>
  <c r="D812" i="5"/>
  <c r="D816" i="5"/>
  <c r="D820" i="5"/>
  <c r="D824" i="5"/>
  <c r="D828" i="5"/>
  <c r="D832" i="5"/>
  <c r="D836" i="5"/>
  <c r="D840" i="5"/>
  <c r="D844" i="5"/>
  <c r="D848" i="5"/>
  <c r="D852" i="5"/>
  <c r="D856" i="5"/>
  <c r="D860" i="5"/>
  <c r="D864" i="5"/>
  <c r="D868" i="5"/>
  <c r="D872" i="5"/>
  <c r="D876" i="5"/>
  <c r="D880" i="5"/>
  <c r="D884" i="5"/>
  <c r="D888" i="5"/>
  <c r="D892" i="5"/>
  <c r="D896" i="5"/>
  <c r="D900" i="5"/>
  <c r="D904" i="5"/>
  <c r="D908" i="5"/>
  <c r="D912" i="5"/>
  <c r="D916" i="5"/>
  <c r="D920" i="5"/>
  <c r="D924" i="5"/>
  <c r="D928" i="5"/>
  <c r="D932" i="5"/>
  <c r="D936" i="5"/>
  <c r="D940" i="5"/>
  <c r="D944" i="5"/>
  <c r="D948" i="5"/>
  <c r="D952" i="5"/>
  <c r="D956" i="5"/>
  <c r="D960" i="5"/>
  <c r="D964" i="5"/>
  <c r="D968" i="5"/>
  <c r="D972" i="5"/>
  <c r="D34" i="5"/>
  <c r="D98" i="5"/>
  <c r="D162" i="5"/>
  <c r="D226" i="5"/>
  <c r="D276" i="5"/>
  <c r="D308" i="5"/>
  <c r="D340" i="5"/>
  <c r="D357" i="5"/>
  <c r="D373" i="5"/>
  <c r="D389" i="5"/>
  <c r="D405" i="5"/>
  <c r="D421" i="5"/>
  <c r="D437" i="5"/>
  <c r="D453" i="5"/>
  <c r="D469" i="5"/>
  <c r="D485" i="5"/>
  <c r="D501" i="5"/>
  <c r="D513" i="5"/>
  <c r="D521" i="5"/>
  <c r="D529" i="5"/>
  <c r="D537" i="5"/>
  <c r="D545" i="5"/>
  <c r="D553" i="5"/>
  <c r="D561" i="5"/>
  <c r="D569" i="5"/>
  <c r="D577" i="5"/>
  <c r="D583" i="5"/>
  <c r="D588" i="5"/>
  <c r="D593" i="5"/>
  <c r="D599" i="5"/>
  <c r="D604" i="5"/>
  <c r="D609" i="5"/>
  <c r="D613" i="5"/>
  <c r="D617" i="5"/>
  <c r="D621" i="5"/>
  <c r="D625" i="5"/>
  <c r="D629" i="5"/>
  <c r="D633" i="5"/>
  <c r="D637" i="5"/>
  <c r="D641" i="5"/>
  <c r="D645" i="5"/>
  <c r="D649" i="5"/>
  <c r="D653" i="5"/>
  <c r="D657" i="5"/>
  <c r="D661" i="5"/>
  <c r="D665" i="5"/>
  <c r="D669" i="5"/>
  <c r="D673" i="5"/>
  <c r="D677" i="5"/>
  <c r="D681" i="5"/>
  <c r="D685" i="5"/>
  <c r="D689" i="5"/>
  <c r="D693" i="5"/>
  <c r="D697" i="5"/>
  <c r="D701" i="5"/>
  <c r="D705" i="5"/>
  <c r="D709" i="5"/>
  <c r="D713" i="5"/>
  <c r="D717" i="5"/>
  <c r="D721" i="5"/>
  <c r="D725" i="5"/>
  <c r="D729" i="5"/>
  <c r="D733" i="5"/>
  <c r="D737" i="5"/>
  <c r="D741" i="5"/>
  <c r="D745" i="5"/>
  <c r="D749" i="5"/>
  <c r="D753" i="5"/>
  <c r="D757" i="5"/>
  <c r="D761" i="5"/>
  <c r="D765" i="5"/>
  <c r="D769" i="5"/>
  <c r="D773" i="5"/>
  <c r="D777" i="5"/>
  <c r="D781" i="5"/>
  <c r="D785" i="5"/>
  <c r="D789" i="5"/>
  <c r="D793" i="5"/>
  <c r="D797" i="5"/>
  <c r="D801" i="5"/>
  <c r="D805" i="5"/>
  <c r="D809" i="5"/>
  <c r="D813" i="5"/>
  <c r="D817" i="5"/>
  <c r="D821" i="5"/>
  <c r="D50" i="5"/>
  <c r="D114" i="5"/>
  <c r="D178" i="5"/>
  <c r="D242" i="5"/>
  <c r="D284" i="5"/>
  <c r="D316" i="5"/>
  <c r="D345" i="5"/>
  <c r="D361" i="5"/>
  <c r="D377" i="5"/>
  <c r="D393" i="5"/>
  <c r="D409" i="5"/>
  <c r="D425" i="5"/>
  <c r="D441" i="5"/>
  <c r="D457" i="5"/>
  <c r="D473" i="5"/>
  <c r="D489" i="5"/>
  <c r="D505" i="5"/>
  <c r="D515" i="5"/>
  <c r="D523" i="5"/>
  <c r="D531" i="5"/>
  <c r="D539" i="5"/>
  <c r="D547" i="5"/>
  <c r="D555" i="5"/>
  <c r="D563" i="5"/>
  <c r="D571" i="5"/>
  <c r="D579" i="5"/>
  <c r="D584" i="5"/>
  <c r="D589" i="5"/>
  <c r="D595" i="5"/>
  <c r="D600" i="5"/>
  <c r="D605" i="5"/>
  <c r="D610" i="5"/>
  <c r="D614" i="5"/>
  <c r="D618" i="5"/>
  <c r="D622" i="5"/>
  <c r="D626" i="5"/>
  <c r="D630" i="5"/>
  <c r="D634" i="5"/>
  <c r="D638" i="5"/>
  <c r="D642" i="5"/>
  <c r="D646" i="5"/>
  <c r="D650" i="5"/>
  <c r="D654" i="5"/>
  <c r="D658" i="5"/>
  <c r="D662" i="5"/>
  <c r="D666" i="5"/>
  <c r="D670" i="5"/>
  <c r="D674" i="5"/>
  <c r="D678" i="5"/>
  <c r="D682" i="5"/>
  <c r="D686" i="5"/>
  <c r="D690" i="5"/>
  <c r="D694" i="5"/>
  <c r="D698" i="5"/>
  <c r="D702" i="5"/>
  <c r="D706" i="5"/>
  <c r="D710" i="5"/>
  <c r="D714" i="5"/>
  <c r="D718" i="5"/>
  <c r="D722" i="5"/>
  <c r="D726" i="5"/>
  <c r="D730" i="5"/>
  <c r="D734" i="5"/>
  <c r="D738" i="5"/>
  <c r="D742" i="5"/>
  <c r="D746" i="5"/>
  <c r="D750" i="5"/>
  <c r="D754" i="5"/>
  <c r="D758" i="5"/>
  <c r="D762" i="5"/>
  <c r="D766" i="5"/>
  <c r="D770" i="5"/>
  <c r="D774" i="5"/>
  <c r="D778" i="5"/>
  <c r="D782" i="5"/>
  <c r="D786" i="5"/>
  <c r="D790" i="5"/>
  <c r="D794" i="5"/>
  <c r="D798" i="5"/>
  <c r="D802" i="5"/>
  <c r="D806" i="5"/>
  <c r="D810" i="5"/>
  <c r="D814" i="5"/>
  <c r="D818" i="5"/>
  <c r="D822" i="5"/>
  <c r="D826" i="5"/>
  <c r="D830" i="5"/>
  <c r="D834" i="5"/>
  <c r="D838" i="5"/>
  <c r="D842" i="5"/>
  <c r="D846" i="5"/>
  <c r="D850" i="5"/>
  <c r="D854" i="5"/>
  <c r="D858" i="5"/>
  <c r="D862" i="5"/>
  <c r="D866" i="5"/>
  <c r="D870" i="5"/>
  <c r="D874" i="5"/>
  <c r="D878" i="5"/>
  <c r="D882" i="5"/>
  <c r="D886" i="5"/>
  <c r="D890" i="5"/>
  <c r="D894" i="5"/>
  <c r="D898" i="5"/>
  <c r="D902" i="5"/>
  <c r="D906" i="5"/>
  <c r="D910" i="5"/>
  <c r="D914" i="5"/>
  <c r="D918" i="5"/>
  <c r="D922" i="5"/>
  <c r="D926" i="5"/>
  <c r="D930" i="5"/>
  <c r="D934" i="5"/>
  <c r="D938" i="5"/>
  <c r="D66" i="5"/>
  <c r="D292" i="5"/>
  <c r="D381" i="5"/>
  <c r="D445" i="5"/>
  <c r="D509" i="5"/>
  <c r="D541" i="5"/>
  <c r="D573" i="5"/>
  <c r="D596" i="5"/>
  <c r="D615" i="5"/>
  <c r="D631" i="5"/>
  <c r="D647" i="5"/>
  <c r="D663" i="5"/>
  <c r="D679" i="5"/>
  <c r="D695" i="5"/>
  <c r="D711" i="5"/>
  <c r="D727" i="5"/>
  <c r="D743" i="5"/>
  <c r="D759" i="5"/>
  <c r="D775" i="5"/>
  <c r="D791" i="5"/>
  <c r="D807" i="5"/>
  <c r="D823" i="5"/>
  <c r="D831" i="5"/>
  <c r="D839" i="5"/>
  <c r="D847" i="5"/>
  <c r="D855" i="5"/>
  <c r="D863" i="5"/>
  <c r="D871" i="5"/>
  <c r="D879" i="5"/>
  <c r="D887" i="5"/>
  <c r="D895" i="5"/>
  <c r="D903" i="5"/>
  <c r="D911" i="5"/>
  <c r="D919" i="5"/>
  <c r="D927" i="5"/>
  <c r="D935" i="5"/>
  <c r="D942" i="5"/>
  <c r="D947" i="5"/>
  <c r="D953" i="5"/>
  <c r="D958" i="5"/>
  <c r="D963" i="5"/>
  <c r="D969" i="5"/>
  <c r="D974" i="5"/>
  <c r="D978" i="5"/>
  <c r="D982" i="5"/>
  <c r="D986" i="5"/>
  <c r="D990" i="5"/>
  <c r="D994" i="5"/>
  <c r="D998" i="5"/>
  <c r="D897" i="5"/>
  <c r="D921" i="5"/>
  <c r="D937" i="5"/>
  <c r="D943" i="5"/>
  <c r="D954" i="5"/>
  <c r="D959" i="5"/>
  <c r="D970" i="5"/>
  <c r="D975" i="5"/>
  <c r="D983" i="5"/>
  <c r="D991" i="5"/>
  <c r="D995" i="5"/>
  <c r="D365" i="5"/>
  <c r="D493" i="5"/>
  <c r="D565" i="5"/>
  <c r="D611" i="5"/>
  <c r="D643" i="5"/>
  <c r="D675" i="5"/>
  <c r="D723" i="5"/>
  <c r="D771" i="5"/>
  <c r="D819" i="5"/>
  <c r="D845" i="5"/>
  <c r="D861" i="5"/>
  <c r="D885" i="5"/>
  <c r="D909" i="5"/>
  <c r="D925" i="5"/>
  <c r="D946" i="5"/>
  <c r="D957" i="5"/>
  <c r="D977" i="5"/>
  <c r="D985" i="5"/>
  <c r="D997" i="5"/>
  <c r="D130" i="5"/>
  <c r="D324" i="5"/>
  <c r="D397" i="5"/>
  <c r="D461" i="5"/>
  <c r="D517" i="5"/>
  <c r="D549" i="5"/>
  <c r="D580" i="5"/>
  <c r="D601" i="5"/>
  <c r="D619" i="5"/>
  <c r="D635" i="5"/>
  <c r="D651" i="5"/>
  <c r="D667" i="5"/>
  <c r="D683" i="5"/>
  <c r="D699" i="5"/>
  <c r="D715" i="5"/>
  <c r="D731" i="5"/>
  <c r="D747" i="5"/>
  <c r="D763" i="5"/>
  <c r="D779" i="5"/>
  <c r="D795" i="5"/>
  <c r="D811" i="5"/>
  <c r="D825" i="5"/>
  <c r="D833" i="5"/>
  <c r="D841" i="5"/>
  <c r="D849" i="5"/>
  <c r="D857" i="5"/>
  <c r="D865" i="5"/>
  <c r="D873" i="5"/>
  <c r="D881" i="5"/>
  <c r="D889" i="5"/>
  <c r="D905" i="5"/>
  <c r="D913" i="5"/>
  <c r="D929" i="5"/>
  <c r="D949" i="5"/>
  <c r="D965" i="5"/>
  <c r="D979" i="5"/>
  <c r="D987" i="5"/>
  <c r="D999" i="5"/>
  <c r="D429" i="5"/>
  <c r="D707" i="5"/>
  <c r="D787" i="5"/>
  <c r="D837" i="5"/>
  <c r="D869" i="5"/>
  <c r="D901" i="5"/>
  <c r="D941" i="5"/>
  <c r="D967" i="5"/>
  <c r="D989" i="5"/>
  <c r="D194" i="5"/>
  <c r="D349" i="5"/>
  <c r="D413" i="5"/>
  <c r="D477" i="5"/>
  <c r="D525" i="5"/>
  <c r="D557" i="5"/>
  <c r="D585" i="5"/>
  <c r="D607" i="5"/>
  <c r="D623" i="5"/>
  <c r="D639" i="5"/>
  <c r="D655" i="5"/>
  <c r="D671" i="5"/>
  <c r="D687" i="5"/>
  <c r="D703" i="5"/>
  <c r="D719" i="5"/>
  <c r="D735" i="5"/>
  <c r="D751" i="5"/>
  <c r="D767" i="5"/>
  <c r="D783" i="5"/>
  <c r="D799" i="5"/>
  <c r="D815" i="5"/>
  <c r="D827" i="5"/>
  <c r="D835" i="5"/>
  <c r="D843" i="5"/>
  <c r="D851" i="5"/>
  <c r="D859" i="5"/>
  <c r="D867" i="5"/>
  <c r="D875" i="5"/>
  <c r="D883" i="5"/>
  <c r="D891" i="5"/>
  <c r="D899" i="5"/>
  <c r="D907" i="5"/>
  <c r="D915" i="5"/>
  <c r="D923" i="5"/>
  <c r="D931" i="5"/>
  <c r="D939" i="5"/>
  <c r="D945" i="5"/>
  <c r="D950" i="5"/>
  <c r="D955" i="5"/>
  <c r="D961" i="5"/>
  <c r="D966" i="5"/>
  <c r="D971" i="5"/>
  <c r="D976" i="5"/>
  <c r="D980" i="5"/>
  <c r="D984" i="5"/>
  <c r="D988" i="5"/>
  <c r="D992" i="5"/>
  <c r="D996" i="5"/>
  <c r="D1000" i="5"/>
  <c r="D258" i="5"/>
  <c r="D533" i="5"/>
  <c r="D591" i="5"/>
  <c r="D627" i="5"/>
  <c r="D659" i="5"/>
  <c r="D691" i="5"/>
  <c r="D739" i="5"/>
  <c r="D755" i="5"/>
  <c r="D803" i="5"/>
  <c r="D829" i="5"/>
  <c r="D853" i="5"/>
  <c r="D877" i="5"/>
  <c r="D893" i="5"/>
  <c r="D917" i="5"/>
  <c r="D933" i="5"/>
  <c r="D951" i="5"/>
  <c r="D962" i="5"/>
  <c r="D973" i="5"/>
  <c r="D981" i="5"/>
  <c r="D993" i="5"/>
  <c r="D1001" i="5"/>
  <c r="C2" i="5"/>
  <c r="C3" i="5"/>
  <c r="C7" i="5"/>
  <c r="C11" i="5"/>
  <c r="C15" i="5"/>
  <c r="C19" i="5"/>
  <c r="C23" i="5"/>
  <c r="C27" i="5"/>
  <c r="C31" i="5"/>
  <c r="C35" i="5"/>
  <c r="C39" i="5"/>
  <c r="C43" i="5"/>
  <c r="C47" i="5"/>
  <c r="C51" i="5"/>
  <c r="C55" i="5"/>
  <c r="C59" i="5"/>
  <c r="C63" i="5"/>
  <c r="C67" i="5"/>
  <c r="C71" i="5"/>
  <c r="C75" i="5"/>
  <c r="C79" i="5"/>
  <c r="C83" i="5"/>
  <c r="C87" i="5"/>
  <c r="C91" i="5"/>
  <c r="C95" i="5"/>
  <c r="C99" i="5"/>
  <c r="C103" i="5"/>
  <c r="C107" i="5"/>
  <c r="C111" i="5"/>
  <c r="C115" i="5"/>
  <c r="C119" i="5"/>
  <c r="C123" i="5"/>
  <c r="C127" i="5"/>
  <c r="C131" i="5"/>
  <c r="C135" i="5"/>
  <c r="C139" i="5"/>
  <c r="C143" i="5"/>
  <c r="C147" i="5"/>
  <c r="C151" i="5"/>
  <c r="C155" i="5"/>
  <c r="C159" i="5"/>
  <c r="C163" i="5"/>
  <c r="C167" i="5"/>
  <c r="C171" i="5"/>
  <c r="C175" i="5"/>
  <c r="C179" i="5"/>
  <c r="C183" i="5"/>
  <c r="C187" i="5"/>
  <c r="C191" i="5"/>
  <c r="C195" i="5"/>
  <c r="C199" i="5"/>
  <c r="C203" i="5"/>
  <c r="C207" i="5"/>
  <c r="C211" i="5"/>
  <c r="C215" i="5"/>
  <c r="C219" i="5"/>
  <c r="C223" i="5"/>
  <c r="C227" i="5"/>
  <c r="C231" i="5"/>
  <c r="C235" i="5"/>
  <c r="C239" i="5"/>
  <c r="C243" i="5"/>
  <c r="C247" i="5"/>
  <c r="C251" i="5"/>
  <c r="C255" i="5"/>
  <c r="C259" i="5"/>
  <c r="C263" i="5"/>
  <c r="C267" i="5"/>
  <c r="C271" i="5"/>
  <c r="C275" i="5"/>
  <c r="C279" i="5"/>
  <c r="C283" i="5"/>
  <c r="C287" i="5"/>
  <c r="C291" i="5"/>
  <c r="C295" i="5"/>
  <c r="C299" i="5"/>
  <c r="C303" i="5"/>
  <c r="C307" i="5"/>
  <c r="C311" i="5"/>
  <c r="C315" i="5"/>
  <c r="C319" i="5"/>
  <c r="C323" i="5"/>
  <c r="C327" i="5"/>
  <c r="C331" i="5"/>
  <c r="C335" i="5"/>
  <c r="C339" i="5"/>
  <c r="C4" i="5"/>
  <c r="C9" i="5"/>
  <c r="C14" i="5"/>
  <c r="C20" i="5"/>
  <c r="C25" i="5"/>
  <c r="C30" i="5"/>
  <c r="C36" i="5"/>
  <c r="C41" i="5"/>
  <c r="C46" i="5"/>
  <c r="C52" i="5"/>
  <c r="C57" i="5"/>
  <c r="C62" i="5"/>
  <c r="C68" i="5"/>
  <c r="C73" i="5"/>
  <c r="C78" i="5"/>
  <c r="C84" i="5"/>
  <c r="C89" i="5"/>
  <c r="C94" i="5"/>
  <c r="C100" i="5"/>
  <c r="C105" i="5"/>
  <c r="C110" i="5"/>
  <c r="C116" i="5"/>
  <c r="C121" i="5"/>
  <c r="C126" i="5"/>
  <c r="C132" i="5"/>
  <c r="C137" i="5"/>
  <c r="C142" i="5"/>
  <c r="C148" i="5"/>
  <c r="C153" i="5"/>
  <c r="C158" i="5"/>
  <c r="C164" i="5"/>
  <c r="C169" i="5"/>
  <c r="C174" i="5"/>
  <c r="C180" i="5"/>
  <c r="C185" i="5"/>
  <c r="C190" i="5"/>
  <c r="C196" i="5"/>
  <c r="C201" i="5"/>
  <c r="C206" i="5"/>
  <c r="C212" i="5"/>
  <c r="C217" i="5"/>
  <c r="C222" i="5"/>
  <c r="C228" i="5"/>
  <c r="C233" i="5"/>
  <c r="C238" i="5"/>
  <c r="C244" i="5"/>
  <c r="C249" i="5"/>
  <c r="C254" i="5"/>
  <c r="C260" i="5"/>
  <c r="C265" i="5"/>
  <c r="C270" i="5"/>
  <c r="C276" i="5"/>
  <c r="C281" i="5"/>
  <c r="C286" i="5"/>
  <c r="C292" i="5"/>
  <c r="C297" i="5"/>
  <c r="C302" i="5"/>
  <c r="C308" i="5"/>
  <c r="C313" i="5"/>
  <c r="C318" i="5"/>
  <c r="C324" i="5"/>
  <c r="C329" i="5"/>
  <c r="C334" i="5"/>
  <c r="C340" i="5"/>
  <c r="C344" i="5"/>
  <c r="C348" i="5"/>
  <c r="C352" i="5"/>
  <c r="C356" i="5"/>
  <c r="C360" i="5"/>
  <c r="C364" i="5"/>
  <c r="C368" i="5"/>
  <c r="C372" i="5"/>
  <c r="C376" i="5"/>
  <c r="C380" i="5"/>
  <c r="C384" i="5"/>
  <c r="C388" i="5"/>
  <c r="C392" i="5"/>
  <c r="C396" i="5"/>
  <c r="C400" i="5"/>
  <c r="C404" i="5"/>
  <c r="C408" i="5"/>
  <c r="C412" i="5"/>
  <c r="C416" i="5"/>
  <c r="C420" i="5"/>
  <c r="C424" i="5"/>
  <c r="C428" i="5"/>
  <c r="C432" i="5"/>
  <c r="C5" i="5"/>
  <c r="C10" i="5"/>
  <c r="C16" i="5"/>
  <c r="C21" i="5"/>
  <c r="C26" i="5"/>
  <c r="C32" i="5"/>
  <c r="C37" i="5"/>
  <c r="C42" i="5"/>
  <c r="C48" i="5"/>
  <c r="C53" i="5"/>
  <c r="C58" i="5"/>
  <c r="C64" i="5"/>
  <c r="C69" i="5"/>
  <c r="C74" i="5"/>
  <c r="C80" i="5"/>
  <c r="C85" i="5"/>
  <c r="C90" i="5"/>
  <c r="C96" i="5"/>
  <c r="C101" i="5"/>
  <c r="C106" i="5"/>
  <c r="C112" i="5"/>
  <c r="C117" i="5"/>
  <c r="C122" i="5"/>
  <c r="C128" i="5"/>
  <c r="C133" i="5"/>
  <c r="C138" i="5"/>
  <c r="C144" i="5"/>
  <c r="C149" i="5"/>
  <c r="C154" i="5"/>
  <c r="C160" i="5"/>
  <c r="C165" i="5"/>
  <c r="C170" i="5"/>
  <c r="C176" i="5"/>
  <c r="C181" i="5"/>
  <c r="C186" i="5"/>
  <c r="C192" i="5"/>
  <c r="C197" i="5"/>
  <c r="C202" i="5"/>
  <c r="C208" i="5"/>
  <c r="C213" i="5"/>
  <c r="C218" i="5"/>
  <c r="C224" i="5"/>
  <c r="C229" i="5"/>
  <c r="C234" i="5"/>
  <c r="C240" i="5"/>
  <c r="C245" i="5"/>
  <c r="C250" i="5"/>
  <c r="C256" i="5"/>
  <c r="C261" i="5"/>
  <c r="C266" i="5"/>
  <c r="C272" i="5"/>
  <c r="C277" i="5"/>
  <c r="C282" i="5"/>
  <c r="C288" i="5"/>
  <c r="C293" i="5"/>
  <c r="C298" i="5"/>
  <c r="C304" i="5"/>
  <c r="C309" i="5"/>
  <c r="C314" i="5"/>
  <c r="C320" i="5"/>
  <c r="C325" i="5"/>
  <c r="C330" i="5"/>
  <c r="C336" i="5"/>
  <c r="C341" i="5"/>
  <c r="C345" i="5"/>
  <c r="C349" i="5"/>
  <c r="C353" i="5"/>
  <c r="C357" i="5"/>
  <c r="C361" i="5"/>
  <c r="C365" i="5"/>
  <c r="C369" i="5"/>
  <c r="C373" i="5"/>
  <c r="C377" i="5"/>
  <c r="C381" i="5"/>
  <c r="C385" i="5"/>
  <c r="C389" i="5"/>
  <c r="C393" i="5"/>
  <c r="C397" i="5"/>
  <c r="C401" i="5"/>
  <c r="C405" i="5"/>
  <c r="C6" i="5"/>
  <c r="C12" i="5"/>
  <c r="C17" i="5"/>
  <c r="C22" i="5"/>
  <c r="C28" i="5"/>
  <c r="C33" i="5"/>
  <c r="C38" i="5"/>
  <c r="C44" i="5"/>
  <c r="C49" i="5"/>
  <c r="C54" i="5"/>
  <c r="C60" i="5"/>
  <c r="C65" i="5"/>
  <c r="C70" i="5"/>
  <c r="C76" i="5"/>
  <c r="C81" i="5"/>
  <c r="C86" i="5"/>
  <c r="C92" i="5"/>
  <c r="C97" i="5"/>
  <c r="C102" i="5"/>
  <c r="C108" i="5"/>
  <c r="C113" i="5"/>
  <c r="C118" i="5"/>
  <c r="C124" i="5"/>
  <c r="C129" i="5"/>
  <c r="C134" i="5"/>
  <c r="C140" i="5"/>
  <c r="C145" i="5"/>
  <c r="C150" i="5"/>
  <c r="C156" i="5"/>
  <c r="C161" i="5"/>
  <c r="C166" i="5"/>
  <c r="C172" i="5"/>
  <c r="C177" i="5"/>
  <c r="C182" i="5"/>
  <c r="C188" i="5"/>
  <c r="C193" i="5"/>
  <c r="C198" i="5"/>
  <c r="C204" i="5"/>
  <c r="C209" i="5"/>
  <c r="C214" i="5"/>
  <c r="C220" i="5"/>
  <c r="C225" i="5"/>
  <c r="C230" i="5"/>
  <c r="C236" i="5"/>
  <c r="C241" i="5"/>
  <c r="C246" i="5"/>
  <c r="C252" i="5"/>
  <c r="C257" i="5"/>
  <c r="C262" i="5"/>
  <c r="C268" i="5"/>
  <c r="C273" i="5"/>
  <c r="C278" i="5"/>
  <c r="C284" i="5"/>
  <c r="C289" i="5"/>
  <c r="C294" i="5"/>
  <c r="C300" i="5"/>
  <c r="C305" i="5"/>
  <c r="C310" i="5"/>
  <c r="C316" i="5"/>
  <c r="C321" i="5"/>
  <c r="C326" i="5"/>
  <c r="C332" i="5"/>
  <c r="C337" i="5"/>
  <c r="C342" i="5"/>
  <c r="C346" i="5"/>
  <c r="C350" i="5"/>
  <c r="C354" i="5"/>
  <c r="C358" i="5"/>
  <c r="C362" i="5"/>
  <c r="C366" i="5"/>
  <c r="C370" i="5"/>
  <c r="C374" i="5"/>
  <c r="C378" i="5"/>
  <c r="C382" i="5"/>
  <c r="C386" i="5"/>
  <c r="C390" i="5"/>
  <c r="C394" i="5"/>
  <c r="C398" i="5"/>
  <c r="C402" i="5"/>
  <c r="C406" i="5"/>
  <c r="C410" i="5"/>
  <c r="C8" i="5"/>
  <c r="C13" i="5"/>
  <c r="C18" i="5"/>
  <c r="C24" i="5"/>
  <c r="C29" i="5"/>
  <c r="C34" i="5"/>
  <c r="C40" i="5"/>
  <c r="C45" i="5"/>
  <c r="C50" i="5"/>
  <c r="C56" i="5"/>
  <c r="C61" i="5"/>
  <c r="C66" i="5"/>
  <c r="C72" i="5"/>
  <c r="C77" i="5"/>
  <c r="C82" i="5"/>
  <c r="C88" i="5"/>
  <c r="C93" i="5"/>
  <c r="C98" i="5"/>
  <c r="C104" i="5"/>
  <c r="C109" i="5"/>
  <c r="C114" i="5"/>
  <c r="C120" i="5"/>
  <c r="C125" i="5"/>
  <c r="C130" i="5"/>
  <c r="C136" i="5"/>
  <c r="C141" i="5"/>
  <c r="C146" i="5"/>
  <c r="C152" i="5"/>
  <c r="C157" i="5"/>
  <c r="C162" i="5"/>
  <c r="C168" i="5"/>
  <c r="C173" i="5"/>
  <c r="C178" i="5"/>
  <c r="C184" i="5"/>
  <c r="C189" i="5"/>
  <c r="C194" i="5"/>
  <c r="C200" i="5"/>
  <c r="C205" i="5"/>
  <c r="C210" i="5"/>
  <c r="C216" i="5"/>
  <c r="C221" i="5"/>
  <c r="C226" i="5"/>
  <c r="C232" i="5"/>
  <c r="C237" i="5"/>
  <c r="C242" i="5"/>
  <c r="C248" i="5"/>
  <c r="C253" i="5"/>
  <c r="C258" i="5"/>
  <c r="C264" i="5"/>
  <c r="C269" i="5"/>
  <c r="C274" i="5"/>
  <c r="C280" i="5"/>
  <c r="C285" i="5"/>
  <c r="C290" i="5"/>
  <c r="C296" i="5"/>
  <c r="C301" i="5"/>
  <c r="C306" i="5"/>
  <c r="C312" i="5"/>
  <c r="C317" i="5"/>
  <c r="C322" i="5"/>
  <c r="C328" i="5"/>
  <c r="C333" i="5"/>
  <c r="C338" i="5"/>
  <c r="C343" i="5"/>
  <c r="C347" i="5"/>
  <c r="C351" i="5"/>
  <c r="C355" i="5"/>
  <c r="C359" i="5"/>
  <c r="C363" i="5"/>
  <c r="C367" i="5"/>
  <c r="C371" i="5"/>
  <c r="C375" i="5"/>
  <c r="C379" i="5"/>
  <c r="C383" i="5"/>
  <c r="C387" i="5"/>
  <c r="C391" i="5"/>
  <c r="C395" i="5"/>
  <c r="C399" i="5"/>
  <c r="C403" i="5"/>
  <c r="C407" i="5"/>
  <c r="C411" i="5"/>
  <c r="C415" i="5"/>
  <c r="C419" i="5"/>
  <c r="C423" i="5"/>
  <c r="C427" i="5"/>
  <c r="C409" i="5"/>
  <c r="C418" i="5"/>
  <c r="C426" i="5"/>
  <c r="C433" i="5"/>
  <c r="C437" i="5"/>
  <c r="C441" i="5"/>
  <c r="C445" i="5"/>
  <c r="C449" i="5"/>
  <c r="C453" i="5"/>
  <c r="C457" i="5"/>
  <c r="C461" i="5"/>
  <c r="C465" i="5"/>
  <c r="C469" i="5"/>
  <c r="C473" i="5"/>
  <c r="C477" i="5"/>
  <c r="C481" i="5"/>
  <c r="C485" i="5"/>
  <c r="C489" i="5"/>
  <c r="C493" i="5"/>
  <c r="C497" i="5"/>
  <c r="C501" i="5"/>
  <c r="C505" i="5"/>
  <c r="C509" i="5"/>
  <c r="C513" i="5"/>
  <c r="C517" i="5"/>
  <c r="C521" i="5"/>
  <c r="C525" i="5"/>
  <c r="C529" i="5"/>
  <c r="C533" i="5"/>
  <c r="C537" i="5"/>
  <c r="C541" i="5"/>
  <c r="C545" i="5"/>
  <c r="C549" i="5"/>
  <c r="C553" i="5"/>
  <c r="C557" i="5"/>
  <c r="C561" i="5"/>
  <c r="C565" i="5"/>
  <c r="C569" i="5"/>
  <c r="C573" i="5"/>
  <c r="C577" i="5"/>
  <c r="C581" i="5"/>
  <c r="C585" i="5"/>
  <c r="C589" i="5"/>
  <c r="C593" i="5"/>
  <c r="C597" i="5"/>
  <c r="C601" i="5"/>
  <c r="C605" i="5"/>
  <c r="C609" i="5"/>
  <c r="C613" i="5"/>
  <c r="C617" i="5"/>
  <c r="C621" i="5"/>
  <c r="C625" i="5"/>
  <c r="C629" i="5"/>
  <c r="C633" i="5"/>
  <c r="C637" i="5"/>
  <c r="C641" i="5"/>
  <c r="C645" i="5"/>
  <c r="C649" i="5"/>
  <c r="C653" i="5"/>
  <c r="C657" i="5"/>
  <c r="C661" i="5"/>
  <c r="C665" i="5"/>
  <c r="C669" i="5"/>
  <c r="C673" i="5"/>
  <c r="C677" i="5"/>
  <c r="C681" i="5"/>
  <c r="C685" i="5"/>
  <c r="C689" i="5"/>
  <c r="C693" i="5"/>
  <c r="C697" i="5"/>
  <c r="C701" i="5"/>
  <c r="C705" i="5"/>
  <c r="C709" i="5"/>
  <c r="C713" i="5"/>
  <c r="C717" i="5"/>
  <c r="C721" i="5"/>
  <c r="C725" i="5"/>
  <c r="C729" i="5"/>
  <c r="C733" i="5"/>
  <c r="C737" i="5"/>
  <c r="C741" i="5"/>
  <c r="C745" i="5"/>
  <c r="C749" i="5"/>
  <c r="C753" i="5"/>
  <c r="C757" i="5"/>
  <c r="C761" i="5"/>
  <c r="C765" i="5"/>
  <c r="C769" i="5"/>
  <c r="C773" i="5"/>
  <c r="C777" i="5"/>
  <c r="C781" i="5"/>
  <c r="C785" i="5"/>
  <c r="C789" i="5"/>
  <c r="C793" i="5"/>
  <c r="C797" i="5"/>
  <c r="C801" i="5"/>
  <c r="C805" i="5"/>
  <c r="C809" i="5"/>
  <c r="C813" i="5"/>
  <c r="C413" i="5"/>
  <c r="C421" i="5"/>
  <c r="C429" i="5"/>
  <c r="C434" i="5"/>
  <c r="C438" i="5"/>
  <c r="C442" i="5"/>
  <c r="C446" i="5"/>
  <c r="C450" i="5"/>
  <c r="C454" i="5"/>
  <c r="C458" i="5"/>
  <c r="C462" i="5"/>
  <c r="C466" i="5"/>
  <c r="C470" i="5"/>
  <c r="C474" i="5"/>
  <c r="C478" i="5"/>
  <c r="C482" i="5"/>
  <c r="C486" i="5"/>
  <c r="C490" i="5"/>
  <c r="C494" i="5"/>
  <c r="C498" i="5"/>
  <c r="C502" i="5"/>
  <c r="C506" i="5"/>
  <c r="C510" i="5"/>
  <c r="C514" i="5"/>
  <c r="C518" i="5"/>
  <c r="C522" i="5"/>
  <c r="C526" i="5"/>
  <c r="C530" i="5"/>
  <c r="C534" i="5"/>
  <c r="C538" i="5"/>
  <c r="C542" i="5"/>
  <c r="C546" i="5"/>
  <c r="C550" i="5"/>
  <c r="C554" i="5"/>
  <c r="C558" i="5"/>
  <c r="C562" i="5"/>
  <c r="C566" i="5"/>
  <c r="C570" i="5"/>
  <c r="C574" i="5"/>
  <c r="C578" i="5"/>
  <c r="C582" i="5"/>
  <c r="C586" i="5"/>
  <c r="C590" i="5"/>
  <c r="C594" i="5"/>
  <c r="C598" i="5"/>
  <c r="C602" i="5"/>
  <c r="C606" i="5"/>
  <c r="C610" i="5"/>
  <c r="C614" i="5"/>
  <c r="C618" i="5"/>
  <c r="C622" i="5"/>
  <c r="C626" i="5"/>
  <c r="C630" i="5"/>
  <c r="C634" i="5"/>
  <c r="C638" i="5"/>
  <c r="C642" i="5"/>
  <c r="C646" i="5"/>
  <c r="C650" i="5"/>
  <c r="C654" i="5"/>
  <c r="C658" i="5"/>
  <c r="C662" i="5"/>
  <c r="C666" i="5"/>
  <c r="C670" i="5"/>
  <c r="C674" i="5"/>
  <c r="C678" i="5"/>
  <c r="C682" i="5"/>
  <c r="C686" i="5"/>
  <c r="C690" i="5"/>
  <c r="C694" i="5"/>
  <c r="C698" i="5"/>
  <c r="C702" i="5"/>
  <c r="C706" i="5"/>
  <c r="C710" i="5"/>
  <c r="C714" i="5"/>
  <c r="C718" i="5"/>
  <c r="C722" i="5"/>
  <c r="C726" i="5"/>
  <c r="C730" i="5"/>
  <c r="C734" i="5"/>
  <c r="C738" i="5"/>
  <c r="C742" i="5"/>
  <c r="C746" i="5"/>
  <c r="C750" i="5"/>
  <c r="C754" i="5"/>
  <c r="C758" i="5"/>
  <c r="C414" i="5"/>
  <c r="C422" i="5"/>
  <c r="C430" i="5"/>
  <c r="C435" i="5"/>
  <c r="C439" i="5"/>
  <c r="C443" i="5"/>
  <c r="C447" i="5"/>
  <c r="C451" i="5"/>
  <c r="C455" i="5"/>
  <c r="C459" i="5"/>
  <c r="C463" i="5"/>
  <c r="C467" i="5"/>
  <c r="C471" i="5"/>
  <c r="C475" i="5"/>
  <c r="C479" i="5"/>
  <c r="C483" i="5"/>
  <c r="C487" i="5"/>
  <c r="C491" i="5"/>
  <c r="C495" i="5"/>
  <c r="C499" i="5"/>
  <c r="C503" i="5"/>
  <c r="C507" i="5"/>
  <c r="C511" i="5"/>
  <c r="C515" i="5"/>
  <c r="C519" i="5"/>
  <c r="C523" i="5"/>
  <c r="C527" i="5"/>
  <c r="C531" i="5"/>
  <c r="C535" i="5"/>
  <c r="C539" i="5"/>
  <c r="C543" i="5"/>
  <c r="C547" i="5"/>
  <c r="C551" i="5"/>
  <c r="C555" i="5"/>
  <c r="C559" i="5"/>
  <c r="C563" i="5"/>
  <c r="C567" i="5"/>
  <c r="C571" i="5"/>
  <c r="C575" i="5"/>
  <c r="C579" i="5"/>
  <c r="C583" i="5"/>
  <c r="C587" i="5"/>
  <c r="C591" i="5"/>
  <c r="C595" i="5"/>
  <c r="C599" i="5"/>
  <c r="C603" i="5"/>
  <c r="C607" i="5"/>
  <c r="C611" i="5"/>
  <c r="C615" i="5"/>
  <c r="C619" i="5"/>
  <c r="C623" i="5"/>
  <c r="C627" i="5"/>
  <c r="C631" i="5"/>
  <c r="C635" i="5"/>
  <c r="C639" i="5"/>
  <c r="C643" i="5"/>
  <c r="C647" i="5"/>
  <c r="C651" i="5"/>
  <c r="C655" i="5"/>
  <c r="C659" i="5"/>
  <c r="C663" i="5"/>
  <c r="C667" i="5"/>
  <c r="C671" i="5"/>
  <c r="C675" i="5"/>
  <c r="C679" i="5"/>
  <c r="C683" i="5"/>
  <c r="C687" i="5"/>
  <c r="C691" i="5"/>
  <c r="C695" i="5"/>
  <c r="C699" i="5"/>
  <c r="C703" i="5"/>
  <c r="C707" i="5"/>
  <c r="C711" i="5"/>
  <c r="C417" i="5"/>
  <c r="C425" i="5"/>
  <c r="C431" i="5"/>
  <c r="C436" i="5"/>
  <c r="C440" i="5"/>
  <c r="C444" i="5"/>
  <c r="C448" i="5"/>
  <c r="C452" i="5"/>
  <c r="C456" i="5"/>
  <c r="C460" i="5"/>
  <c r="C464" i="5"/>
  <c r="C468" i="5"/>
  <c r="C472" i="5"/>
  <c r="C476" i="5"/>
  <c r="C480" i="5"/>
  <c r="C484" i="5"/>
  <c r="C488" i="5"/>
  <c r="C492" i="5"/>
  <c r="C496" i="5"/>
  <c r="C500" i="5"/>
  <c r="C504" i="5"/>
  <c r="C508" i="5"/>
  <c r="C512" i="5"/>
  <c r="C516" i="5"/>
  <c r="C520" i="5"/>
  <c r="C524" i="5"/>
  <c r="C528" i="5"/>
  <c r="C532" i="5"/>
  <c r="C536" i="5"/>
  <c r="C540" i="5"/>
  <c r="C544" i="5"/>
  <c r="C548" i="5"/>
  <c r="C552" i="5"/>
  <c r="C556" i="5"/>
  <c r="C560" i="5"/>
  <c r="C564" i="5"/>
  <c r="C568" i="5"/>
  <c r="C572" i="5"/>
  <c r="C576" i="5"/>
  <c r="C580" i="5"/>
  <c r="C584" i="5"/>
  <c r="C588" i="5"/>
  <c r="C592" i="5"/>
  <c r="C596" i="5"/>
  <c r="C600" i="5"/>
  <c r="C604" i="5"/>
  <c r="C608" i="5"/>
  <c r="C612" i="5"/>
  <c r="C616" i="5"/>
  <c r="C620" i="5"/>
  <c r="C624" i="5"/>
  <c r="C628" i="5"/>
  <c r="C632" i="5"/>
  <c r="C636" i="5"/>
  <c r="C640" i="5"/>
  <c r="C644" i="5"/>
  <c r="C648" i="5"/>
  <c r="C652" i="5"/>
  <c r="C656" i="5"/>
  <c r="C660" i="5"/>
  <c r="C664" i="5"/>
  <c r="C668" i="5"/>
  <c r="C672" i="5"/>
  <c r="C676" i="5"/>
  <c r="C680" i="5"/>
  <c r="C684" i="5"/>
  <c r="C688" i="5"/>
  <c r="C692" i="5"/>
  <c r="C696" i="5"/>
  <c r="C700" i="5"/>
  <c r="C704" i="5"/>
  <c r="C708" i="5"/>
  <c r="C712" i="5"/>
  <c r="C716" i="5"/>
  <c r="C720" i="5"/>
  <c r="C724" i="5"/>
  <c r="C728" i="5"/>
  <c r="C732" i="5"/>
  <c r="C736" i="5"/>
  <c r="C740" i="5"/>
  <c r="C715" i="5"/>
  <c r="C731" i="5"/>
  <c r="C744" i="5"/>
  <c r="C752" i="5"/>
  <c r="C760" i="5"/>
  <c r="C766" i="5"/>
  <c r="C771" i="5"/>
  <c r="C776" i="5"/>
  <c r="C782" i="5"/>
  <c r="C787" i="5"/>
  <c r="C792" i="5"/>
  <c r="C798" i="5"/>
  <c r="C803" i="5"/>
  <c r="C808" i="5"/>
  <c r="C814" i="5"/>
  <c r="C818" i="5"/>
  <c r="C822" i="5"/>
  <c r="C826" i="5"/>
  <c r="C830" i="5"/>
  <c r="C834" i="5"/>
  <c r="C838" i="5"/>
  <c r="C842" i="5"/>
  <c r="C846" i="5"/>
  <c r="C850" i="5"/>
  <c r="C854" i="5"/>
  <c r="C858" i="5"/>
  <c r="C862" i="5"/>
  <c r="C866" i="5"/>
  <c r="C870" i="5"/>
  <c r="C874" i="5"/>
  <c r="C878" i="5"/>
  <c r="C882" i="5"/>
  <c r="C886" i="5"/>
  <c r="C890" i="5"/>
  <c r="C894" i="5"/>
  <c r="C898" i="5"/>
  <c r="C902" i="5"/>
  <c r="C906" i="5"/>
  <c r="C910" i="5"/>
  <c r="C914" i="5"/>
  <c r="C918" i="5"/>
  <c r="C922" i="5"/>
  <c r="C926" i="5"/>
  <c r="C930" i="5"/>
  <c r="C934" i="5"/>
  <c r="C938" i="5"/>
  <c r="C942" i="5"/>
  <c r="C946" i="5"/>
  <c r="C950" i="5"/>
  <c r="C954" i="5"/>
  <c r="C958" i="5"/>
  <c r="C962" i="5"/>
  <c r="C966" i="5"/>
  <c r="C970" i="5"/>
  <c r="C974" i="5"/>
  <c r="C978" i="5"/>
  <c r="C982" i="5"/>
  <c r="C986" i="5"/>
  <c r="C990" i="5"/>
  <c r="C994" i="5"/>
  <c r="C998" i="5"/>
  <c r="C960" i="5"/>
  <c r="C972" i="5"/>
  <c r="C984" i="5"/>
  <c r="C996" i="5"/>
  <c r="C993" i="5"/>
  <c r="C719" i="5"/>
  <c r="C735" i="5"/>
  <c r="C747" i="5"/>
  <c r="C755" i="5"/>
  <c r="C762" i="5"/>
  <c r="C767" i="5"/>
  <c r="C772" i="5"/>
  <c r="C778" i="5"/>
  <c r="C783" i="5"/>
  <c r="C788" i="5"/>
  <c r="C794" i="5"/>
  <c r="C799" i="5"/>
  <c r="C804" i="5"/>
  <c r="C810" i="5"/>
  <c r="C815" i="5"/>
  <c r="C819" i="5"/>
  <c r="C823" i="5"/>
  <c r="C827" i="5"/>
  <c r="C831" i="5"/>
  <c r="C835" i="5"/>
  <c r="C839" i="5"/>
  <c r="C843" i="5"/>
  <c r="C847" i="5"/>
  <c r="C851" i="5"/>
  <c r="C855" i="5"/>
  <c r="C859" i="5"/>
  <c r="C863" i="5"/>
  <c r="C867" i="5"/>
  <c r="C871" i="5"/>
  <c r="C875" i="5"/>
  <c r="C879" i="5"/>
  <c r="C883" i="5"/>
  <c r="C887" i="5"/>
  <c r="C891" i="5"/>
  <c r="C895" i="5"/>
  <c r="C899" i="5"/>
  <c r="C903" i="5"/>
  <c r="C907" i="5"/>
  <c r="C911" i="5"/>
  <c r="C915" i="5"/>
  <c r="C919" i="5"/>
  <c r="C923" i="5"/>
  <c r="C927" i="5"/>
  <c r="C931" i="5"/>
  <c r="C935" i="5"/>
  <c r="C939" i="5"/>
  <c r="C943" i="5"/>
  <c r="C947" i="5"/>
  <c r="C951" i="5"/>
  <c r="C955" i="5"/>
  <c r="C959" i="5"/>
  <c r="C963" i="5"/>
  <c r="C967" i="5"/>
  <c r="C971" i="5"/>
  <c r="C975" i="5"/>
  <c r="C979" i="5"/>
  <c r="C983" i="5"/>
  <c r="C987" i="5"/>
  <c r="C991" i="5"/>
  <c r="C995" i="5"/>
  <c r="C999" i="5"/>
  <c r="C964" i="5"/>
  <c r="C980" i="5"/>
  <c r="C988" i="5"/>
  <c r="C1000" i="5"/>
  <c r="C1001" i="5"/>
  <c r="C723" i="5"/>
  <c r="C739" i="5"/>
  <c r="C748" i="5"/>
  <c r="C756" i="5"/>
  <c r="C763" i="5"/>
  <c r="C768" i="5"/>
  <c r="C774" i="5"/>
  <c r="C779" i="5"/>
  <c r="C784" i="5"/>
  <c r="C790" i="5"/>
  <c r="C795" i="5"/>
  <c r="C800" i="5"/>
  <c r="C806" i="5"/>
  <c r="C811" i="5"/>
  <c r="C816" i="5"/>
  <c r="C820" i="5"/>
  <c r="C824" i="5"/>
  <c r="C828" i="5"/>
  <c r="C832" i="5"/>
  <c r="C836" i="5"/>
  <c r="C840" i="5"/>
  <c r="C844" i="5"/>
  <c r="C848" i="5"/>
  <c r="C852" i="5"/>
  <c r="C856" i="5"/>
  <c r="C860" i="5"/>
  <c r="C864" i="5"/>
  <c r="C868" i="5"/>
  <c r="C872" i="5"/>
  <c r="C876" i="5"/>
  <c r="C880" i="5"/>
  <c r="C884" i="5"/>
  <c r="C888" i="5"/>
  <c r="C892" i="5"/>
  <c r="C896" i="5"/>
  <c r="C900" i="5"/>
  <c r="C904" i="5"/>
  <c r="C908" i="5"/>
  <c r="C912" i="5"/>
  <c r="C916" i="5"/>
  <c r="C920" i="5"/>
  <c r="C924" i="5"/>
  <c r="C928" i="5"/>
  <c r="C932" i="5"/>
  <c r="C936" i="5"/>
  <c r="C940" i="5"/>
  <c r="C944" i="5"/>
  <c r="C948" i="5"/>
  <c r="C952" i="5"/>
  <c r="C956" i="5"/>
  <c r="C968" i="5"/>
  <c r="C976" i="5"/>
  <c r="C992" i="5"/>
  <c r="C989" i="5"/>
  <c r="C727" i="5"/>
  <c r="C743" i="5"/>
  <c r="C751" i="5"/>
  <c r="C759" i="5"/>
  <c r="C764" i="5"/>
  <c r="C770" i="5"/>
  <c r="C775" i="5"/>
  <c r="C780" i="5"/>
  <c r="C786" i="5"/>
  <c r="C791" i="5"/>
  <c r="C796" i="5"/>
  <c r="C802" i="5"/>
  <c r="C807" i="5"/>
  <c r="C812" i="5"/>
  <c r="C817" i="5"/>
  <c r="C821" i="5"/>
  <c r="C825" i="5"/>
  <c r="C829" i="5"/>
  <c r="C833" i="5"/>
  <c r="C837" i="5"/>
  <c r="C841" i="5"/>
  <c r="C845" i="5"/>
  <c r="C849" i="5"/>
  <c r="C853" i="5"/>
  <c r="C857" i="5"/>
  <c r="C861" i="5"/>
  <c r="C865" i="5"/>
  <c r="C869" i="5"/>
  <c r="C873" i="5"/>
  <c r="C877" i="5"/>
  <c r="C881" i="5"/>
  <c r="C885" i="5"/>
  <c r="C889" i="5"/>
  <c r="C893" i="5"/>
  <c r="C897" i="5"/>
  <c r="C901" i="5"/>
  <c r="C905" i="5"/>
  <c r="C909" i="5"/>
  <c r="C913" i="5"/>
  <c r="C917" i="5"/>
  <c r="C921" i="5"/>
  <c r="C925" i="5"/>
  <c r="C929" i="5"/>
  <c r="C933" i="5"/>
  <c r="C937" i="5"/>
  <c r="C941" i="5"/>
  <c r="C945" i="5"/>
  <c r="C949" i="5"/>
  <c r="C953" i="5"/>
  <c r="C957" i="5"/>
  <c r="C961" i="5"/>
  <c r="C965" i="5"/>
  <c r="C969" i="5"/>
  <c r="C973" i="5"/>
  <c r="C977" i="5"/>
  <c r="C981" i="5"/>
  <c r="C985" i="5"/>
  <c r="C997" i="5"/>
  <c r="B25" i="13"/>
  <c r="AE16" i="14" l="1"/>
  <c r="AF16" i="14" s="1"/>
  <c r="I22" i="13"/>
  <c r="H22" i="13"/>
  <c r="G22" i="13"/>
  <c r="F22" i="13"/>
  <c r="E22" i="13"/>
  <c r="D22" i="13"/>
  <c r="C22" i="13"/>
  <c r="I21" i="13"/>
  <c r="H21" i="13"/>
  <c r="G21" i="13"/>
  <c r="F21" i="13"/>
  <c r="E21" i="13"/>
  <c r="D21" i="13"/>
  <c r="C21" i="13"/>
  <c r="I20" i="13"/>
  <c r="H20" i="13"/>
  <c r="G20" i="13"/>
  <c r="F20" i="13"/>
  <c r="E20" i="13"/>
  <c r="D20" i="13"/>
  <c r="C20" i="13"/>
  <c r="I19" i="13"/>
  <c r="H19" i="13"/>
  <c r="G19" i="13"/>
  <c r="F19" i="13"/>
  <c r="E19" i="13"/>
  <c r="D19" i="13"/>
  <c r="C19" i="13"/>
  <c r="I18" i="13"/>
  <c r="H18" i="13"/>
  <c r="G18" i="13"/>
  <c r="F18" i="13"/>
  <c r="E18" i="13"/>
  <c r="D18" i="13"/>
  <c r="C18" i="13"/>
  <c r="I17" i="13"/>
  <c r="H17" i="13"/>
  <c r="G17" i="13"/>
  <c r="F17" i="13"/>
  <c r="E17" i="13"/>
  <c r="D17" i="13"/>
  <c r="C17" i="13"/>
  <c r="I16" i="13"/>
  <c r="H16" i="13"/>
  <c r="G16" i="13"/>
  <c r="F16" i="13"/>
  <c r="E16" i="13"/>
  <c r="D16" i="13"/>
  <c r="C16" i="13"/>
  <c r="AE17" i="14" l="1"/>
  <c r="AF17" i="14" s="1"/>
  <c r="D73" i="11"/>
  <c r="G73" i="11" s="1"/>
  <c r="H73" i="11" s="1"/>
  <c r="I73" i="11" s="1"/>
  <c r="C63" i="11"/>
  <c r="C67" i="11"/>
  <c r="D67" i="11" s="1"/>
  <c r="C68" i="11"/>
  <c r="D68" i="11" s="1"/>
  <c r="C69" i="11"/>
  <c r="D69" i="11" s="1"/>
  <c r="C70" i="11"/>
  <c r="D70" i="11" s="1"/>
  <c r="C71" i="11"/>
  <c r="D71" i="11" s="1"/>
  <c r="C72" i="11"/>
  <c r="D72" i="11" s="1"/>
  <c r="C66" i="11"/>
  <c r="D66" i="11" s="1"/>
  <c r="C21" i="11"/>
  <c r="C20" i="11"/>
  <c r="AE18" i="14" l="1"/>
  <c r="AF18" i="14" s="1"/>
  <c r="D38" i="11"/>
  <c r="E38" i="11" s="1"/>
  <c r="D29" i="11"/>
  <c r="E29" i="11" s="1"/>
  <c r="D32" i="11"/>
  <c r="F32" i="11" s="1"/>
  <c r="G32" i="11" s="1"/>
  <c r="D25" i="11"/>
  <c r="F25" i="11" s="1"/>
  <c r="G25" i="11" s="1"/>
  <c r="D39" i="11"/>
  <c r="E39" i="11" s="1"/>
  <c r="D34" i="11"/>
  <c r="E34" i="11" s="1"/>
  <c r="D30" i="11"/>
  <c r="E30" i="11" s="1"/>
  <c r="D44" i="11"/>
  <c r="F44" i="11" s="1"/>
  <c r="G44" i="11" s="1"/>
  <c r="D28" i="11"/>
  <c r="F28" i="11" s="1"/>
  <c r="G28" i="11" s="1"/>
  <c r="D41" i="11"/>
  <c r="E41" i="11" s="1"/>
  <c r="D35" i="11"/>
  <c r="E35" i="11" s="1"/>
  <c r="D33" i="11"/>
  <c r="E33" i="11" s="1"/>
  <c r="D37" i="11"/>
  <c r="E37" i="11" s="1"/>
  <c r="D43" i="11"/>
  <c r="E43" i="11" s="1"/>
  <c r="D26" i="11"/>
  <c r="E26" i="11" s="1"/>
  <c r="D40" i="11"/>
  <c r="F40" i="11" s="1"/>
  <c r="G40" i="11" s="1"/>
  <c r="D42" i="11"/>
  <c r="E42" i="11" s="1"/>
  <c r="D31" i="11"/>
  <c r="E31" i="11" s="1"/>
  <c r="D36" i="11"/>
  <c r="E36" i="11" s="1"/>
  <c r="D27" i="11"/>
  <c r="E27" i="11" s="1"/>
  <c r="G72" i="11"/>
  <c r="H72" i="11" s="1"/>
  <c r="I72" i="11" s="1"/>
  <c r="G68" i="11"/>
  <c r="H68" i="11" s="1"/>
  <c r="I68" i="11" s="1"/>
  <c r="G71" i="11"/>
  <c r="H71" i="11" s="1"/>
  <c r="I71" i="11" s="1"/>
  <c r="G67" i="11"/>
  <c r="H67" i="11" s="1"/>
  <c r="I67" i="11" s="1"/>
  <c r="G70" i="11"/>
  <c r="H70" i="11" s="1"/>
  <c r="I70" i="11" s="1"/>
  <c r="G66" i="11"/>
  <c r="H66" i="11" s="1"/>
  <c r="I66" i="11" s="1"/>
  <c r="G69" i="11"/>
  <c r="H69" i="11" s="1"/>
  <c r="I69" i="11" s="1"/>
  <c r="D54" i="10"/>
  <c r="D55" i="10"/>
  <c r="D56" i="10"/>
  <c r="D57" i="10"/>
  <c r="D58" i="10"/>
  <c r="D59" i="10"/>
  <c r="D60" i="10"/>
  <c r="D53" i="10"/>
  <c r="D28" i="10"/>
  <c r="D29" i="10"/>
  <c r="D30" i="10"/>
  <c r="D31" i="10"/>
  <c r="D32" i="10"/>
  <c r="D33" i="10"/>
  <c r="D34" i="10"/>
  <c r="D35" i="10"/>
  <c r="D36" i="10"/>
  <c r="D37" i="10"/>
  <c r="D38" i="10"/>
  <c r="D39" i="10"/>
  <c r="D40" i="10"/>
  <c r="D41" i="10"/>
  <c r="D42" i="10"/>
  <c r="D43" i="10"/>
  <c r="D44" i="10"/>
  <c r="D45" i="10"/>
  <c r="D46" i="10"/>
  <c r="D27" i="10"/>
  <c r="C24" i="10"/>
  <c r="AE19" i="14" l="1"/>
  <c r="AF19" i="14" s="1"/>
  <c r="E40" i="11"/>
  <c r="E44" i="11"/>
  <c r="F36" i="11"/>
  <c r="G36" i="11" s="1"/>
  <c r="F26" i="11"/>
  <c r="G26" i="11" s="1"/>
  <c r="E25" i="11"/>
  <c r="E32" i="11"/>
  <c r="F29" i="11"/>
  <c r="G29" i="11" s="1"/>
  <c r="G59" i="10"/>
  <c r="G55" i="10"/>
  <c r="F37" i="11"/>
  <c r="G37" i="11" s="1"/>
  <c r="E28" i="11"/>
  <c r="F41" i="11"/>
  <c r="G41" i="11" s="1"/>
  <c r="H75" i="11"/>
  <c r="F33" i="11"/>
  <c r="G33" i="11" s="1"/>
  <c r="F27" i="11"/>
  <c r="G27" i="11" s="1"/>
  <c r="F43" i="11"/>
  <c r="G43" i="11" s="1"/>
  <c r="F39" i="11"/>
  <c r="G39" i="11" s="1"/>
  <c r="F42" i="11"/>
  <c r="G42" i="11" s="1"/>
  <c r="F34" i="11"/>
  <c r="G34" i="11" s="1"/>
  <c r="F30" i="11"/>
  <c r="G30" i="11" s="1"/>
  <c r="F31" i="11"/>
  <c r="G31" i="11" s="1"/>
  <c r="F38" i="11"/>
  <c r="G38" i="11" s="1"/>
  <c r="F35" i="11"/>
  <c r="G35" i="11" s="1"/>
  <c r="G58" i="10"/>
  <c r="G54" i="10"/>
  <c r="G57" i="10"/>
  <c r="G60" i="10"/>
  <c r="G56" i="10"/>
  <c r="G53" i="10"/>
  <c r="G39" i="10"/>
  <c r="G46" i="10"/>
  <c r="G42" i="10"/>
  <c r="G38" i="10"/>
  <c r="G34" i="10"/>
  <c r="G30" i="10"/>
  <c r="G27" i="10"/>
  <c r="G35" i="10"/>
  <c r="G45" i="10"/>
  <c r="G41" i="10"/>
  <c r="G37" i="10"/>
  <c r="G33" i="10"/>
  <c r="G29" i="10"/>
  <c r="G43" i="10"/>
  <c r="G31" i="10"/>
  <c r="G44" i="10"/>
  <c r="G40" i="10"/>
  <c r="G36" i="10"/>
  <c r="G32" i="10"/>
  <c r="G28" i="10"/>
  <c r="C53" i="8"/>
  <c r="C17" i="8"/>
  <c r="L68" i="8"/>
  <c r="M68" i="8" s="1"/>
  <c r="N68" i="8" s="1"/>
  <c r="L69" i="8"/>
  <c r="M69" i="8" s="1"/>
  <c r="N69" i="8" s="1"/>
  <c r="L70" i="8"/>
  <c r="M70" i="8" s="1"/>
  <c r="N70" i="8" s="1"/>
  <c r="L71" i="8"/>
  <c r="M71" i="8" s="1"/>
  <c r="N71" i="8" s="1"/>
  <c r="L72" i="8"/>
  <c r="M72" i="8" s="1"/>
  <c r="N72" i="8" s="1"/>
  <c r="L73" i="8"/>
  <c r="M73" i="8" s="1"/>
  <c r="N73" i="8" s="1"/>
  <c r="L74" i="8"/>
  <c r="M74" i="8" s="1"/>
  <c r="N74" i="8" s="1"/>
  <c r="L67" i="8"/>
  <c r="M67" i="8" s="1"/>
  <c r="N67" i="8" s="1"/>
  <c r="L57" i="8"/>
  <c r="M57" i="8" s="1"/>
  <c r="N57" i="8" s="1"/>
  <c r="L58" i="8"/>
  <c r="M58" i="8" s="1"/>
  <c r="N58" i="8" s="1"/>
  <c r="L59" i="8"/>
  <c r="M59" i="8" s="1"/>
  <c r="N59" i="8" s="1"/>
  <c r="L60" i="8"/>
  <c r="M60" i="8" s="1"/>
  <c r="N60" i="8" s="1"/>
  <c r="L56" i="8"/>
  <c r="M56" i="8" s="1"/>
  <c r="N56" i="8" s="1"/>
  <c r="C52" i="8"/>
  <c r="C16" i="8"/>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9" i="1"/>
  <c r="H76" i="11"/>
  <c r="AE20" i="14" l="1"/>
  <c r="AF20" i="14" s="1"/>
  <c r="D23" i="8"/>
  <c r="F23" i="8" s="1"/>
  <c r="G23" i="8" s="1"/>
  <c r="D33" i="8"/>
  <c r="E33" i="8" s="1"/>
  <c r="F33" i="8" s="1"/>
  <c r="G33" i="8" s="1"/>
  <c r="D31" i="8"/>
  <c r="E31" i="8" s="1"/>
  <c r="F31" i="8" s="1"/>
  <c r="G31" i="8" s="1"/>
  <c r="D34" i="8"/>
  <c r="E34" i="8" s="1"/>
  <c r="F34" i="8" s="1"/>
  <c r="G34" i="8" s="1"/>
  <c r="D22" i="8"/>
  <c r="F22" i="8" s="1"/>
  <c r="G22" i="8" s="1"/>
  <c r="D20" i="8"/>
  <c r="F20" i="8" s="1"/>
  <c r="G20" i="8" s="1"/>
  <c r="D37" i="8"/>
  <c r="D36" i="8"/>
  <c r="E36" i="8" s="1"/>
  <c r="F36" i="8" s="1"/>
  <c r="G36" i="8" s="1"/>
  <c r="D21" i="8"/>
  <c r="F21" i="8" s="1"/>
  <c r="G21" i="8" s="1"/>
  <c r="D24" i="8"/>
  <c r="F24" i="8" s="1"/>
  <c r="G24" i="8" s="1"/>
  <c r="D32" i="8"/>
  <c r="E32" i="8" s="1"/>
  <c r="F32" i="8" s="1"/>
  <c r="G32" i="8" s="1"/>
  <c r="D35" i="8"/>
  <c r="E35" i="8" s="1"/>
  <c r="F35" i="8" s="1"/>
  <c r="G35" i="8" s="1"/>
  <c r="D30" i="8"/>
  <c r="E30" i="8" s="1"/>
  <c r="E56" i="8"/>
  <c r="F56" i="8" s="1"/>
  <c r="G56" i="8" s="1"/>
  <c r="H56" i="8" s="1"/>
  <c r="E60" i="8"/>
  <c r="F60" i="8" s="1"/>
  <c r="G60" i="8" s="1"/>
  <c r="H60" i="8" s="1"/>
  <c r="E83" i="8"/>
  <c r="F83" i="8" s="1"/>
  <c r="G83" i="8" s="1"/>
  <c r="H83" i="8" s="1"/>
  <c r="E67" i="8"/>
  <c r="F67" i="8" s="1"/>
  <c r="G67" i="8" s="1"/>
  <c r="H67" i="8" s="1"/>
  <c r="E88" i="8"/>
  <c r="F88" i="8" s="1"/>
  <c r="G88" i="8" s="1"/>
  <c r="H88" i="8" s="1"/>
  <c r="E94" i="8"/>
  <c r="E78" i="8"/>
  <c r="F78" i="8" s="1"/>
  <c r="G78" i="8" s="1"/>
  <c r="H78" i="8" s="1"/>
  <c r="E62" i="8"/>
  <c r="F62" i="8" s="1"/>
  <c r="G62" i="8" s="1"/>
  <c r="H62" i="8" s="1"/>
  <c r="E85" i="8"/>
  <c r="F85" i="8" s="1"/>
  <c r="G85" i="8" s="1"/>
  <c r="H85" i="8" s="1"/>
  <c r="E69" i="8"/>
  <c r="F69" i="8" s="1"/>
  <c r="G69" i="8" s="1"/>
  <c r="H69" i="8" s="1"/>
  <c r="E93" i="8"/>
  <c r="F93" i="8" s="1"/>
  <c r="G93" i="8" s="1"/>
  <c r="H93" i="8" s="1"/>
  <c r="E66" i="8"/>
  <c r="F66" i="8" s="1"/>
  <c r="G66" i="8" s="1"/>
  <c r="H66" i="8" s="1"/>
  <c r="E57" i="8"/>
  <c r="F57" i="8" s="1"/>
  <c r="G57" i="8" s="1"/>
  <c r="H57" i="8" s="1"/>
  <c r="E84" i="8"/>
  <c r="F84" i="8" s="1"/>
  <c r="G84" i="8" s="1"/>
  <c r="H84" i="8" s="1"/>
  <c r="E95" i="8"/>
  <c r="F95" i="8" s="1"/>
  <c r="G95" i="8" s="1"/>
  <c r="H95" i="8" s="1"/>
  <c r="E79" i="8"/>
  <c r="F79" i="8" s="1"/>
  <c r="G79" i="8" s="1"/>
  <c r="H79" i="8" s="1"/>
  <c r="E63" i="8"/>
  <c r="F63" i="8" s="1"/>
  <c r="G63" i="8" s="1"/>
  <c r="H63" i="8" s="1"/>
  <c r="E76" i="8"/>
  <c r="F76" i="8" s="1"/>
  <c r="G76" i="8" s="1"/>
  <c r="H76" i="8" s="1"/>
  <c r="E90" i="8"/>
  <c r="F90" i="8" s="1"/>
  <c r="G90" i="8" s="1"/>
  <c r="H90" i="8" s="1"/>
  <c r="E74" i="8"/>
  <c r="F74" i="8" s="1"/>
  <c r="G74" i="8" s="1"/>
  <c r="H74" i="8" s="1"/>
  <c r="E58" i="8"/>
  <c r="F58" i="8" s="1"/>
  <c r="G58" i="8" s="1"/>
  <c r="E81" i="8"/>
  <c r="F81" i="8" s="1"/>
  <c r="G81" i="8" s="1"/>
  <c r="H81" i="8" s="1"/>
  <c r="E65" i="8"/>
  <c r="F65" i="8" s="1"/>
  <c r="G65" i="8" s="1"/>
  <c r="H65" i="8" s="1"/>
  <c r="E77" i="8"/>
  <c r="F77" i="8" s="1"/>
  <c r="G77" i="8" s="1"/>
  <c r="H77" i="8" s="1"/>
  <c r="E73" i="8"/>
  <c r="F73" i="8" s="1"/>
  <c r="G73" i="8" s="1"/>
  <c r="H73" i="8" s="1"/>
  <c r="E80" i="8"/>
  <c r="F80" i="8" s="1"/>
  <c r="G80" i="8" s="1"/>
  <c r="H80" i="8" s="1"/>
  <c r="E91" i="8"/>
  <c r="F91" i="8" s="1"/>
  <c r="G91" i="8" s="1"/>
  <c r="H91" i="8" s="1"/>
  <c r="E75" i="8"/>
  <c r="F75" i="8" s="1"/>
  <c r="G75" i="8" s="1"/>
  <c r="H75" i="8" s="1"/>
  <c r="E59" i="8"/>
  <c r="F59" i="8" s="1"/>
  <c r="G59" i="8" s="1"/>
  <c r="H59" i="8" s="1"/>
  <c r="E68" i="8"/>
  <c r="F68" i="8" s="1"/>
  <c r="G68" i="8" s="1"/>
  <c r="H68" i="8" s="1"/>
  <c r="E86" i="8"/>
  <c r="F86" i="8" s="1"/>
  <c r="G86" i="8" s="1"/>
  <c r="H86" i="8" s="1"/>
  <c r="E70" i="8"/>
  <c r="F70" i="8" s="1"/>
  <c r="G70" i="8" s="1"/>
  <c r="H70" i="8" s="1"/>
  <c r="E61" i="8"/>
  <c r="E72" i="8"/>
  <c r="F72" i="8" s="1"/>
  <c r="G72" i="8" s="1"/>
  <c r="H72" i="8" s="1"/>
  <c r="E87" i="8"/>
  <c r="F87" i="8" s="1"/>
  <c r="G87" i="8" s="1"/>
  <c r="H87" i="8" s="1"/>
  <c r="E71" i="8"/>
  <c r="F71" i="8" s="1"/>
  <c r="G71" i="8" s="1"/>
  <c r="H71" i="8" s="1"/>
  <c r="E92" i="8"/>
  <c r="F92" i="8" s="1"/>
  <c r="G92" i="8" s="1"/>
  <c r="H92" i="8" s="1"/>
  <c r="E64" i="8"/>
  <c r="F64" i="8" s="1"/>
  <c r="G64" i="8" s="1"/>
  <c r="H64" i="8" s="1"/>
  <c r="E82" i="8"/>
  <c r="F82" i="8" s="1"/>
  <c r="G82" i="8" s="1"/>
  <c r="H82" i="8" s="1"/>
  <c r="E89" i="8"/>
  <c r="F89" i="8" s="1"/>
  <c r="G89" i="8" s="1"/>
  <c r="H89" i="8" s="1"/>
  <c r="H57" i="10"/>
  <c r="I57" i="10" s="1"/>
  <c r="J57" i="10" s="1"/>
  <c r="H54" i="10"/>
  <c r="I54" i="10" s="1"/>
  <c r="J54" i="10" s="1"/>
  <c r="H55" i="10"/>
  <c r="I55" i="10" s="1"/>
  <c r="J55" i="10" s="1"/>
  <c r="H56" i="10"/>
  <c r="I56" i="10" s="1"/>
  <c r="J56" i="10" s="1"/>
  <c r="H58" i="10"/>
  <c r="I58" i="10" s="1"/>
  <c r="J58" i="10" s="1"/>
  <c r="H59" i="10"/>
  <c r="I59" i="10" s="1"/>
  <c r="J59" i="10" s="1"/>
  <c r="H60" i="10"/>
  <c r="I60" i="10" s="1"/>
  <c r="J60" i="10" s="1"/>
  <c r="H53" i="10"/>
  <c r="I53" i="10" s="1"/>
  <c r="J53" i="10" s="1"/>
  <c r="H40" i="10"/>
  <c r="I40" i="10" s="1"/>
  <c r="J40" i="10" s="1"/>
  <c r="H45" i="10"/>
  <c r="I45" i="10" s="1"/>
  <c r="J45" i="10" s="1"/>
  <c r="H34" i="10"/>
  <c r="I34" i="10" s="1"/>
  <c r="J34" i="10" s="1"/>
  <c r="H39" i="10"/>
  <c r="I39" i="10" s="1"/>
  <c r="J39" i="10" s="1"/>
  <c r="H28" i="10"/>
  <c r="I28" i="10" s="1"/>
  <c r="J28" i="10" s="1"/>
  <c r="H44" i="10"/>
  <c r="I44" i="10" s="1"/>
  <c r="J44" i="10" s="1"/>
  <c r="H33" i="10"/>
  <c r="I33" i="10" s="1"/>
  <c r="J33" i="10" s="1"/>
  <c r="H35" i="10"/>
  <c r="I35" i="10" s="1"/>
  <c r="J35" i="10" s="1"/>
  <c r="H38" i="10"/>
  <c r="I38" i="10" s="1"/>
  <c r="J38" i="10" s="1"/>
  <c r="H29" i="10"/>
  <c r="I29" i="10" s="1"/>
  <c r="J29" i="10" s="1"/>
  <c r="H32" i="10"/>
  <c r="I32" i="10" s="1"/>
  <c r="J32" i="10" s="1"/>
  <c r="H31" i="10"/>
  <c r="I31" i="10" s="1"/>
  <c r="J31" i="10" s="1"/>
  <c r="H37" i="10"/>
  <c r="I37" i="10" s="1"/>
  <c r="J37" i="10" s="1"/>
  <c r="H42" i="10"/>
  <c r="I42" i="10" s="1"/>
  <c r="J42" i="10" s="1"/>
  <c r="H36" i="10"/>
  <c r="I36" i="10" s="1"/>
  <c r="J36" i="10" s="1"/>
  <c r="H43" i="10"/>
  <c r="I43" i="10" s="1"/>
  <c r="J43" i="10" s="1"/>
  <c r="H41" i="10"/>
  <c r="I41" i="10" s="1"/>
  <c r="J41" i="10" s="1"/>
  <c r="H30" i="10"/>
  <c r="I30" i="10" s="1"/>
  <c r="J30" i="10" s="1"/>
  <c r="H46" i="10"/>
  <c r="I46" i="10" s="1"/>
  <c r="J46" i="10" s="1"/>
  <c r="H27" i="10"/>
  <c r="I27" i="10" s="1"/>
  <c r="J27" i="10" s="1"/>
  <c r="F46" i="11"/>
  <c r="E37" i="8"/>
  <c r="F37" i="8" s="1"/>
  <c r="G37" i="8" s="1"/>
  <c r="M76" i="8"/>
  <c r="M62" i="8"/>
  <c r="F61" i="8"/>
  <c r="G61" i="8" s="1"/>
  <c r="H61" i="8" s="1"/>
  <c r="F94" i="8"/>
  <c r="G94" i="8" s="1"/>
  <c r="H94" i="8" s="1"/>
  <c r="J258" i="1"/>
  <c r="M258" i="1" s="1"/>
  <c r="I258" i="1"/>
  <c r="J257" i="1"/>
  <c r="M257" i="1" s="1"/>
  <c r="I257" i="1"/>
  <c r="J256" i="1"/>
  <c r="M256" i="1" s="1"/>
  <c r="I256" i="1"/>
  <c r="J255" i="1"/>
  <c r="M255" i="1" s="1"/>
  <c r="I255" i="1"/>
  <c r="J254" i="1"/>
  <c r="M254" i="1" s="1"/>
  <c r="I254" i="1"/>
  <c r="J253" i="1"/>
  <c r="M253" i="1" s="1"/>
  <c r="I253" i="1"/>
  <c r="J252" i="1"/>
  <c r="M252" i="1" s="1"/>
  <c r="I252" i="1"/>
  <c r="J251" i="1"/>
  <c r="M251" i="1" s="1"/>
  <c r="I251" i="1"/>
  <c r="J250" i="1"/>
  <c r="M250" i="1" s="1"/>
  <c r="I250" i="1"/>
  <c r="J249" i="1"/>
  <c r="M249" i="1" s="1"/>
  <c r="I249" i="1"/>
  <c r="J248" i="1"/>
  <c r="M248" i="1" s="1"/>
  <c r="I248" i="1"/>
  <c r="J247" i="1"/>
  <c r="M247" i="1" s="1"/>
  <c r="I247" i="1"/>
  <c r="J246" i="1"/>
  <c r="M246" i="1" s="1"/>
  <c r="I246" i="1"/>
  <c r="J245" i="1"/>
  <c r="M245" i="1" s="1"/>
  <c r="I245" i="1"/>
  <c r="J244" i="1"/>
  <c r="M244" i="1" s="1"/>
  <c r="I244" i="1"/>
  <c r="J243" i="1"/>
  <c r="M243" i="1" s="1"/>
  <c r="I243" i="1"/>
  <c r="J242" i="1"/>
  <c r="M242" i="1" s="1"/>
  <c r="I242" i="1"/>
  <c r="J241" i="1"/>
  <c r="M241" i="1" s="1"/>
  <c r="I241" i="1"/>
  <c r="J240" i="1"/>
  <c r="M240" i="1" s="1"/>
  <c r="I240" i="1"/>
  <c r="J239" i="1"/>
  <c r="M239" i="1" s="1"/>
  <c r="I239" i="1"/>
  <c r="J238" i="1"/>
  <c r="M238" i="1" s="1"/>
  <c r="I238" i="1"/>
  <c r="J237" i="1"/>
  <c r="M237" i="1" s="1"/>
  <c r="I237" i="1"/>
  <c r="J236" i="1"/>
  <c r="M236" i="1" s="1"/>
  <c r="I236" i="1"/>
  <c r="J235" i="1"/>
  <c r="M235" i="1" s="1"/>
  <c r="I235" i="1"/>
  <c r="J234" i="1"/>
  <c r="M234" i="1" s="1"/>
  <c r="I234" i="1"/>
  <c r="J233" i="1"/>
  <c r="M233" i="1" s="1"/>
  <c r="I233" i="1"/>
  <c r="J232" i="1"/>
  <c r="M232" i="1" s="1"/>
  <c r="I232" i="1"/>
  <c r="J231" i="1"/>
  <c r="M231" i="1" s="1"/>
  <c r="I231" i="1"/>
  <c r="J230" i="1"/>
  <c r="M230" i="1" s="1"/>
  <c r="I230" i="1"/>
  <c r="J229" i="1"/>
  <c r="M229" i="1" s="1"/>
  <c r="I229" i="1"/>
  <c r="J228" i="1"/>
  <c r="M228" i="1" s="1"/>
  <c r="I228" i="1"/>
  <c r="J227" i="1"/>
  <c r="M227" i="1" s="1"/>
  <c r="I227" i="1"/>
  <c r="J226" i="1"/>
  <c r="M226" i="1" s="1"/>
  <c r="I226" i="1"/>
  <c r="J225" i="1"/>
  <c r="M225" i="1" s="1"/>
  <c r="I225" i="1"/>
  <c r="J224" i="1"/>
  <c r="M224" i="1" s="1"/>
  <c r="I224" i="1"/>
  <c r="J223" i="1"/>
  <c r="M223" i="1" s="1"/>
  <c r="I223" i="1"/>
  <c r="J222" i="1"/>
  <c r="M222" i="1" s="1"/>
  <c r="I222" i="1"/>
  <c r="J221" i="1"/>
  <c r="M221" i="1" s="1"/>
  <c r="I221" i="1"/>
  <c r="J220" i="1"/>
  <c r="M220" i="1" s="1"/>
  <c r="I220" i="1"/>
  <c r="J219" i="1"/>
  <c r="M219" i="1" s="1"/>
  <c r="I219" i="1"/>
  <c r="J218" i="1"/>
  <c r="M218" i="1" s="1"/>
  <c r="I218" i="1"/>
  <c r="J217" i="1"/>
  <c r="M217" i="1" s="1"/>
  <c r="I217" i="1"/>
  <c r="J216" i="1"/>
  <c r="M216" i="1" s="1"/>
  <c r="I216" i="1"/>
  <c r="J215" i="1"/>
  <c r="M215" i="1" s="1"/>
  <c r="I215" i="1"/>
  <c r="J214" i="1"/>
  <c r="M214" i="1" s="1"/>
  <c r="I214" i="1"/>
  <c r="J213" i="1"/>
  <c r="M213" i="1" s="1"/>
  <c r="I213" i="1"/>
  <c r="J212" i="1"/>
  <c r="M212" i="1" s="1"/>
  <c r="I212" i="1"/>
  <c r="J211" i="1"/>
  <c r="M211" i="1" s="1"/>
  <c r="I211" i="1"/>
  <c r="J210" i="1"/>
  <c r="M210" i="1" s="1"/>
  <c r="I210" i="1"/>
  <c r="J209" i="1"/>
  <c r="M209" i="1" s="1"/>
  <c r="I209" i="1"/>
  <c r="J208" i="1"/>
  <c r="M208" i="1" s="1"/>
  <c r="I208" i="1"/>
  <c r="J207" i="1"/>
  <c r="M207" i="1" s="1"/>
  <c r="I207" i="1"/>
  <c r="J206" i="1"/>
  <c r="M206" i="1" s="1"/>
  <c r="I206" i="1"/>
  <c r="J205" i="1"/>
  <c r="M205" i="1" s="1"/>
  <c r="I205" i="1"/>
  <c r="J204" i="1"/>
  <c r="M204" i="1" s="1"/>
  <c r="I204" i="1"/>
  <c r="J203" i="1"/>
  <c r="M203" i="1" s="1"/>
  <c r="I203" i="1"/>
  <c r="J202" i="1"/>
  <c r="M202" i="1" s="1"/>
  <c r="I202" i="1"/>
  <c r="J201" i="1"/>
  <c r="M201" i="1" s="1"/>
  <c r="I201" i="1"/>
  <c r="J200" i="1"/>
  <c r="M200" i="1" s="1"/>
  <c r="I200" i="1"/>
  <c r="J199" i="1"/>
  <c r="M199" i="1" s="1"/>
  <c r="I199" i="1"/>
  <c r="J198" i="1"/>
  <c r="M198" i="1" s="1"/>
  <c r="I198" i="1"/>
  <c r="J197" i="1"/>
  <c r="M197" i="1" s="1"/>
  <c r="I197" i="1"/>
  <c r="J196" i="1"/>
  <c r="M196" i="1" s="1"/>
  <c r="I196" i="1"/>
  <c r="J195" i="1"/>
  <c r="M195" i="1" s="1"/>
  <c r="I195" i="1"/>
  <c r="J194" i="1"/>
  <c r="M194" i="1" s="1"/>
  <c r="I194" i="1"/>
  <c r="J193" i="1"/>
  <c r="M193" i="1" s="1"/>
  <c r="I193" i="1"/>
  <c r="J192" i="1"/>
  <c r="M192" i="1" s="1"/>
  <c r="I192" i="1"/>
  <c r="J191" i="1"/>
  <c r="M191" i="1" s="1"/>
  <c r="I191" i="1"/>
  <c r="J190" i="1"/>
  <c r="M190" i="1" s="1"/>
  <c r="I190" i="1"/>
  <c r="J189" i="1"/>
  <c r="M189" i="1" s="1"/>
  <c r="I189" i="1"/>
  <c r="J188" i="1"/>
  <c r="M188" i="1" s="1"/>
  <c r="I188" i="1"/>
  <c r="J187" i="1"/>
  <c r="M187" i="1" s="1"/>
  <c r="I187" i="1"/>
  <c r="J186" i="1"/>
  <c r="M186" i="1" s="1"/>
  <c r="I186" i="1"/>
  <c r="J185" i="1"/>
  <c r="M185" i="1" s="1"/>
  <c r="I185" i="1"/>
  <c r="J184" i="1"/>
  <c r="M184" i="1" s="1"/>
  <c r="I184" i="1"/>
  <c r="J183" i="1"/>
  <c r="M183" i="1" s="1"/>
  <c r="I183" i="1"/>
  <c r="J182" i="1"/>
  <c r="M182" i="1" s="1"/>
  <c r="I182" i="1"/>
  <c r="J181" i="1"/>
  <c r="M181" i="1" s="1"/>
  <c r="I181" i="1"/>
  <c r="J180" i="1"/>
  <c r="M180" i="1" s="1"/>
  <c r="I180" i="1"/>
  <c r="J179" i="1"/>
  <c r="M179" i="1" s="1"/>
  <c r="I179" i="1"/>
  <c r="J178" i="1"/>
  <c r="M178" i="1" s="1"/>
  <c r="I178" i="1"/>
  <c r="J177" i="1"/>
  <c r="M177" i="1" s="1"/>
  <c r="I177" i="1"/>
  <c r="J176" i="1"/>
  <c r="M176" i="1" s="1"/>
  <c r="I176" i="1"/>
  <c r="J175" i="1"/>
  <c r="M175" i="1" s="1"/>
  <c r="I175" i="1"/>
  <c r="J174" i="1"/>
  <c r="M174" i="1" s="1"/>
  <c r="I174" i="1"/>
  <c r="J173" i="1"/>
  <c r="M173" i="1" s="1"/>
  <c r="I173" i="1"/>
  <c r="J172" i="1"/>
  <c r="M172" i="1" s="1"/>
  <c r="I172" i="1"/>
  <c r="J171" i="1"/>
  <c r="M171" i="1" s="1"/>
  <c r="I171" i="1"/>
  <c r="J170" i="1"/>
  <c r="M170" i="1" s="1"/>
  <c r="I170" i="1"/>
  <c r="J169" i="1"/>
  <c r="M169" i="1" s="1"/>
  <c r="I169" i="1"/>
  <c r="J168" i="1"/>
  <c r="M168" i="1" s="1"/>
  <c r="I168" i="1"/>
  <c r="J167" i="1"/>
  <c r="M167" i="1" s="1"/>
  <c r="I167" i="1"/>
  <c r="J166" i="1"/>
  <c r="M166" i="1" s="1"/>
  <c r="I166" i="1"/>
  <c r="J165" i="1"/>
  <c r="M165" i="1" s="1"/>
  <c r="I165" i="1"/>
  <c r="J164" i="1"/>
  <c r="M164" i="1" s="1"/>
  <c r="I164" i="1"/>
  <c r="J163" i="1"/>
  <c r="M163" i="1" s="1"/>
  <c r="I163" i="1"/>
  <c r="J162" i="1"/>
  <c r="M162" i="1" s="1"/>
  <c r="I162" i="1"/>
  <c r="J161" i="1"/>
  <c r="M161" i="1" s="1"/>
  <c r="I161" i="1"/>
  <c r="J160" i="1"/>
  <c r="M160" i="1" s="1"/>
  <c r="I160" i="1"/>
  <c r="J159" i="1"/>
  <c r="M159" i="1" s="1"/>
  <c r="I159" i="1"/>
  <c r="J158" i="1"/>
  <c r="M158" i="1" s="1"/>
  <c r="I158" i="1"/>
  <c r="J157" i="1"/>
  <c r="M157" i="1" s="1"/>
  <c r="I157" i="1"/>
  <c r="J156" i="1"/>
  <c r="M156" i="1" s="1"/>
  <c r="I156" i="1"/>
  <c r="J155" i="1"/>
  <c r="M155" i="1" s="1"/>
  <c r="I155" i="1"/>
  <c r="J154" i="1"/>
  <c r="M154" i="1" s="1"/>
  <c r="I154" i="1"/>
  <c r="J153" i="1"/>
  <c r="M153" i="1" s="1"/>
  <c r="I153" i="1"/>
  <c r="J152" i="1"/>
  <c r="M152" i="1" s="1"/>
  <c r="I152" i="1"/>
  <c r="J151" i="1"/>
  <c r="M151" i="1" s="1"/>
  <c r="I151" i="1"/>
  <c r="J150" i="1"/>
  <c r="M150" i="1" s="1"/>
  <c r="I150" i="1"/>
  <c r="J149" i="1"/>
  <c r="M149" i="1" s="1"/>
  <c r="I149" i="1"/>
  <c r="J148" i="1"/>
  <c r="M148" i="1" s="1"/>
  <c r="I148" i="1"/>
  <c r="J147" i="1"/>
  <c r="M147" i="1" s="1"/>
  <c r="I147" i="1"/>
  <c r="J146" i="1"/>
  <c r="M146" i="1" s="1"/>
  <c r="I146" i="1"/>
  <c r="J145" i="1"/>
  <c r="M145" i="1" s="1"/>
  <c r="I145" i="1"/>
  <c r="J144" i="1"/>
  <c r="M144" i="1" s="1"/>
  <c r="I144" i="1"/>
  <c r="J143" i="1"/>
  <c r="M143" i="1" s="1"/>
  <c r="I143" i="1"/>
  <c r="J142" i="1"/>
  <c r="M142" i="1" s="1"/>
  <c r="I142" i="1"/>
  <c r="J141" i="1"/>
  <c r="M141" i="1" s="1"/>
  <c r="I141" i="1"/>
  <c r="J140" i="1"/>
  <c r="M140" i="1" s="1"/>
  <c r="I140" i="1"/>
  <c r="J139" i="1"/>
  <c r="M139" i="1" s="1"/>
  <c r="I139" i="1"/>
  <c r="J138" i="1"/>
  <c r="M138" i="1" s="1"/>
  <c r="I138" i="1"/>
  <c r="J137" i="1"/>
  <c r="M137" i="1" s="1"/>
  <c r="I137" i="1"/>
  <c r="J136" i="1"/>
  <c r="M136" i="1" s="1"/>
  <c r="I136" i="1"/>
  <c r="J135" i="1"/>
  <c r="M135" i="1" s="1"/>
  <c r="I135" i="1"/>
  <c r="J134" i="1"/>
  <c r="M134" i="1" s="1"/>
  <c r="I134" i="1"/>
  <c r="J133" i="1"/>
  <c r="M133" i="1" s="1"/>
  <c r="I133" i="1"/>
  <c r="J132" i="1"/>
  <c r="M132" i="1" s="1"/>
  <c r="I132" i="1"/>
  <c r="J131" i="1"/>
  <c r="M131" i="1" s="1"/>
  <c r="I131" i="1"/>
  <c r="J130" i="1"/>
  <c r="M130" i="1" s="1"/>
  <c r="I130" i="1"/>
  <c r="J129" i="1"/>
  <c r="M129" i="1" s="1"/>
  <c r="I129" i="1"/>
  <c r="J128" i="1"/>
  <c r="M128" i="1" s="1"/>
  <c r="I128" i="1"/>
  <c r="J127" i="1"/>
  <c r="M127" i="1" s="1"/>
  <c r="I127" i="1"/>
  <c r="J126" i="1"/>
  <c r="M126" i="1" s="1"/>
  <c r="I126" i="1"/>
  <c r="J125" i="1"/>
  <c r="M125" i="1" s="1"/>
  <c r="I125" i="1"/>
  <c r="J124" i="1"/>
  <c r="M124" i="1" s="1"/>
  <c r="I124" i="1"/>
  <c r="J123" i="1"/>
  <c r="M123" i="1" s="1"/>
  <c r="I123" i="1"/>
  <c r="J122" i="1"/>
  <c r="M122" i="1" s="1"/>
  <c r="I122" i="1"/>
  <c r="J121" i="1"/>
  <c r="M121" i="1" s="1"/>
  <c r="I121" i="1"/>
  <c r="J120" i="1"/>
  <c r="M120" i="1" s="1"/>
  <c r="I120" i="1"/>
  <c r="J119" i="1"/>
  <c r="M119" i="1" s="1"/>
  <c r="I119" i="1"/>
  <c r="J118" i="1"/>
  <c r="M118" i="1" s="1"/>
  <c r="I118" i="1"/>
  <c r="J117" i="1"/>
  <c r="M117" i="1" s="1"/>
  <c r="I117" i="1"/>
  <c r="J116" i="1"/>
  <c r="M116" i="1" s="1"/>
  <c r="I116" i="1"/>
  <c r="J115" i="1"/>
  <c r="M115" i="1" s="1"/>
  <c r="I115" i="1"/>
  <c r="J114" i="1"/>
  <c r="M114" i="1" s="1"/>
  <c r="I114" i="1"/>
  <c r="J113" i="1"/>
  <c r="M113" i="1" s="1"/>
  <c r="I113" i="1"/>
  <c r="J112" i="1"/>
  <c r="M112" i="1" s="1"/>
  <c r="I112" i="1"/>
  <c r="J111" i="1"/>
  <c r="M111" i="1" s="1"/>
  <c r="I111" i="1"/>
  <c r="J110" i="1"/>
  <c r="M110" i="1" s="1"/>
  <c r="I110" i="1"/>
  <c r="J109" i="1"/>
  <c r="M109" i="1" s="1"/>
  <c r="I109" i="1"/>
  <c r="J108" i="1"/>
  <c r="M108" i="1" s="1"/>
  <c r="I108" i="1"/>
  <c r="J107" i="1"/>
  <c r="M107" i="1" s="1"/>
  <c r="I107" i="1"/>
  <c r="J106" i="1"/>
  <c r="M106" i="1" s="1"/>
  <c r="I106" i="1"/>
  <c r="J105" i="1"/>
  <c r="M105" i="1" s="1"/>
  <c r="I105" i="1"/>
  <c r="J104" i="1"/>
  <c r="M104" i="1" s="1"/>
  <c r="I104" i="1"/>
  <c r="J103" i="1"/>
  <c r="M103" i="1" s="1"/>
  <c r="I103" i="1"/>
  <c r="J102" i="1"/>
  <c r="M102" i="1" s="1"/>
  <c r="I102" i="1"/>
  <c r="J101" i="1"/>
  <c r="M101" i="1" s="1"/>
  <c r="I101" i="1"/>
  <c r="J100" i="1"/>
  <c r="M100" i="1" s="1"/>
  <c r="I100" i="1"/>
  <c r="J99" i="1"/>
  <c r="M99" i="1" s="1"/>
  <c r="I99" i="1"/>
  <c r="J98" i="1"/>
  <c r="M98" i="1" s="1"/>
  <c r="I98" i="1"/>
  <c r="J97" i="1"/>
  <c r="M97" i="1" s="1"/>
  <c r="I97" i="1"/>
  <c r="J96" i="1"/>
  <c r="M96" i="1" s="1"/>
  <c r="I96" i="1"/>
  <c r="J95" i="1"/>
  <c r="M95" i="1" s="1"/>
  <c r="I95" i="1"/>
  <c r="J94" i="1"/>
  <c r="M94" i="1" s="1"/>
  <c r="I94" i="1"/>
  <c r="J93" i="1"/>
  <c r="M93" i="1" s="1"/>
  <c r="I93" i="1"/>
  <c r="J92" i="1"/>
  <c r="M92" i="1" s="1"/>
  <c r="I92" i="1"/>
  <c r="J91" i="1"/>
  <c r="M91" i="1" s="1"/>
  <c r="I91" i="1"/>
  <c r="J90" i="1"/>
  <c r="M90" i="1" s="1"/>
  <c r="I90" i="1"/>
  <c r="J89" i="1"/>
  <c r="M89" i="1" s="1"/>
  <c r="I89" i="1"/>
  <c r="J88" i="1"/>
  <c r="M88" i="1" s="1"/>
  <c r="I88" i="1"/>
  <c r="J87" i="1"/>
  <c r="M87" i="1" s="1"/>
  <c r="I87" i="1"/>
  <c r="J86" i="1"/>
  <c r="M86" i="1" s="1"/>
  <c r="I86" i="1"/>
  <c r="J85" i="1"/>
  <c r="M85" i="1" s="1"/>
  <c r="I85" i="1"/>
  <c r="J84" i="1"/>
  <c r="M84" i="1" s="1"/>
  <c r="I84" i="1"/>
  <c r="J83" i="1"/>
  <c r="M83" i="1" s="1"/>
  <c r="I83" i="1"/>
  <c r="J82" i="1"/>
  <c r="M82" i="1" s="1"/>
  <c r="I82" i="1"/>
  <c r="J81" i="1"/>
  <c r="M81" i="1" s="1"/>
  <c r="I81" i="1"/>
  <c r="J80" i="1"/>
  <c r="M80" i="1" s="1"/>
  <c r="I80" i="1"/>
  <c r="J79" i="1"/>
  <c r="M79" i="1" s="1"/>
  <c r="I79" i="1"/>
  <c r="J78" i="1"/>
  <c r="M78" i="1" s="1"/>
  <c r="I78" i="1"/>
  <c r="J77" i="1"/>
  <c r="M77" i="1" s="1"/>
  <c r="I77" i="1"/>
  <c r="J76" i="1"/>
  <c r="M76" i="1" s="1"/>
  <c r="I76" i="1"/>
  <c r="J75" i="1"/>
  <c r="M75" i="1" s="1"/>
  <c r="I75" i="1"/>
  <c r="J74" i="1"/>
  <c r="M74" i="1" s="1"/>
  <c r="I74" i="1"/>
  <c r="J73" i="1"/>
  <c r="M73" i="1" s="1"/>
  <c r="I73" i="1"/>
  <c r="J72" i="1"/>
  <c r="M72" i="1" s="1"/>
  <c r="I72" i="1"/>
  <c r="J71" i="1"/>
  <c r="M71" i="1" s="1"/>
  <c r="I71" i="1"/>
  <c r="J70" i="1"/>
  <c r="M70" i="1" s="1"/>
  <c r="I70" i="1"/>
  <c r="J69" i="1"/>
  <c r="M69" i="1" s="1"/>
  <c r="I69" i="1"/>
  <c r="J68" i="1"/>
  <c r="M68" i="1" s="1"/>
  <c r="I68" i="1"/>
  <c r="J67" i="1"/>
  <c r="M67" i="1" s="1"/>
  <c r="I67" i="1"/>
  <c r="J66" i="1"/>
  <c r="M66" i="1" s="1"/>
  <c r="I66" i="1"/>
  <c r="J65" i="1"/>
  <c r="M65" i="1" s="1"/>
  <c r="I65" i="1"/>
  <c r="J64" i="1"/>
  <c r="M64" i="1" s="1"/>
  <c r="I64" i="1"/>
  <c r="J63" i="1"/>
  <c r="M63" i="1" s="1"/>
  <c r="I63" i="1"/>
  <c r="J62" i="1"/>
  <c r="M62" i="1" s="1"/>
  <c r="I62" i="1"/>
  <c r="J61" i="1"/>
  <c r="M61" i="1" s="1"/>
  <c r="I61" i="1"/>
  <c r="J60" i="1"/>
  <c r="M60" i="1" s="1"/>
  <c r="I60" i="1"/>
  <c r="J59" i="1"/>
  <c r="M59" i="1" s="1"/>
  <c r="I59" i="1"/>
  <c r="J58" i="1"/>
  <c r="M58" i="1" s="1"/>
  <c r="I58" i="1"/>
  <c r="J57" i="1"/>
  <c r="M57" i="1" s="1"/>
  <c r="I57" i="1"/>
  <c r="J56" i="1"/>
  <c r="M56" i="1" s="1"/>
  <c r="I56" i="1"/>
  <c r="J55" i="1"/>
  <c r="M55" i="1" s="1"/>
  <c r="I55" i="1"/>
  <c r="J54" i="1"/>
  <c r="M54" i="1" s="1"/>
  <c r="I54" i="1"/>
  <c r="J53" i="1"/>
  <c r="M53" i="1" s="1"/>
  <c r="I53" i="1"/>
  <c r="J52" i="1"/>
  <c r="M52" i="1" s="1"/>
  <c r="I52" i="1"/>
  <c r="J51" i="1"/>
  <c r="M51" i="1" s="1"/>
  <c r="I51" i="1"/>
  <c r="J50" i="1"/>
  <c r="M50" i="1" s="1"/>
  <c r="I50" i="1"/>
  <c r="J49" i="1"/>
  <c r="M49" i="1" s="1"/>
  <c r="I49" i="1"/>
  <c r="J48" i="1"/>
  <c r="M48" i="1" s="1"/>
  <c r="I48" i="1"/>
  <c r="J47" i="1"/>
  <c r="M47" i="1" s="1"/>
  <c r="I47" i="1"/>
  <c r="J46" i="1"/>
  <c r="M46" i="1" s="1"/>
  <c r="I46" i="1"/>
  <c r="J45" i="1"/>
  <c r="M45" i="1" s="1"/>
  <c r="I45" i="1"/>
  <c r="J44" i="1"/>
  <c r="M44" i="1" s="1"/>
  <c r="I44" i="1"/>
  <c r="J43" i="1"/>
  <c r="M43" i="1" s="1"/>
  <c r="I43" i="1"/>
  <c r="J42" i="1"/>
  <c r="M42" i="1" s="1"/>
  <c r="I42" i="1"/>
  <c r="J41" i="1"/>
  <c r="M41" i="1" s="1"/>
  <c r="I41" i="1"/>
  <c r="J40" i="1"/>
  <c r="M40" i="1" s="1"/>
  <c r="I40" i="1"/>
  <c r="J39" i="1"/>
  <c r="M39" i="1" s="1"/>
  <c r="I39" i="1"/>
  <c r="J38" i="1"/>
  <c r="M38" i="1" s="1"/>
  <c r="I38" i="1"/>
  <c r="J37" i="1"/>
  <c r="M37" i="1" s="1"/>
  <c r="I37" i="1"/>
  <c r="J36" i="1"/>
  <c r="M36" i="1" s="1"/>
  <c r="I36" i="1"/>
  <c r="J35" i="1"/>
  <c r="M35" i="1" s="1"/>
  <c r="I35" i="1"/>
  <c r="J34" i="1"/>
  <c r="M34" i="1" s="1"/>
  <c r="I34" i="1"/>
  <c r="J33" i="1"/>
  <c r="M33" i="1" s="1"/>
  <c r="I33" i="1"/>
  <c r="J32" i="1"/>
  <c r="M32" i="1" s="1"/>
  <c r="I32" i="1"/>
  <c r="J31" i="1"/>
  <c r="M31" i="1" s="1"/>
  <c r="I31" i="1"/>
  <c r="J30" i="1"/>
  <c r="M30" i="1" s="1"/>
  <c r="I30" i="1"/>
  <c r="J29" i="1"/>
  <c r="M29" i="1" s="1"/>
  <c r="I29" i="1"/>
  <c r="J28" i="1"/>
  <c r="M28" i="1" s="1"/>
  <c r="I28" i="1"/>
  <c r="J27" i="1"/>
  <c r="M27" i="1" s="1"/>
  <c r="I27" i="1"/>
  <c r="J26" i="1"/>
  <c r="M26" i="1" s="1"/>
  <c r="I26" i="1"/>
  <c r="J25" i="1"/>
  <c r="M25" i="1" s="1"/>
  <c r="I25" i="1"/>
  <c r="J24" i="1"/>
  <c r="M24" i="1" s="1"/>
  <c r="I24" i="1"/>
  <c r="J23" i="1"/>
  <c r="M23" i="1" s="1"/>
  <c r="I23" i="1"/>
  <c r="J22" i="1"/>
  <c r="M22" i="1" s="1"/>
  <c r="I22" i="1"/>
  <c r="J21" i="1"/>
  <c r="M21" i="1" s="1"/>
  <c r="I21" i="1"/>
  <c r="J20" i="1"/>
  <c r="M20" i="1" s="1"/>
  <c r="I20" i="1"/>
  <c r="J19" i="1"/>
  <c r="M19" i="1" s="1"/>
  <c r="I19" i="1"/>
  <c r="J18" i="1"/>
  <c r="M18" i="1" s="1"/>
  <c r="I18" i="1"/>
  <c r="J17" i="1"/>
  <c r="M17" i="1" s="1"/>
  <c r="I17" i="1"/>
  <c r="J16" i="1"/>
  <c r="M16" i="1" s="1"/>
  <c r="I16" i="1"/>
  <c r="J15" i="1"/>
  <c r="M15" i="1" s="1"/>
  <c r="I15" i="1"/>
  <c r="J14" i="1"/>
  <c r="M14" i="1" s="1"/>
  <c r="I14" i="1"/>
  <c r="J13" i="1"/>
  <c r="M13" i="1" s="1"/>
  <c r="I13" i="1"/>
  <c r="J12" i="1"/>
  <c r="M12" i="1" s="1"/>
  <c r="I12" i="1"/>
  <c r="J11" i="1"/>
  <c r="M11" i="1" s="1"/>
  <c r="I11" i="1"/>
  <c r="J10" i="1"/>
  <c r="M10" i="1" s="1"/>
  <c r="I10" i="1"/>
  <c r="J9" i="1"/>
  <c r="M9" i="1" s="1"/>
  <c r="I9" i="1"/>
  <c r="M63" i="8"/>
  <c r="M77" i="8"/>
  <c r="E21" i="8"/>
  <c r="F47" i="11"/>
  <c r="AE21" i="14" l="1"/>
  <c r="AF21" i="14" s="1"/>
  <c r="I62" i="10"/>
  <c r="I48" i="10"/>
  <c r="F30" i="8"/>
  <c r="G97" i="8"/>
  <c r="F26" i="8"/>
  <c r="E23" i="8"/>
  <c r="E24" i="8"/>
  <c r="I63" i="10"/>
  <c r="G98" i="8"/>
  <c r="I49" i="10"/>
  <c r="E20" i="8"/>
  <c r="E22" i="8"/>
  <c r="F27" i="8"/>
  <c r="AE22" i="14" l="1"/>
  <c r="AF22" i="14" s="1"/>
  <c r="G30" i="8"/>
  <c r="F39" i="8"/>
  <c r="F40" i="8"/>
  <c r="AE23" i="14" l="1"/>
  <c r="AF23" i="14" s="1"/>
  <c r="AE24" i="14" l="1"/>
  <c r="AF24" i="14" s="1"/>
  <c r="AE25" i="14" l="1"/>
  <c r="AF25" i="14" s="1"/>
  <c r="AE26" i="14" l="1"/>
  <c r="AF26" i="14" s="1"/>
  <c r="AE27" i="14" l="1"/>
  <c r="AF27" i="14" s="1"/>
  <c r="AE28" i="14" l="1"/>
  <c r="AF28" i="14" s="1"/>
  <c r="AE29" i="14" l="1"/>
  <c r="AF29" i="14" s="1"/>
  <c r="AE30" i="14" l="1"/>
  <c r="AF30" i="14" s="1"/>
  <c r="AE31" i="14" l="1"/>
  <c r="AF31" i="14" s="1"/>
  <c r="AE32" i="14" l="1"/>
  <c r="AF32" i="14" s="1"/>
  <c r="AE33" i="14" l="1"/>
  <c r="AF33" i="14" s="1"/>
  <c r="AE34" i="14" l="1"/>
  <c r="AF34" i="14" s="1"/>
  <c r="AE35" i="14" l="1"/>
  <c r="AF35" i="14" s="1"/>
  <c r="AE36" i="14" l="1"/>
  <c r="AF36" i="14" s="1"/>
  <c r="AE37" i="14" l="1"/>
  <c r="AF37" i="14" s="1"/>
  <c r="AE38" i="14" l="1"/>
  <c r="AF38" i="14" s="1"/>
  <c r="AE39" i="14" l="1"/>
  <c r="AF39" i="14" s="1"/>
  <c r="AE40" i="14" l="1"/>
  <c r="AF40" i="14" s="1"/>
  <c r="AE41" i="14" l="1"/>
  <c r="AF41" i="14" s="1"/>
  <c r="AE42" i="14" l="1"/>
  <c r="AF42" i="14" s="1"/>
  <c r="AE43" i="14" l="1"/>
  <c r="AF43" i="14" s="1"/>
  <c r="AE44" i="14" l="1"/>
  <c r="AF44" i="14" s="1"/>
  <c r="AE45" i="14" l="1"/>
  <c r="AF45" i="14" s="1"/>
  <c r="AE46" i="14" l="1"/>
  <c r="AF46" i="14" s="1"/>
  <c r="AE47" i="14" l="1"/>
  <c r="AF47" i="14" s="1"/>
  <c r="AE48" i="14" l="1"/>
  <c r="AF48" i="14" s="1"/>
  <c r="AE49" i="14" l="1"/>
  <c r="AF49" i="14" s="1"/>
  <c r="AE50" i="14" l="1"/>
  <c r="AF50" i="14" s="1"/>
  <c r="AE51" i="14" l="1"/>
  <c r="AF51" i="14" s="1"/>
  <c r="AE52" i="14" l="1"/>
  <c r="AF52" i="14" s="1"/>
  <c r="AE53" i="14" l="1"/>
  <c r="AF53" i="14" s="1"/>
  <c r="AE54" i="14" l="1"/>
  <c r="AF54" i="14" s="1"/>
  <c r="AE55" i="14" l="1"/>
  <c r="AF55" i="14" s="1"/>
  <c r="AE56" i="14" l="1"/>
  <c r="AF56" i="14" s="1"/>
  <c r="AE57" i="14" l="1"/>
  <c r="AF57" i="14" s="1"/>
  <c r="AE58" i="14" l="1"/>
  <c r="AF58" i="14" s="1"/>
  <c r="AE59" i="14" l="1"/>
  <c r="AF59" i="14" s="1"/>
  <c r="AE60" i="14" l="1"/>
  <c r="AF60" i="14" s="1"/>
  <c r="AE61" i="14" l="1"/>
  <c r="AF61" i="14" s="1"/>
  <c r="AE62" i="14" l="1"/>
  <c r="AF62" i="14" s="1"/>
  <c r="AE63" i="14" l="1"/>
  <c r="AF63" i="14" s="1"/>
  <c r="AE64" i="14" l="1"/>
  <c r="AF64" i="14" s="1"/>
  <c r="AE65" i="14" l="1"/>
  <c r="AF65" i="14" s="1"/>
  <c r="AE66" i="14" l="1"/>
  <c r="AF66" i="14" s="1"/>
  <c r="AE67" i="14" l="1"/>
  <c r="AF67" i="14" s="1"/>
  <c r="AE68" i="14" l="1"/>
  <c r="AF68" i="14" s="1"/>
  <c r="AE69" i="14" l="1"/>
  <c r="AF69" i="14" s="1"/>
  <c r="AE70" i="14" l="1"/>
  <c r="AF70" i="14" s="1"/>
  <c r="AE71" i="14" l="1"/>
  <c r="AF71" i="14" s="1"/>
  <c r="AE72" i="14" l="1"/>
  <c r="AF72" i="14" s="1"/>
  <c r="AE73" i="14" l="1"/>
  <c r="AF73" i="14" s="1"/>
  <c r="AE74" i="14" l="1"/>
  <c r="AF74" i="14" s="1"/>
  <c r="AE75" i="14" l="1"/>
  <c r="AF75" i="14" s="1"/>
  <c r="AE76" i="14" l="1"/>
  <c r="AF76" i="14" s="1"/>
  <c r="AE77" i="14" l="1"/>
  <c r="AF77" i="14" s="1"/>
  <c r="AE78" i="14" l="1"/>
  <c r="AF78" i="14" s="1"/>
  <c r="AE79" i="14" l="1"/>
  <c r="AF79" i="14" s="1"/>
  <c r="AE80" i="14" l="1"/>
  <c r="AF80" i="14" s="1"/>
  <c r="AE81" i="14" l="1"/>
  <c r="AF81" i="14" s="1"/>
  <c r="AE82" i="14" l="1"/>
  <c r="AF82" i="14" s="1"/>
  <c r="AE83" i="14" l="1"/>
  <c r="AF83" i="14" s="1"/>
  <c r="AE84" i="14" l="1"/>
  <c r="AF84" i="14" s="1"/>
  <c r="AE85" i="14" l="1"/>
  <c r="AF85" i="14" s="1"/>
  <c r="AE86" i="14" l="1"/>
  <c r="AF86" i="14" s="1"/>
  <c r="AE87" i="14" l="1"/>
  <c r="AF87" i="14" s="1"/>
  <c r="AE88" i="14" l="1"/>
  <c r="AF88" i="14" s="1"/>
  <c r="AE89" i="14" l="1"/>
  <c r="AF89" i="14" s="1"/>
  <c r="AE90" i="14" l="1"/>
  <c r="AF90" i="14" s="1"/>
  <c r="AE91" i="14" l="1"/>
  <c r="AF91" i="14" s="1"/>
  <c r="AE92" i="14" l="1"/>
  <c r="AF92" i="14" s="1"/>
  <c r="AE93" i="14" l="1"/>
  <c r="AF93" i="14" s="1"/>
  <c r="AE94" i="14" l="1"/>
  <c r="AF94" i="14" s="1"/>
  <c r="AE95" i="14" l="1"/>
  <c r="AF95" i="14" s="1"/>
  <c r="AE96" i="14" l="1"/>
  <c r="AF96" i="14" s="1"/>
  <c r="AE97" i="14" l="1"/>
  <c r="AF97" i="14" s="1"/>
  <c r="AE98" i="14" l="1"/>
  <c r="AF98" i="14" s="1"/>
  <c r="AE99" i="14" l="1"/>
  <c r="AF99" i="14" s="1"/>
  <c r="AE100" i="14" l="1"/>
  <c r="AF100" i="14" s="1"/>
  <c r="AE101" i="14" l="1"/>
  <c r="AF101" i="14" s="1"/>
  <c r="AE102" i="14" l="1"/>
  <c r="AF102" i="14" s="1"/>
  <c r="AE103" i="14" l="1"/>
  <c r="AF103" i="14" s="1"/>
  <c r="AE104" i="14" l="1"/>
  <c r="AF104" i="14" s="1"/>
  <c r="AE105" i="14" l="1"/>
  <c r="AF105" i="14" s="1"/>
  <c r="AE106" i="14" l="1"/>
  <c r="AF106" i="14" s="1"/>
  <c r="AE107" i="14" l="1"/>
  <c r="AF107" i="14" s="1"/>
  <c r="AE108" i="14" l="1"/>
  <c r="AF108" i="14" s="1"/>
  <c r="AE109" i="14" l="1"/>
  <c r="AF109" i="14" s="1"/>
  <c r="AE110" i="14" l="1"/>
  <c r="AF110" i="14" s="1"/>
  <c r="AE111" i="14" l="1"/>
  <c r="AF111" i="14" s="1"/>
  <c r="AE112" i="14" l="1"/>
  <c r="AF112" i="14" s="1"/>
  <c r="AE113" i="14" l="1"/>
  <c r="AF113" i="14" s="1"/>
  <c r="AE114" i="14" l="1"/>
  <c r="AF114" i="14" s="1"/>
  <c r="AE115" i="14" l="1"/>
  <c r="AF115" i="14" s="1"/>
  <c r="AE116" i="14" l="1"/>
  <c r="AF116" i="14" s="1"/>
  <c r="AE117" i="14" l="1"/>
  <c r="AF117" i="14" s="1"/>
  <c r="AE118" i="14" l="1"/>
  <c r="AF118" i="14" s="1"/>
  <c r="AE119" i="14" l="1"/>
  <c r="AF119" i="14" s="1"/>
  <c r="AE120" i="14" l="1"/>
  <c r="AF120" i="14" s="1"/>
  <c r="AE121" i="14" l="1"/>
  <c r="AF121" i="14" s="1"/>
  <c r="AE122" i="14" l="1"/>
  <c r="AF122" i="14" s="1"/>
  <c r="AE123" i="14" l="1"/>
  <c r="AF123" i="14" s="1"/>
  <c r="AE124" i="14" l="1"/>
  <c r="AF124" i="14" s="1"/>
  <c r="AE125" i="14" l="1"/>
  <c r="AF125" i="14" s="1"/>
  <c r="AE126" i="14" l="1"/>
  <c r="AF126" i="14" s="1"/>
  <c r="AE127" i="14" l="1"/>
  <c r="AF127" i="14" s="1"/>
  <c r="AE128" i="14" l="1"/>
  <c r="AF128" i="14" s="1"/>
  <c r="AE129" i="14" l="1"/>
  <c r="AF129" i="14" s="1"/>
  <c r="AE130" i="14" l="1"/>
  <c r="AF130" i="14" s="1"/>
  <c r="AE131" i="14" l="1"/>
  <c r="AF131" i="14" s="1"/>
  <c r="AE132" i="14" l="1"/>
  <c r="AF132" i="14" s="1"/>
  <c r="AE133" i="14" l="1"/>
  <c r="AF133" i="14" s="1"/>
  <c r="AE134" i="14" l="1"/>
  <c r="AF134" i="14" s="1"/>
  <c r="AE135" i="14" l="1"/>
  <c r="AF135" i="14" s="1"/>
  <c r="AE136" i="14" l="1"/>
  <c r="AF136" i="14" s="1"/>
  <c r="AE137" i="14" l="1"/>
  <c r="AF137" i="14" s="1"/>
  <c r="AE138" i="14" l="1"/>
  <c r="AF138" i="14" s="1"/>
  <c r="AE139" i="14" l="1"/>
  <c r="AF139" i="14" s="1"/>
  <c r="AE140" i="14" l="1"/>
  <c r="AF140" i="14" s="1"/>
  <c r="AE141" i="14" l="1"/>
  <c r="AF141" i="14" s="1"/>
  <c r="AE142" i="14" l="1"/>
  <c r="AF142" i="14" s="1"/>
  <c r="AE143" i="14" l="1"/>
  <c r="AF143" i="14" s="1"/>
  <c r="AE144" i="14" l="1"/>
  <c r="AF144" i="14" s="1"/>
  <c r="AE145" i="14" l="1"/>
  <c r="AF145" i="14" s="1"/>
  <c r="AE146" i="14" l="1"/>
  <c r="AF146" i="14" s="1"/>
  <c r="AE147" i="14" l="1"/>
  <c r="AF147" i="14" s="1"/>
  <c r="AE148" i="14" l="1"/>
  <c r="AF148" i="14" s="1"/>
  <c r="AE149" i="14" l="1"/>
  <c r="AF149" i="14" s="1"/>
  <c r="AE150" i="14" l="1"/>
  <c r="AF150" i="14" s="1"/>
  <c r="AE151" i="14" l="1"/>
  <c r="AF151" i="14" s="1"/>
  <c r="AE152" i="14" l="1"/>
  <c r="AF152" i="14" s="1"/>
  <c r="AE153" i="14" l="1"/>
  <c r="AF153" i="14" s="1"/>
  <c r="AE154" i="14" l="1"/>
  <c r="AF154" i="14" s="1"/>
  <c r="AE155" i="14" l="1"/>
  <c r="AF155" i="14" s="1"/>
  <c r="AE156" i="14" l="1"/>
  <c r="AF156" i="14" s="1"/>
  <c r="AE157" i="14" l="1"/>
  <c r="AF157" i="14" s="1"/>
  <c r="AE158" i="14" l="1"/>
  <c r="AF158" i="14" s="1"/>
  <c r="AE159" i="14" l="1"/>
  <c r="AF159" i="14" s="1"/>
  <c r="AE160" i="14" l="1"/>
  <c r="AF160" i="14" s="1"/>
  <c r="AE161" i="14" l="1"/>
  <c r="AF161" i="14" s="1"/>
  <c r="AE162" i="14" l="1"/>
  <c r="AF162" i="14" s="1"/>
  <c r="AE163" i="14" l="1"/>
  <c r="AF163" i="14" s="1"/>
  <c r="AE164" i="14" l="1"/>
  <c r="AF164" i="14" s="1"/>
  <c r="AE165" i="14" l="1"/>
  <c r="AF165" i="14" s="1"/>
  <c r="AE166" i="14" l="1"/>
  <c r="AF166" i="14" s="1"/>
  <c r="AE167" i="14" l="1"/>
  <c r="AF167" i="14" s="1"/>
  <c r="AE168" i="14" l="1"/>
  <c r="AF168" i="14" s="1"/>
  <c r="AE169" i="14" l="1"/>
  <c r="AF169" i="14" s="1"/>
  <c r="AE170" i="14" l="1"/>
  <c r="AF170" i="14" s="1"/>
  <c r="AE171" i="14" l="1"/>
  <c r="AF171" i="14" s="1"/>
  <c r="AE172" i="14" l="1"/>
  <c r="AF172" i="14" s="1"/>
  <c r="AE173" i="14" l="1"/>
  <c r="AF173" i="14" s="1"/>
  <c r="AE174" i="14" l="1"/>
  <c r="AF174" i="14" s="1"/>
  <c r="AE175" i="14" l="1"/>
  <c r="AF175" i="14" s="1"/>
  <c r="AE176" i="14" l="1"/>
  <c r="AF176" i="14" s="1"/>
  <c r="AE177" i="14" l="1"/>
  <c r="AF177" i="14" s="1"/>
  <c r="AE178" i="14" l="1"/>
  <c r="AF178" i="14" s="1"/>
  <c r="AE179" i="14" l="1"/>
  <c r="AF179" i="14" s="1"/>
  <c r="AE180" i="14" l="1"/>
  <c r="AF180" i="14" s="1"/>
  <c r="AE181" i="14" l="1"/>
  <c r="AF181" i="14" s="1"/>
  <c r="AE182" i="14" l="1"/>
  <c r="AF182" i="14" s="1"/>
  <c r="AE183" i="14" l="1"/>
  <c r="AF183" i="14" s="1"/>
  <c r="AE184" i="14" l="1"/>
  <c r="AF184" i="14" s="1"/>
  <c r="AE185" i="14" l="1"/>
  <c r="AF185" i="14" s="1"/>
  <c r="AE186" i="14" l="1"/>
  <c r="AF186" i="14" s="1"/>
  <c r="AE187" i="14" l="1"/>
  <c r="AF187" i="14" s="1"/>
  <c r="AE188" i="14" l="1"/>
  <c r="AF188" i="14" s="1"/>
  <c r="AE189" i="14" l="1"/>
  <c r="AF189" i="14" s="1"/>
  <c r="AE190" i="14" l="1"/>
  <c r="AF190" i="14" s="1"/>
  <c r="AE191" i="14" l="1"/>
  <c r="AF191" i="14" s="1"/>
  <c r="AE192" i="14" l="1"/>
  <c r="AF192" i="14" s="1"/>
  <c r="AE193" i="14" l="1"/>
  <c r="AF193" i="14" s="1"/>
  <c r="AE194" i="14" l="1"/>
  <c r="AF194" i="14" s="1"/>
  <c r="AE195" i="14" l="1"/>
  <c r="AF195" i="14" s="1"/>
  <c r="AE196" i="14" l="1"/>
  <c r="AF196" i="14" s="1"/>
  <c r="AE197" i="14" l="1"/>
  <c r="AF197" i="14" s="1"/>
  <c r="AE198" i="14" l="1"/>
  <c r="AF198" i="14" s="1"/>
  <c r="AE199" i="14" l="1"/>
  <c r="AF199" i="14" s="1"/>
  <c r="AE200" i="14" l="1"/>
  <c r="AF200" i="14" s="1"/>
  <c r="AE201" i="14" l="1"/>
  <c r="AF201" i="14" s="1"/>
  <c r="AE202" i="14" l="1"/>
  <c r="AF202" i="14" s="1"/>
  <c r="AE203" i="14" l="1"/>
  <c r="AF203" i="14" s="1"/>
  <c r="AE204" i="14" l="1"/>
  <c r="AF204" i="14" s="1"/>
  <c r="AE205" i="14" l="1"/>
  <c r="AF205" i="14" s="1"/>
  <c r="AE206" i="14" l="1"/>
  <c r="AF206" i="14" s="1"/>
  <c r="AE207" i="14" l="1"/>
  <c r="AF207" i="14" s="1"/>
  <c r="AE208" i="14" l="1"/>
  <c r="AF208" i="14" s="1"/>
  <c r="AE209" i="14" l="1"/>
  <c r="AF209" i="14" s="1"/>
  <c r="AE210" i="14" l="1"/>
  <c r="AF210" i="14" s="1"/>
  <c r="AE211" i="14" l="1"/>
  <c r="AF211" i="14" s="1"/>
  <c r="AE212" i="14" l="1"/>
  <c r="AF212" i="14" s="1"/>
  <c r="AE213" i="14" l="1"/>
  <c r="AF213" i="14" s="1"/>
  <c r="AE214" i="14" l="1"/>
  <c r="AF214" i="14" s="1"/>
  <c r="AE215" i="14" l="1"/>
  <c r="AF215" i="14" s="1"/>
  <c r="AE216" i="14" l="1"/>
  <c r="AF216" i="14" s="1"/>
  <c r="AE217" i="14" l="1"/>
  <c r="AF217" i="14" s="1"/>
  <c r="AE218" i="14" l="1"/>
  <c r="AF218" i="14" s="1"/>
  <c r="AE219" i="14" l="1"/>
  <c r="AF219" i="14" s="1"/>
  <c r="AE220" i="14" l="1"/>
  <c r="AF220" i="14" s="1"/>
  <c r="AE221" i="14" l="1"/>
  <c r="AF221" i="14" s="1"/>
  <c r="AE222" i="14" l="1"/>
  <c r="AF222" i="14" s="1"/>
  <c r="AE223" i="14" l="1"/>
  <c r="AF223" i="14" s="1"/>
  <c r="AE224" i="14" l="1"/>
  <c r="AF224" i="14" s="1"/>
  <c r="AE225" i="14" l="1"/>
  <c r="AF225" i="14" s="1"/>
  <c r="AE226" i="14" l="1"/>
  <c r="AF226" i="14" s="1"/>
  <c r="AE227" i="14" l="1"/>
  <c r="AF227" i="14" s="1"/>
  <c r="AE228" i="14" l="1"/>
  <c r="AF228" i="14" s="1"/>
  <c r="AE229" i="14" l="1"/>
  <c r="AF229" i="14" s="1"/>
  <c r="AE230" i="14" l="1"/>
  <c r="AF230" i="14" s="1"/>
  <c r="AE231" i="14" l="1"/>
  <c r="AF231" i="14" s="1"/>
  <c r="AE232" i="14" l="1"/>
  <c r="AF232" i="14" s="1"/>
  <c r="AE233" i="14" l="1"/>
  <c r="AF233" i="14" s="1"/>
  <c r="AE234" i="14" l="1"/>
  <c r="AF234" i="14" s="1"/>
  <c r="AE235" i="14" l="1"/>
  <c r="AF235" i="14" s="1"/>
  <c r="AE236" i="14" l="1"/>
  <c r="AF236" i="14" s="1"/>
  <c r="AE237" i="14" l="1"/>
  <c r="AF237" i="14" s="1"/>
  <c r="AE238" i="14" l="1"/>
  <c r="AF238" i="14" s="1"/>
  <c r="AE239" i="14" l="1"/>
  <c r="AF239" i="14" s="1"/>
  <c r="AE240" i="14" l="1"/>
  <c r="AF240" i="14" s="1"/>
  <c r="AE241" i="14" l="1"/>
  <c r="AF241" i="14" s="1"/>
  <c r="AE242" i="14" l="1"/>
  <c r="AF242" i="14" s="1"/>
  <c r="AE243" i="14" l="1"/>
  <c r="AF243" i="14" s="1"/>
  <c r="AE244" i="14" l="1"/>
  <c r="AF244" i="14" s="1"/>
  <c r="AE245" i="14" l="1"/>
  <c r="AF245" i="14" s="1"/>
  <c r="AE246" i="14" l="1"/>
  <c r="AF246" i="14" s="1"/>
  <c r="AE247" i="14" l="1"/>
  <c r="AF247" i="14" s="1"/>
  <c r="AE248" i="14" l="1"/>
  <c r="AF248" i="14" s="1"/>
  <c r="AE249" i="14" l="1"/>
  <c r="AF249" i="14" s="1"/>
  <c r="AE250" i="14" l="1"/>
  <c r="AF250" i="14" s="1"/>
  <c r="AE251" i="14" l="1"/>
  <c r="AF251" i="14" s="1"/>
  <c r="AE252" i="14" l="1"/>
  <c r="AF252" i="14" s="1"/>
  <c r="AE253" i="14" l="1"/>
  <c r="AF253" i="14" s="1"/>
  <c r="AE254" i="14" l="1"/>
  <c r="AF254" i="14" s="1"/>
  <c r="AE255" i="14" l="1"/>
  <c r="AF255" i="14" s="1"/>
  <c r="AE256" i="14" l="1"/>
  <c r="AF256" i="14" s="1"/>
  <c r="AE257" i="14" l="1"/>
  <c r="AF257" i="14" s="1"/>
  <c r="AE258" i="14" l="1"/>
  <c r="AF258" i="14" s="1"/>
  <c r="AE259" i="14" l="1"/>
  <c r="AF259" i="14" s="1"/>
  <c r="AE260" i="14" l="1"/>
  <c r="AF260" i="14" s="1"/>
  <c r="AE261" i="14" l="1"/>
  <c r="AF261" i="14" s="1"/>
  <c r="AE262" i="14" l="1"/>
  <c r="AF262" i="14" s="1"/>
  <c r="AE263" i="14" l="1"/>
  <c r="AF263" i="14" s="1"/>
  <c r="AE264" i="14" l="1"/>
  <c r="AF264" i="14" s="1"/>
  <c r="AE265" i="14" l="1"/>
  <c r="AF265" i="14" s="1"/>
  <c r="AE266" i="14" l="1"/>
  <c r="AF266" i="14" s="1"/>
  <c r="AE267" i="14" l="1"/>
  <c r="AF267" i="14" s="1"/>
  <c r="AE268" i="14" l="1"/>
  <c r="AF268" i="14" s="1"/>
  <c r="AE269" i="14" l="1"/>
  <c r="AF269" i="14" s="1"/>
  <c r="AE270" i="14" l="1"/>
  <c r="AF270" i="14" s="1"/>
  <c r="AE271" i="14" l="1"/>
  <c r="AF271" i="14" s="1"/>
  <c r="AE272" i="14" l="1"/>
  <c r="AF272" i="14" s="1"/>
  <c r="AE273" i="14" l="1"/>
  <c r="AF273" i="14" s="1"/>
  <c r="AE274" i="14" l="1"/>
  <c r="AF274" i="14" s="1"/>
  <c r="AE275" i="14" l="1"/>
  <c r="AF275" i="14" s="1"/>
  <c r="AE276" i="14" l="1"/>
  <c r="AF276" i="14" s="1"/>
  <c r="AE277" i="14" l="1"/>
  <c r="AF277" i="14" s="1"/>
  <c r="AE278" i="14" l="1"/>
  <c r="AF278" i="14" s="1"/>
  <c r="AE279" i="14" l="1"/>
  <c r="AF279" i="14" s="1"/>
  <c r="AE280" i="14" l="1"/>
  <c r="AF280" i="14" s="1"/>
  <c r="AE281" i="14" l="1"/>
  <c r="AF281" i="14" s="1"/>
  <c r="AE282" i="14" l="1"/>
  <c r="AF282" i="14" s="1"/>
  <c r="AE283" i="14" l="1"/>
  <c r="AF283" i="14" s="1"/>
  <c r="AE284" i="14" l="1"/>
  <c r="AF284" i="14" s="1"/>
  <c r="AE285" i="14" l="1"/>
  <c r="AF285" i="14" s="1"/>
  <c r="AE286" i="14" l="1"/>
  <c r="AF286" i="14" s="1"/>
  <c r="AE287" i="14" l="1"/>
  <c r="AF287" i="14" s="1"/>
  <c r="AE288" i="14" l="1"/>
  <c r="AF288" i="14" s="1"/>
  <c r="AE289" i="14" l="1"/>
  <c r="AF289" i="14" s="1"/>
  <c r="AE290" i="14" l="1"/>
  <c r="AF290" i="14" s="1"/>
  <c r="AE291" i="14" l="1"/>
  <c r="AF291" i="14" s="1"/>
  <c r="AE292" i="14" l="1"/>
  <c r="AF292" i="14" s="1"/>
  <c r="AE293" i="14" l="1"/>
  <c r="AF293" i="14" s="1"/>
  <c r="AE294" i="14" l="1"/>
  <c r="AF294" i="14" s="1"/>
  <c r="AE295" i="14" l="1"/>
  <c r="AF295" i="14" s="1"/>
  <c r="AE296" i="14" l="1"/>
  <c r="AF296" i="14" s="1"/>
  <c r="AE297" i="14" l="1"/>
  <c r="AF297" i="14" s="1"/>
  <c r="AE298" i="14" l="1"/>
  <c r="AF298" i="14" s="1"/>
  <c r="AE299" i="14" l="1"/>
  <c r="AF299" i="14" s="1"/>
  <c r="AE300" i="14" l="1"/>
  <c r="AF300" i="14" s="1"/>
  <c r="AE301" i="14" l="1"/>
  <c r="AF301" i="14" s="1"/>
  <c r="AE302" i="14" l="1"/>
  <c r="AF302" i="14" s="1"/>
  <c r="AE303" i="14" l="1"/>
  <c r="AF303" i="14" s="1"/>
  <c r="AE304" i="14" l="1"/>
  <c r="AF304" i="14" s="1"/>
  <c r="AE305" i="14" l="1"/>
  <c r="AF305" i="14" s="1"/>
  <c r="AE306" i="14" l="1"/>
  <c r="AF306" i="14" s="1"/>
  <c r="AE307" i="14" l="1"/>
  <c r="AF307" i="14" s="1"/>
  <c r="AE308" i="14" l="1"/>
  <c r="AF308" i="14" s="1"/>
  <c r="AE309" i="14" l="1"/>
  <c r="AF309" i="14" s="1"/>
  <c r="AE310" i="14" l="1"/>
  <c r="AF310" i="14" s="1"/>
  <c r="AE311" i="14" l="1"/>
  <c r="AF311" i="14" s="1"/>
  <c r="AE312" i="14" l="1"/>
  <c r="AF312" i="14" s="1"/>
  <c r="AE313" i="14" l="1"/>
  <c r="AF313" i="14" s="1"/>
  <c r="AE314" i="14" l="1"/>
  <c r="AF314" i="14" s="1"/>
  <c r="AE315" i="14" l="1"/>
  <c r="AF315" i="14" s="1"/>
  <c r="AE316" i="14" l="1"/>
  <c r="AF316" i="14" s="1"/>
  <c r="AE317" i="14" l="1"/>
  <c r="AF317" i="14" s="1"/>
  <c r="AE318" i="14" l="1"/>
  <c r="AF318" i="14" s="1"/>
  <c r="AE319" i="14" l="1"/>
  <c r="AF319" i="14" s="1"/>
  <c r="AE320" i="14" l="1"/>
  <c r="AF320" i="14" s="1"/>
  <c r="AE321" i="14" l="1"/>
  <c r="AF321" i="14" s="1"/>
  <c r="AE322" i="14" l="1"/>
  <c r="AF322" i="14" s="1"/>
  <c r="AE323" i="14" l="1"/>
  <c r="AF323" i="14" s="1"/>
  <c r="AE324" i="14" l="1"/>
  <c r="AF324" i="14" s="1"/>
  <c r="AE325" i="14" l="1"/>
  <c r="AF325" i="14" s="1"/>
  <c r="AE326" i="14" l="1"/>
  <c r="AF326" i="14" s="1"/>
  <c r="AE327" i="14" l="1"/>
  <c r="AF327" i="14" s="1"/>
  <c r="AE328" i="14" l="1"/>
  <c r="AF328" i="14" s="1"/>
  <c r="AE329" i="14" l="1"/>
  <c r="AF329" i="14" s="1"/>
  <c r="AE330" i="14" l="1"/>
  <c r="AF330" i="14" s="1"/>
  <c r="AE331" i="14" l="1"/>
  <c r="AF331" i="14" s="1"/>
  <c r="AE332" i="14" l="1"/>
  <c r="AF332" i="14" s="1"/>
  <c r="AE333" i="14" l="1"/>
  <c r="AF333" i="14" s="1"/>
  <c r="AE334" i="14" l="1"/>
  <c r="AF334" i="14" s="1"/>
  <c r="AE335" i="14" l="1"/>
  <c r="AF335" i="14" s="1"/>
  <c r="AE336" i="14" l="1"/>
  <c r="AF336" i="14" s="1"/>
  <c r="AE337" i="14" l="1"/>
  <c r="AF337" i="14" s="1"/>
  <c r="AE338" i="14" l="1"/>
  <c r="AF338" i="14" s="1"/>
  <c r="AE339" i="14" l="1"/>
  <c r="AF339" i="14" s="1"/>
  <c r="AE340" i="14" l="1"/>
  <c r="AF340" i="14" s="1"/>
  <c r="AE341" i="14" l="1"/>
  <c r="AF341" i="14" s="1"/>
  <c r="AE342" i="14" l="1"/>
  <c r="AF342" i="14" s="1"/>
  <c r="AE343" i="14" l="1"/>
  <c r="AF343" i="14" s="1"/>
  <c r="AE344" i="14" l="1"/>
  <c r="AF344" i="14" s="1"/>
  <c r="AE345" i="14" l="1"/>
  <c r="AF345" i="14" s="1"/>
  <c r="AE346" i="14" l="1"/>
  <c r="AF346" i="14" s="1"/>
  <c r="AE347" i="14" l="1"/>
  <c r="AF347" i="14" s="1"/>
  <c r="AE348" i="14" l="1"/>
  <c r="AF348" i="14" s="1"/>
  <c r="AE349" i="14" l="1"/>
  <c r="AF349" i="14" s="1"/>
  <c r="AE350" i="14" l="1"/>
  <c r="AF350" i="14" s="1"/>
  <c r="AE351" i="14" l="1"/>
  <c r="AF351" i="14" s="1"/>
  <c r="AE352" i="14" l="1"/>
  <c r="AF352" i="14" s="1"/>
  <c r="AE353" i="14" l="1"/>
  <c r="AF353" i="14" s="1"/>
  <c r="AE354" i="14" l="1"/>
  <c r="AF354" i="14" s="1"/>
  <c r="AE355" i="14" l="1"/>
  <c r="AF355" i="14" s="1"/>
  <c r="AE356" i="14" l="1"/>
  <c r="AF356" i="14" s="1"/>
  <c r="AE357" i="14" l="1"/>
  <c r="AF357" i="14" s="1"/>
  <c r="AE358" i="14" l="1"/>
  <c r="AF358" i="14" s="1"/>
  <c r="AE359" i="14" l="1"/>
  <c r="AF359" i="14" s="1"/>
  <c r="AE360" i="14" l="1"/>
  <c r="AF360" i="14" s="1"/>
  <c r="AE361" i="14" l="1"/>
  <c r="AF361" i="14" s="1"/>
  <c r="AE362" i="14" l="1"/>
  <c r="AF362" i="14" s="1"/>
  <c r="AE363" i="14" l="1"/>
  <c r="AF363" i="14" s="1"/>
  <c r="AE364" i="14" l="1"/>
  <c r="AF364" i="14" s="1"/>
  <c r="AE365" i="14" l="1"/>
  <c r="AF365" i="14" s="1"/>
  <c r="AE366" i="14" l="1"/>
  <c r="AF366" i="14" s="1"/>
  <c r="AE367" i="14" l="1"/>
  <c r="AF367" i="14" s="1"/>
  <c r="AE368" i="14" l="1"/>
  <c r="AF368" i="14" s="1"/>
  <c r="AE369" i="14" l="1"/>
  <c r="AF369" i="14" s="1"/>
  <c r="AE370" i="14" l="1"/>
  <c r="AF370" i="14" s="1"/>
  <c r="AE371" i="14" l="1"/>
  <c r="AF371" i="14" s="1"/>
  <c r="AE372" i="14" l="1"/>
  <c r="AF372" i="14" s="1"/>
  <c r="AE373" i="14" l="1"/>
  <c r="AF373" i="14" s="1"/>
  <c r="AE374" i="14" l="1"/>
  <c r="AF374" i="14" s="1"/>
  <c r="AE375" i="14" l="1"/>
  <c r="AF375" i="14" s="1"/>
  <c r="AE376" i="14" l="1"/>
  <c r="AF376" i="14" s="1"/>
  <c r="AE377" i="14" l="1"/>
  <c r="AF377" i="14" s="1"/>
  <c r="AE378" i="14" l="1"/>
  <c r="AF378" i="14" s="1"/>
  <c r="AE379" i="14" l="1"/>
  <c r="AF379" i="14" s="1"/>
  <c r="AE380" i="14" l="1"/>
  <c r="AF380" i="14" s="1"/>
  <c r="AE381" i="14" l="1"/>
  <c r="AF381" i="14" s="1"/>
  <c r="AE382" i="14" l="1"/>
  <c r="AF382" i="14" s="1"/>
  <c r="AE383" i="14" l="1"/>
  <c r="AF383" i="14" s="1"/>
  <c r="AE384" i="14" l="1"/>
  <c r="AF384" i="14" s="1"/>
  <c r="AE385" i="14" l="1"/>
  <c r="AF385" i="14" s="1"/>
  <c r="AE386" i="14" l="1"/>
  <c r="AF386" i="14" s="1"/>
  <c r="AE387" i="14" l="1"/>
  <c r="AF387" i="14" s="1"/>
  <c r="AE388" i="14" l="1"/>
  <c r="AF388" i="14" s="1"/>
  <c r="AE389" i="14" l="1"/>
  <c r="AF389" i="14" s="1"/>
  <c r="AE390" i="14" l="1"/>
  <c r="AF390" i="14" s="1"/>
  <c r="AE391" i="14" l="1"/>
  <c r="AF391" i="14" s="1"/>
  <c r="AE392" i="14" l="1"/>
  <c r="AF392" i="14" s="1"/>
  <c r="AE393" i="14" l="1"/>
  <c r="AF393" i="14" s="1"/>
  <c r="AE394" i="14" l="1"/>
  <c r="AF394" i="14" s="1"/>
  <c r="AE395" i="14" l="1"/>
  <c r="AF395" i="14" s="1"/>
  <c r="AE396" i="14" l="1"/>
  <c r="AF396" i="14" s="1"/>
  <c r="AE397" i="14" l="1"/>
  <c r="AF397" i="14" s="1"/>
  <c r="AE398" i="14" l="1"/>
  <c r="AF398" i="14" s="1"/>
  <c r="AE399" i="14" l="1"/>
  <c r="AF399" i="14" s="1"/>
  <c r="AE400" i="14" l="1"/>
  <c r="AF400" i="14" s="1"/>
  <c r="AE401" i="14" l="1"/>
  <c r="AF401" i="14" s="1"/>
  <c r="AE402" i="14" l="1"/>
  <c r="AF402" i="14" s="1"/>
  <c r="AE403" i="14" l="1"/>
  <c r="AF403" i="14" s="1"/>
  <c r="AE404" i="14" l="1"/>
  <c r="AF404" i="14" s="1"/>
  <c r="AE405" i="14" l="1"/>
  <c r="AF405" i="14" s="1"/>
  <c r="AE406" i="14" l="1"/>
  <c r="AF406" i="14" s="1"/>
  <c r="AE407" i="14" l="1"/>
  <c r="AF407" i="14" s="1"/>
  <c r="AE408" i="14" l="1"/>
  <c r="AF408" i="14" s="1"/>
  <c r="AE409" i="14" l="1"/>
  <c r="AF409" i="14" s="1"/>
  <c r="AE410" i="14" l="1"/>
  <c r="AF410" i="14" s="1"/>
  <c r="AE411" i="14" l="1"/>
  <c r="AF411" i="14" s="1"/>
  <c r="AE412" i="14" l="1"/>
  <c r="AF412" i="14" s="1"/>
  <c r="AE413" i="14" l="1"/>
  <c r="AF413" i="14" s="1"/>
  <c r="AE414" i="14" l="1"/>
  <c r="AF414" i="14" s="1"/>
  <c r="AE415" i="14" l="1"/>
  <c r="AF415" i="14" s="1"/>
  <c r="AE416" i="14" l="1"/>
  <c r="AF416" i="14" s="1"/>
  <c r="AE417" i="14" l="1"/>
  <c r="AF417" i="14" s="1"/>
  <c r="AE418" i="14" l="1"/>
  <c r="AF418" i="14" s="1"/>
  <c r="AE419" i="14" l="1"/>
  <c r="AF419" i="14" s="1"/>
  <c r="AE420" i="14" l="1"/>
  <c r="AF420" i="14" s="1"/>
  <c r="AE421" i="14" l="1"/>
  <c r="AF421" i="14" s="1"/>
  <c r="AE422" i="14" l="1"/>
  <c r="AF422" i="14" s="1"/>
  <c r="AE423" i="14" l="1"/>
  <c r="AF423" i="14" s="1"/>
  <c r="AE424" i="14" l="1"/>
  <c r="AF424" i="14" s="1"/>
  <c r="AE425" i="14" l="1"/>
  <c r="AF425" i="14" s="1"/>
  <c r="AE426" i="14" l="1"/>
  <c r="AF426" i="14" s="1"/>
  <c r="AE427" i="14" l="1"/>
  <c r="AF427" i="14" s="1"/>
  <c r="AE428" i="14" l="1"/>
  <c r="AF428" i="14" s="1"/>
  <c r="AE429" i="14" l="1"/>
  <c r="AF429" i="14" s="1"/>
  <c r="AE430" i="14" l="1"/>
  <c r="AF430" i="14" s="1"/>
  <c r="AE431" i="14" l="1"/>
  <c r="AF431" i="14" s="1"/>
  <c r="AE432" i="14" l="1"/>
  <c r="AF432" i="14" s="1"/>
  <c r="AE433" i="14" l="1"/>
  <c r="AF433" i="14" s="1"/>
  <c r="AE434" i="14" l="1"/>
  <c r="AF434" i="14" s="1"/>
  <c r="AE435" i="14" l="1"/>
  <c r="AF435" i="14" s="1"/>
  <c r="AE436" i="14" l="1"/>
  <c r="AF436" i="14" s="1"/>
  <c r="AE437" i="14" l="1"/>
  <c r="AF437" i="14" s="1"/>
  <c r="AE438" i="14" l="1"/>
  <c r="AF438" i="14" s="1"/>
  <c r="AE439" i="14" l="1"/>
  <c r="AF439" i="14" s="1"/>
  <c r="AE440" i="14" l="1"/>
  <c r="AF440" i="14" s="1"/>
  <c r="AE441" i="14" l="1"/>
  <c r="AF441" i="14" s="1"/>
  <c r="AE442" i="14" l="1"/>
  <c r="AF442" i="14" s="1"/>
  <c r="AE443" i="14" l="1"/>
  <c r="AF443" i="14" s="1"/>
  <c r="AE444" i="14" l="1"/>
  <c r="AF444" i="14" s="1"/>
  <c r="AE445" i="14" l="1"/>
  <c r="AF445" i="14" s="1"/>
  <c r="AE446" i="14" l="1"/>
  <c r="AF446" i="14" s="1"/>
  <c r="AE447" i="14" l="1"/>
  <c r="AF447" i="14" s="1"/>
  <c r="AE448" i="14" l="1"/>
  <c r="AF448" i="14" s="1"/>
  <c r="AE449" i="14" l="1"/>
  <c r="AF449" i="14" s="1"/>
  <c r="AE450" i="14" l="1"/>
  <c r="AF450" i="14" s="1"/>
  <c r="AE451" i="14" l="1"/>
  <c r="AF451" i="14" s="1"/>
  <c r="AE452" i="14" l="1"/>
  <c r="AF452" i="14" s="1"/>
  <c r="AE453" i="14" l="1"/>
  <c r="AF453" i="14" s="1"/>
  <c r="AE454" i="14" l="1"/>
  <c r="AF454" i="14" s="1"/>
  <c r="AE455" i="14" l="1"/>
  <c r="AF455" i="14" s="1"/>
  <c r="AE456" i="14" l="1"/>
  <c r="AF456" i="14" s="1"/>
  <c r="AE457" i="14" l="1"/>
  <c r="AF457" i="14" s="1"/>
  <c r="AE458" i="14" l="1"/>
  <c r="AF458" i="14" s="1"/>
  <c r="AE459" i="14" l="1"/>
  <c r="AF459" i="14" s="1"/>
  <c r="AE460" i="14" l="1"/>
  <c r="AF460" i="14" s="1"/>
  <c r="AE461" i="14" l="1"/>
  <c r="AF461" i="14" s="1"/>
  <c r="AE462" i="14" l="1"/>
  <c r="AF462" i="14" s="1"/>
  <c r="AE463" i="14" l="1"/>
  <c r="AF463" i="14" s="1"/>
  <c r="AE464" i="14" l="1"/>
  <c r="AF464" i="14" s="1"/>
  <c r="AE465" i="14" l="1"/>
  <c r="AF465" i="14" s="1"/>
  <c r="AE466" i="14" l="1"/>
  <c r="AF466" i="14" s="1"/>
  <c r="AE467" i="14" l="1"/>
  <c r="AF467" i="14" s="1"/>
  <c r="AE468" i="14" l="1"/>
  <c r="AF468" i="14" s="1"/>
  <c r="AE469" i="14" l="1"/>
  <c r="AF469" i="14" s="1"/>
  <c r="AE470" i="14" l="1"/>
  <c r="AF470" i="14" s="1"/>
  <c r="AE471" i="14" l="1"/>
  <c r="AF471" i="14" s="1"/>
  <c r="AE472" i="14" l="1"/>
  <c r="AF472" i="14" s="1"/>
  <c r="AE473" i="14" l="1"/>
  <c r="AF473" i="14" s="1"/>
  <c r="AE474" i="14" l="1"/>
  <c r="AF474" i="14" s="1"/>
  <c r="AE475" i="14" l="1"/>
  <c r="AF475" i="14" s="1"/>
  <c r="AE476" i="14" l="1"/>
  <c r="AF476" i="14" s="1"/>
  <c r="AE477" i="14" l="1"/>
  <c r="AF477" i="14" s="1"/>
  <c r="AE478" i="14" l="1"/>
  <c r="AF478" i="14" s="1"/>
  <c r="AE479" i="14" l="1"/>
  <c r="AF479" i="14" s="1"/>
  <c r="AE480" i="14" l="1"/>
  <c r="AF480" i="14" s="1"/>
  <c r="AE481" i="14" l="1"/>
  <c r="AF481" i="14" s="1"/>
  <c r="AE482" i="14" l="1"/>
  <c r="AF482" i="14" s="1"/>
  <c r="AE483" i="14" l="1"/>
  <c r="AF483" i="14" s="1"/>
  <c r="AE484" i="14" l="1"/>
  <c r="AF484" i="14" s="1"/>
  <c r="AE485" i="14" l="1"/>
  <c r="AF485" i="14" s="1"/>
  <c r="AE486" i="14" l="1"/>
  <c r="AF486" i="14" s="1"/>
  <c r="AE487" i="14" l="1"/>
  <c r="AF487" i="14" s="1"/>
  <c r="AE488" i="14" l="1"/>
  <c r="AF488" i="14" s="1"/>
  <c r="AE489" i="14" l="1"/>
  <c r="AF489" i="14" s="1"/>
  <c r="AE490" i="14" l="1"/>
  <c r="AF490" i="14" s="1"/>
  <c r="AE491" i="14" l="1"/>
  <c r="AF491" i="14" s="1"/>
  <c r="AE492" i="14" l="1"/>
  <c r="AF492" i="14" s="1"/>
  <c r="AE493" i="14" l="1"/>
  <c r="AF493" i="14" s="1"/>
  <c r="AE494" i="14" l="1"/>
  <c r="AF494" i="14" s="1"/>
  <c r="AE495" i="14" l="1"/>
  <c r="AF495" i="14" s="1"/>
  <c r="AE496" i="14" l="1"/>
  <c r="AF496" i="14" s="1"/>
  <c r="AE497" i="14" l="1"/>
  <c r="AF497" i="14" s="1"/>
  <c r="AE498" i="14" l="1"/>
  <c r="AF498" i="14" s="1"/>
  <c r="AE499" i="14" l="1"/>
  <c r="AF499" i="14" s="1"/>
  <c r="AE500" i="14" l="1"/>
  <c r="AF500" i="14" s="1"/>
  <c r="AE501" i="14" l="1"/>
  <c r="AF501" i="14" s="1"/>
  <c r="AE502" i="14" l="1"/>
  <c r="AF502" i="14" l="1"/>
  <c r="AE503" i="14"/>
  <c r="F13" i="14"/>
  <c r="B964" i="14"/>
  <c r="B924" i="14"/>
  <c r="B884" i="14"/>
  <c r="B844" i="14"/>
  <c r="B808" i="14"/>
  <c r="B760" i="14"/>
  <c r="B724" i="14"/>
  <c r="B684" i="14"/>
  <c r="B640" i="14"/>
  <c r="B600" i="14"/>
  <c r="B564" i="14"/>
  <c r="B520" i="14"/>
  <c r="B480" i="14"/>
  <c r="B440" i="14"/>
  <c r="B396" i="14"/>
  <c r="B356" i="14"/>
  <c r="B320" i="14"/>
  <c r="B276" i="14"/>
  <c r="B948" i="14"/>
  <c r="B872" i="14"/>
  <c r="B800" i="14"/>
  <c r="B736" i="14"/>
  <c r="B664" i="14"/>
  <c r="B596" i="14"/>
  <c r="B528" i="14"/>
  <c r="B456" i="14"/>
  <c r="B384" i="14"/>
  <c r="B316" i="14"/>
  <c r="B256" i="14"/>
  <c r="B1000" i="14"/>
  <c r="B960" i="14"/>
  <c r="B920" i="14"/>
  <c r="B880" i="14"/>
  <c r="B836" i="14"/>
  <c r="B792" i="14"/>
  <c r="B756" i="14"/>
  <c r="B708" i="14"/>
  <c r="B668" i="14"/>
  <c r="B624" i="14"/>
  <c r="B580" i="14"/>
  <c r="B536" i="14"/>
  <c r="B496" i="14"/>
  <c r="B452" i="14"/>
  <c r="B412" i="14"/>
  <c r="B372" i="14"/>
  <c r="B324" i="14"/>
  <c r="B284" i="14"/>
  <c r="B248" i="14"/>
  <c r="B216" i="14"/>
  <c r="B176" i="14"/>
  <c r="B132" i="14"/>
  <c r="B88" i="14"/>
  <c r="B48" i="14"/>
  <c r="B8" i="14"/>
  <c r="F969" i="14"/>
  <c r="F929" i="14"/>
  <c r="F889" i="14"/>
  <c r="F849" i="14"/>
  <c r="F813" i="14"/>
  <c r="F773" i="14"/>
  <c r="F729" i="14"/>
  <c r="F689" i="14"/>
  <c r="F649" i="14"/>
  <c r="F613" i="14"/>
  <c r="F569" i="14"/>
  <c r="F529" i="14"/>
  <c r="F489" i="14"/>
  <c r="F449" i="14"/>
  <c r="F405" i="14"/>
  <c r="F357" i="14"/>
  <c r="F333" i="14"/>
  <c r="F305" i="14"/>
  <c r="F261" i="14"/>
  <c r="F221" i="14"/>
  <c r="F185" i="14"/>
  <c r="F141" i="14"/>
  <c r="F105" i="14"/>
  <c r="F65" i="14"/>
  <c r="F33" i="14"/>
  <c r="B979" i="14"/>
  <c r="B947" i="14"/>
  <c r="B903" i="14"/>
  <c r="B863" i="14"/>
  <c r="B823" i="14"/>
  <c r="B783" i="14"/>
  <c r="B691" i="14"/>
  <c r="B655" i="14"/>
  <c r="B615" i="14"/>
  <c r="B575" i="14"/>
  <c r="B535" i="14"/>
  <c r="B491" i="14"/>
  <c r="B172" i="14"/>
  <c r="B108" i="14"/>
  <c r="B44" i="14"/>
  <c r="F965" i="14"/>
  <c r="F893" i="14"/>
  <c r="F817" i="14"/>
  <c r="F753" i="14"/>
  <c r="F677" i="14"/>
  <c r="F605" i="14"/>
  <c r="F533" i="14"/>
  <c r="F465" i="14"/>
  <c r="F397" i="14"/>
  <c r="F337" i="14"/>
  <c r="F281" i="14"/>
  <c r="F217" i="14"/>
  <c r="F149" i="14"/>
  <c r="F77" i="14"/>
  <c r="B939" i="14"/>
  <c r="B867" i="14"/>
  <c r="B791" i="14"/>
  <c r="B735" i="14"/>
  <c r="B607" i="14"/>
  <c r="B539" i="14"/>
  <c r="B475" i="14"/>
  <c r="B208" i="14"/>
  <c r="B168" i="14"/>
  <c r="B128" i="14"/>
  <c r="B84" i="14"/>
  <c r="B40" i="14"/>
  <c r="F1001" i="14"/>
  <c r="F961" i="14"/>
  <c r="F917" i="14"/>
  <c r="F873" i="14"/>
  <c r="F829" i="14"/>
  <c r="F789" i="14"/>
  <c r="F745" i="14"/>
  <c r="F705" i="14"/>
  <c r="F665" i="14"/>
  <c r="F617" i="14"/>
  <c r="F577" i="14"/>
  <c r="F537" i="14"/>
  <c r="F493" i="14"/>
  <c r="F453" i="14"/>
  <c r="F413" i="14"/>
  <c r="F369" i="14"/>
  <c r="F289" i="14"/>
  <c r="F245" i="14"/>
  <c r="F201" i="14"/>
  <c r="F157" i="14"/>
  <c r="F109" i="14"/>
  <c r="F69" i="14"/>
  <c r="F41" i="14"/>
  <c r="B987" i="14"/>
  <c r="B943" i="14"/>
  <c r="B899" i="14"/>
  <c r="B859" i="14"/>
  <c r="B819" i="14"/>
  <c r="B779" i="14"/>
  <c r="B743" i="14"/>
  <c r="B719" i="14"/>
  <c r="B687" i="14"/>
  <c r="B639" i="14"/>
  <c r="B599" i="14"/>
  <c r="B559" i="14"/>
  <c r="B511" i="14"/>
  <c r="B479" i="14"/>
  <c r="B451" i="14"/>
  <c r="B387" i="14"/>
  <c r="B311" i="14"/>
  <c r="B231" i="14"/>
  <c r="B151" i="14"/>
  <c r="B71" i="14"/>
  <c r="F992" i="14"/>
  <c r="F912" i="14"/>
  <c r="F832" i="14"/>
  <c r="B443" i="14"/>
  <c r="B403" i="14"/>
  <c r="B351" i="14"/>
  <c r="B247" i="14"/>
  <c r="B203" i="14"/>
  <c r="B167" i="14"/>
  <c r="B127" i="14"/>
  <c r="B87" i="14"/>
  <c r="B47" i="14"/>
  <c r="B7" i="14"/>
  <c r="F964" i="14"/>
  <c r="F928" i="14"/>
  <c r="F888" i="14"/>
  <c r="F848" i="14"/>
  <c r="F812" i="14"/>
  <c r="F776" i="14"/>
  <c r="F740" i="14"/>
  <c r="F708" i="14"/>
  <c r="F676" i="14"/>
  <c r="B986" i="14"/>
  <c r="B970" i="14"/>
  <c r="B954" i="14"/>
  <c r="B938" i="14"/>
  <c r="B922" i="14"/>
  <c r="B906" i="14"/>
  <c r="B890" i="14"/>
  <c r="B874" i="14"/>
  <c r="B858" i="14"/>
  <c r="B842" i="14"/>
  <c r="B826" i="14"/>
  <c r="B810" i="14"/>
  <c r="B794" i="14"/>
  <c r="B778" i="14"/>
  <c r="B762" i="14"/>
  <c r="B746" i="14"/>
  <c r="B730" i="14"/>
  <c r="B714" i="14"/>
  <c r="B698" i="14"/>
  <c r="B682" i="14"/>
  <c r="B666" i="14"/>
  <c r="B650" i="14"/>
  <c r="B634" i="14"/>
  <c r="B439" i="14"/>
  <c r="B399" i="14"/>
  <c r="B371" i="14"/>
  <c r="B343" i="14"/>
  <c r="B315" i="14"/>
  <c r="B275" i="14"/>
  <c r="B235" i="14"/>
  <c r="B199" i="14"/>
  <c r="B155" i="14"/>
  <c r="B115" i="14"/>
  <c r="B75" i="14"/>
  <c r="B35" i="14"/>
  <c r="F996" i="14"/>
  <c r="F960" i="14"/>
  <c r="F916" i="14"/>
  <c r="F876" i="14"/>
  <c r="F836" i="14"/>
  <c r="F796" i="14"/>
  <c r="F760" i="14"/>
  <c r="F728" i="14"/>
  <c r="F696" i="14"/>
  <c r="B2" i="14"/>
  <c r="B989" i="14"/>
  <c r="B973" i="14"/>
  <c r="B957" i="14"/>
  <c r="B941" i="14"/>
  <c r="B925" i="14"/>
  <c r="B909" i="14"/>
  <c r="B893" i="14"/>
  <c r="B877" i="14"/>
  <c r="B861" i="14"/>
  <c r="B845" i="14"/>
  <c r="B829" i="14"/>
  <c r="B813" i="14"/>
  <c r="B797" i="14"/>
  <c r="B781" i="14"/>
  <c r="B765" i="14"/>
  <c r="B749" i="14"/>
  <c r="B733" i="14"/>
  <c r="B717" i="14"/>
  <c r="B701" i="14"/>
  <c r="B685" i="14"/>
  <c r="B669" i="14"/>
  <c r="F656" i="14"/>
  <c r="F640" i="14"/>
  <c r="F624" i="14"/>
  <c r="F608" i="14"/>
  <c r="F592" i="14"/>
  <c r="F576" i="14"/>
  <c r="F560" i="14"/>
  <c r="F544" i="14"/>
  <c r="F528" i="14"/>
  <c r="F512" i="14"/>
  <c r="F496" i="14"/>
  <c r="F480" i="14"/>
  <c r="F464" i="14"/>
  <c r="F448" i="14"/>
  <c r="F432" i="14"/>
  <c r="F416" i="14"/>
  <c r="F400" i="14"/>
  <c r="F384" i="14"/>
  <c r="F368" i="14"/>
  <c r="F352" i="14"/>
  <c r="F336" i="14"/>
  <c r="B614" i="14"/>
  <c r="B598" i="14"/>
  <c r="B582" i="14"/>
  <c r="B566" i="14"/>
  <c r="B550" i="14"/>
  <c r="B534" i="14"/>
  <c r="B518" i="14"/>
  <c r="B502" i="14"/>
  <c r="B486" i="14"/>
  <c r="B470" i="14"/>
  <c r="B454" i="14"/>
  <c r="B438" i="14"/>
  <c r="B422" i="14"/>
  <c r="B406" i="14"/>
  <c r="B390" i="14"/>
  <c r="B374" i="14"/>
  <c r="B358" i="14"/>
  <c r="B657" i="14"/>
  <c r="B641" i="14"/>
  <c r="B625" i="14"/>
  <c r="B609" i="14"/>
  <c r="B593" i="14"/>
  <c r="B577" i="14"/>
  <c r="B561" i="14"/>
  <c r="B545" i="14"/>
  <c r="B529" i="14"/>
  <c r="B513" i="14"/>
  <c r="B497" i="14"/>
  <c r="B481" i="14"/>
  <c r="B465" i="14"/>
  <c r="B449" i="14"/>
  <c r="B433" i="14"/>
  <c r="B417" i="14"/>
  <c r="B401" i="14"/>
  <c r="B385" i="14"/>
  <c r="B369" i="14"/>
  <c r="B353" i="14"/>
  <c r="F320" i="14"/>
  <c r="F304" i="14"/>
  <c r="F288" i="14"/>
  <c r="F272" i="14"/>
  <c r="F256" i="14"/>
  <c r="F240" i="14"/>
  <c r="F224" i="14"/>
  <c r="F208" i="14"/>
  <c r="F192" i="14"/>
  <c r="F176" i="14"/>
  <c r="F160" i="14"/>
  <c r="F144" i="14"/>
  <c r="F128" i="14"/>
  <c r="F112" i="14"/>
  <c r="F96" i="14"/>
  <c r="F80" i="14"/>
  <c r="F64" i="14"/>
  <c r="F48" i="14"/>
  <c r="F32" i="14"/>
  <c r="F16" i="14"/>
  <c r="B346" i="14"/>
  <c r="B330" i="14"/>
  <c r="B314" i="14"/>
  <c r="B298" i="14"/>
  <c r="B282" i="14"/>
  <c r="B266" i="14"/>
  <c r="B250" i="14"/>
  <c r="B234" i="14"/>
  <c r="B218" i="14"/>
  <c r="B996" i="14"/>
  <c r="B956" i="14"/>
  <c r="B916" i="14"/>
  <c r="B876" i="14"/>
  <c r="B796" i="14"/>
  <c r="B752" i="14"/>
  <c r="B712" i="14"/>
  <c r="B672" i="14"/>
  <c r="B632" i="14"/>
  <c r="B592" i="14"/>
  <c r="B552" i="14"/>
  <c r="B512" i="14"/>
  <c r="B468" i="14"/>
  <c r="B428" i="14"/>
  <c r="B388" i="14"/>
  <c r="B348" i="14"/>
  <c r="B308" i="14"/>
  <c r="B224" i="14"/>
  <c r="G224" i="14" s="1"/>
  <c r="B928" i="14"/>
  <c r="B852" i="14"/>
  <c r="B788" i="14"/>
  <c r="B716" i="14"/>
  <c r="B648" i="14"/>
  <c r="B576" i="14"/>
  <c r="B508" i="14"/>
  <c r="B436" i="14"/>
  <c r="B364" i="14"/>
  <c r="B300" i="14"/>
  <c r="B252" i="14"/>
  <c r="B992" i="14"/>
  <c r="B952" i="14"/>
  <c r="B912" i="14"/>
  <c r="B868" i="14"/>
  <c r="B824" i="14"/>
  <c r="B780" i="14"/>
  <c r="B744" i="14"/>
  <c r="B700" i="14"/>
  <c r="B656" i="14"/>
  <c r="B616" i="14"/>
  <c r="B568" i="14"/>
  <c r="B524" i="14"/>
  <c r="B484" i="14"/>
  <c r="B444" i="14"/>
  <c r="B400" i="14"/>
  <c r="B360" i="14"/>
  <c r="B312" i="14"/>
  <c r="B272" i="14"/>
  <c r="B240" i="14"/>
  <c r="B204" i="14"/>
  <c r="B164" i="14"/>
  <c r="B120" i="14"/>
  <c r="B80" i="14"/>
  <c r="B36" i="14"/>
  <c r="F997" i="14"/>
  <c r="F957" i="14"/>
  <c r="F921" i="14"/>
  <c r="F881" i="14"/>
  <c r="F845" i="14"/>
  <c r="F805" i="14"/>
  <c r="F761" i="14"/>
  <c r="F721" i="14"/>
  <c r="F681" i="14"/>
  <c r="F637" i="14"/>
  <c r="F601" i="14"/>
  <c r="F561" i="14"/>
  <c r="F521" i="14"/>
  <c r="F477" i="14"/>
  <c r="F437" i="14"/>
  <c r="F393" i="14"/>
  <c r="F349" i="14"/>
  <c r="F329" i="14"/>
  <c r="F293" i="14"/>
  <c r="F253" i="14"/>
  <c r="F213" i="14"/>
  <c r="F173" i="14"/>
  <c r="F129" i="14"/>
  <c r="F93" i="14"/>
  <c r="F53" i="14"/>
  <c r="F21" i="14"/>
  <c r="B971" i="14"/>
  <c r="B935" i="14"/>
  <c r="B891" i="14"/>
  <c r="B855" i="14"/>
  <c r="B815" i="14"/>
  <c r="B775" i="14"/>
  <c r="B683" i="14"/>
  <c r="B647" i="14"/>
  <c r="B603" i="14"/>
  <c r="B563" i="14"/>
  <c r="B527" i="14"/>
  <c r="B447" i="14"/>
  <c r="B156" i="14"/>
  <c r="B92" i="14"/>
  <c r="B24" i="14"/>
  <c r="F945" i="14"/>
  <c r="F877" i="14"/>
  <c r="F801" i="14"/>
  <c r="F733" i="14"/>
  <c r="F661" i="14"/>
  <c r="F585" i="14"/>
  <c r="F517" i="14"/>
  <c r="F445" i="14"/>
  <c r="F381" i="14"/>
  <c r="F325" i="14"/>
  <c r="F269" i="14"/>
  <c r="F197" i="14"/>
  <c r="F133" i="14"/>
  <c r="F25" i="14"/>
  <c r="B923" i="14"/>
  <c r="B847" i="14"/>
  <c r="B771" i="14"/>
  <c r="B723" i="14"/>
  <c r="B659" i="14"/>
  <c r="B587" i="14"/>
  <c r="B519" i="14"/>
  <c r="B467" i="14"/>
  <c r="B200" i="14"/>
  <c r="B160" i="14"/>
  <c r="B116" i="14"/>
  <c r="B72" i="14"/>
  <c r="B32" i="14"/>
  <c r="F993" i="14"/>
  <c r="F953" i="14"/>
  <c r="F905" i="14"/>
  <c r="F865" i="14"/>
  <c r="F821" i="14"/>
  <c r="F777" i="14"/>
  <c r="F737" i="14"/>
  <c r="F697" i="14"/>
  <c r="F653" i="14"/>
  <c r="F609" i="14"/>
  <c r="F565" i="14"/>
  <c r="F525" i="14"/>
  <c r="F485" i="14"/>
  <c r="F441" i="14"/>
  <c r="F401" i="14"/>
  <c r="F361" i="14"/>
  <c r="F277" i="14"/>
  <c r="F233" i="14"/>
  <c r="F189" i="14"/>
  <c r="F145" i="14"/>
  <c r="F101" i="14"/>
  <c r="F61" i="14"/>
  <c r="F29" i="14"/>
  <c r="B975" i="14"/>
  <c r="B931" i="14"/>
  <c r="B895" i="14"/>
  <c r="B851" i="14"/>
  <c r="B807" i="14"/>
  <c r="B767" i="14"/>
  <c r="B739" i="14"/>
  <c r="B715" i="14"/>
  <c r="B675" i="14"/>
  <c r="B635" i="14"/>
  <c r="B591" i="14"/>
  <c r="B543" i="14"/>
  <c r="B503" i="14"/>
  <c r="B471" i="14"/>
  <c r="F9" i="14"/>
  <c r="B355" i="14"/>
  <c r="B291" i="14"/>
  <c r="B211" i="14"/>
  <c r="B131" i="14"/>
  <c r="B51" i="14"/>
  <c r="F972" i="14"/>
  <c r="F892" i="14"/>
  <c r="F804" i="14"/>
  <c r="B435" i="14"/>
  <c r="B395" i="14"/>
  <c r="B323" i="14"/>
  <c r="B279" i="14"/>
  <c r="B239" i="14"/>
  <c r="B195" i="14"/>
  <c r="B159" i="14"/>
  <c r="B119" i="14"/>
  <c r="B79" i="14"/>
  <c r="B39" i="14"/>
  <c r="F1000" i="14"/>
  <c r="F956" i="14"/>
  <c r="F920" i="14"/>
  <c r="F880" i="14"/>
  <c r="F840" i="14"/>
  <c r="F800" i="14"/>
  <c r="F768" i="14"/>
  <c r="F732" i="14"/>
  <c r="F700" i="14"/>
  <c r="G700" i="14" s="1"/>
  <c r="B998" i="14"/>
  <c r="B982" i="14"/>
  <c r="B966" i="14"/>
  <c r="B950" i="14"/>
  <c r="B934" i="14"/>
  <c r="B918" i="14"/>
  <c r="B902" i="14"/>
  <c r="B886" i="14"/>
  <c r="B870" i="14"/>
  <c r="B854" i="14"/>
  <c r="B838" i="14"/>
  <c r="B822" i="14"/>
  <c r="B806" i="14"/>
  <c r="B790" i="14"/>
  <c r="B774" i="14"/>
  <c r="B758" i="14"/>
  <c r="B742" i="14"/>
  <c r="B726" i="14"/>
  <c r="B710" i="14"/>
  <c r="B694" i="14"/>
  <c r="B678" i="14"/>
  <c r="B662" i="14"/>
  <c r="B646" i="14"/>
  <c r="B630" i="14"/>
  <c r="B431" i="14"/>
  <c r="B391" i="14"/>
  <c r="B363" i="14"/>
  <c r="B339" i="14"/>
  <c r="B303" i="14"/>
  <c r="B263" i="14"/>
  <c r="B223" i="14"/>
  <c r="B183" i="14"/>
  <c r="B143" i="14"/>
  <c r="B103" i="14"/>
  <c r="B63" i="14"/>
  <c r="B23" i="14"/>
  <c r="F984" i="14"/>
  <c r="F948" i="14"/>
  <c r="F904" i="14"/>
  <c r="F864" i="14"/>
  <c r="F824" i="14"/>
  <c r="F788" i="14"/>
  <c r="F752" i="14"/>
  <c r="F720" i="14"/>
  <c r="F688" i="14"/>
  <c r="B1001" i="14"/>
  <c r="B985" i="14"/>
  <c r="B969" i="14"/>
  <c r="B953" i="14"/>
  <c r="G953" i="14" s="1"/>
  <c r="B937" i="14"/>
  <c r="B921" i="14"/>
  <c r="B905" i="14"/>
  <c r="B889" i="14"/>
  <c r="B873" i="14"/>
  <c r="B984" i="14"/>
  <c r="B944" i="14"/>
  <c r="B904" i="14"/>
  <c r="B864" i="14"/>
  <c r="B828" i="14"/>
  <c r="B784" i="14"/>
  <c r="B740" i="14"/>
  <c r="B704" i="14"/>
  <c r="B660" i="14"/>
  <c r="B620" i="14"/>
  <c r="B584" i="14"/>
  <c r="B540" i="14"/>
  <c r="B500" i="14"/>
  <c r="B460" i="14"/>
  <c r="B416" i="14"/>
  <c r="B376" i="14"/>
  <c r="B336" i="14"/>
  <c r="B296" i="14"/>
  <c r="B988" i="14"/>
  <c r="B908" i="14"/>
  <c r="B840" i="14"/>
  <c r="B768" i="14"/>
  <c r="B696" i="14"/>
  <c r="B628" i="14"/>
  <c r="B560" i="14"/>
  <c r="B488" i="14"/>
  <c r="B420" i="14"/>
  <c r="B352" i="14"/>
  <c r="B280" i="14"/>
  <c r="B244" i="14"/>
  <c r="B980" i="14"/>
  <c r="B940" i="14"/>
  <c r="B900" i="14"/>
  <c r="B860" i="14"/>
  <c r="B812" i="14"/>
  <c r="B772" i="14"/>
  <c r="B732" i="14"/>
  <c r="B688" i="14"/>
  <c r="B644" i="14"/>
  <c r="B604" i="14"/>
  <c r="B556" i="14"/>
  <c r="B516" i="14"/>
  <c r="B472" i="14"/>
  <c r="B432" i="14"/>
  <c r="B392" i="14"/>
  <c r="B344" i="14"/>
  <c r="B304" i="14"/>
  <c r="B264" i="14"/>
  <c r="B236" i="14"/>
  <c r="B196" i="14"/>
  <c r="B152" i="14"/>
  <c r="B112" i="14"/>
  <c r="B68" i="14"/>
  <c r="B28" i="14"/>
  <c r="F989" i="14"/>
  <c r="F949" i="14"/>
  <c r="F909" i="14"/>
  <c r="F869" i="14"/>
  <c r="F833" i="14"/>
  <c r="F793" i="14"/>
  <c r="F749" i="14"/>
  <c r="F709" i="14"/>
  <c r="F669" i="14"/>
  <c r="F629" i="14"/>
  <c r="F593" i="14"/>
  <c r="F549" i="14"/>
  <c r="F509" i="14"/>
  <c r="F469" i="14"/>
  <c r="F425" i="14"/>
  <c r="F389" i="14"/>
  <c r="F345" i="14"/>
  <c r="F321" i="14"/>
  <c r="F285" i="14"/>
  <c r="F241" i="14"/>
  <c r="F205" i="14"/>
  <c r="F161" i="14"/>
  <c r="F121" i="14"/>
  <c r="F85" i="14"/>
  <c r="F45" i="14"/>
  <c r="B999" i="14"/>
  <c r="B963" i="14"/>
  <c r="B927" i="14"/>
  <c r="B879" i="14"/>
  <c r="B843" i="14"/>
  <c r="B803" i="14"/>
  <c r="B763" i="14"/>
  <c r="B671" i="14"/>
  <c r="B631" i="14"/>
  <c r="B595" i="14"/>
  <c r="B555" i="14"/>
  <c r="B515" i="14"/>
  <c r="B212" i="14"/>
  <c r="B144" i="14"/>
  <c r="B76" i="14"/>
  <c r="B4" i="14"/>
  <c r="F933" i="14"/>
  <c r="F857" i="14"/>
  <c r="F785" i="14"/>
  <c r="F713" i="14"/>
  <c r="F641" i="14"/>
  <c r="F573" i="14"/>
  <c r="F501" i="14"/>
  <c r="F429" i="14"/>
  <c r="F373" i="14"/>
  <c r="F317" i="14"/>
  <c r="F249" i="14"/>
  <c r="F181" i="14"/>
  <c r="F117" i="14"/>
  <c r="B983" i="14"/>
  <c r="B907" i="14"/>
  <c r="B827" i="14"/>
  <c r="B755" i="14"/>
  <c r="B711" i="14"/>
  <c r="B643" i="14"/>
  <c r="B571" i="14"/>
  <c r="B499" i="14"/>
  <c r="B455" i="14"/>
  <c r="B188" i="14"/>
  <c r="B148" i="14"/>
  <c r="B104" i="14"/>
  <c r="B64" i="14"/>
  <c r="B20" i="14"/>
  <c r="F981" i="14"/>
  <c r="F937" i="14"/>
  <c r="F897" i="14"/>
  <c r="F853" i="14"/>
  <c r="F809" i="14"/>
  <c r="F769" i="14"/>
  <c r="F725" i="14"/>
  <c r="F685" i="14"/>
  <c r="F645" i="14"/>
  <c r="F597" i="14"/>
  <c r="F557" i="14"/>
  <c r="F513" i="14"/>
  <c r="F473" i="14"/>
  <c r="F433" i="14"/>
  <c r="F385" i="14"/>
  <c r="F309" i="14"/>
  <c r="F265" i="14"/>
  <c r="F225" i="14"/>
  <c r="F177" i="14"/>
  <c r="F137" i="14"/>
  <c r="F89" i="14"/>
  <c r="F57" i="14"/>
  <c r="F17" i="14"/>
  <c r="B967" i="14"/>
  <c r="B919" i="14"/>
  <c r="B883" i="14"/>
  <c r="B839" i="14"/>
  <c r="B799" i="14"/>
  <c r="B759" i="14"/>
  <c r="B731" i="14"/>
  <c r="B703" i="14"/>
  <c r="B663" i="14"/>
  <c r="B623" i="14"/>
  <c r="B579" i="14"/>
  <c r="B531" i="14"/>
  <c r="B495" i="14"/>
  <c r="B463" i="14"/>
  <c r="B427" i="14"/>
  <c r="B335" i="14"/>
  <c r="B271" i="14"/>
  <c r="B191" i="14"/>
  <c r="B111" i="14"/>
  <c r="B31" i="14"/>
  <c r="F952" i="14"/>
  <c r="F872" i="14"/>
  <c r="G872" i="14" s="1"/>
  <c r="F764" i="14"/>
  <c r="B423" i="14"/>
  <c r="B383" i="14"/>
  <c r="B307" i="14"/>
  <c r="B267" i="14"/>
  <c r="B227" i="14"/>
  <c r="B187" i="14"/>
  <c r="B147" i="14"/>
  <c r="B107" i="14"/>
  <c r="B67" i="14"/>
  <c r="B27" i="14"/>
  <c r="F988" i="14"/>
  <c r="F944" i="14"/>
  <c r="F908" i="14"/>
  <c r="F868" i="14"/>
  <c r="F828" i="14"/>
  <c r="F792" i="14"/>
  <c r="F756" i="14"/>
  <c r="F724" i="14"/>
  <c r="F692" i="14"/>
  <c r="B994" i="14"/>
  <c r="B978" i="14"/>
  <c r="B962" i="14"/>
  <c r="B946" i="14"/>
  <c r="B930" i="14"/>
  <c r="B914" i="14"/>
  <c r="B898" i="14"/>
  <c r="B882" i="14"/>
  <c r="B866" i="14"/>
  <c r="B850" i="14"/>
  <c r="B834" i="14"/>
  <c r="B818" i="14"/>
  <c r="B802" i="14"/>
  <c r="B786" i="14"/>
  <c r="B770" i="14"/>
  <c r="B754" i="14"/>
  <c r="B738" i="14"/>
  <c r="B722" i="14"/>
  <c r="B706" i="14"/>
  <c r="B690" i="14"/>
  <c r="B674" i="14"/>
  <c r="B658" i="14"/>
  <c r="B642" i="14"/>
  <c r="B626" i="14"/>
  <c r="B419" i="14"/>
  <c r="B379" i="14"/>
  <c r="B359" i="14"/>
  <c r="B331" i="14"/>
  <c r="B295" i="14"/>
  <c r="B255" i="14"/>
  <c r="B215" i="14"/>
  <c r="B175" i="14"/>
  <c r="B135" i="14"/>
  <c r="B95" i="14"/>
  <c r="B55" i="14"/>
  <c r="B15" i="14"/>
  <c r="F976" i="14"/>
  <c r="F936" i="14"/>
  <c r="F896" i="14"/>
  <c r="F856" i="14"/>
  <c r="F820" i="14"/>
  <c r="F780" i="14"/>
  <c r="F744" i="14"/>
  <c r="F712" i="14"/>
  <c r="F680" i="14"/>
  <c r="B997" i="14"/>
  <c r="B981" i="14"/>
  <c r="B965" i="14"/>
  <c r="B949" i="14"/>
  <c r="B933" i="14"/>
  <c r="B917" i="14"/>
  <c r="B901" i="14"/>
  <c r="B885" i="14"/>
  <c r="B869" i="14"/>
  <c r="B853" i="14"/>
  <c r="B837" i="14"/>
  <c r="B821" i="14"/>
  <c r="B805" i="14"/>
  <c r="B789" i="14"/>
  <c r="B773" i="14"/>
  <c r="B757" i="14"/>
  <c r="B741" i="14"/>
  <c r="B725" i="14"/>
  <c r="B709" i="14"/>
  <c r="B693" i="14"/>
  <c r="B677" i="14"/>
  <c r="F664" i="14"/>
  <c r="F648" i="14"/>
  <c r="F632" i="14"/>
  <c r="F616" i="14"/>
  <c r="F600" i="14"/>
  <c r="F584" i="14"/>
  <c r="G584" i="14" s="1"/>
  <c r="F568" i="14"/>
  <c r="F552" i="14"/>
  <c r="F536" i="14"/>
  <c r="F520" i="14"/>
  <c r="F504" i="14"/>
  <c r="F488" i="14"/>
  <c r="F472" i="14"/>
  <c r="F456" i="14"/>
  <c r="F440" i="14"/>
  <c r="F424" i="14"/>
  <c r="F408" i="14"/>
  <c r="F392" i="14"/>
  <c r="F376" i="14"/>
  <c r="F360" i="14"/>
  <c r="F344" i="14"/>
  <c r="F328" i="14"/>
  <c r="B606" i="14"/>
  <c r="B590" i="14"/>
  <c r="B574" i="14"/>
  <c r="B558" i="14"/>
  <c r="B542" i="14"/>
  <c r="B526" i="14"/>
  <c r="B510" i="14"/>
  <c r="B494" i="14"/>
  <c r="B478" i="14"/>
  <c r="B462" i="14"/>
  <c r="B446" i="14"/>
  <c r="B430" i="14"/>
  <c r="B414" i="14"/>
  <c r="B398" i="14"/>
  <c r="B382" i="14"/>
  <c r="B366" i="14"/>
  <c r="B350" i="14"/>
  <c r="B649" i="14"/>
  <c r="B633" i="14"/>
  <c r="B617" i="14"/>
  <c r="B601" i="14"/>
  <c r="B585" i="14"/>
  <c r="B569" i="14"/>
  <c r="B553" i="14"/>
  <c r="B537" i="14"/>
  <c r="B521" i="14"/>
  <c r="B505" i="14"/>
  <c r="B489" i="14"/>
  <c r="B473" i="14"/>
  <c r="B457" i="14"/>
  <c r="B441" i="14"/>
  <c r="B425" i="14"/>
  <c r="B409" i="14"/>
  <c r="B393" i="14"/>
  <c r="B377" i="14"/>
  <c r="B361" i="14"/>
  <c r="F5" i="14"/>
  <c r="F312" i="14"/>
  <c r="F296" i="14"/>
  <c r="F280" i="14"/>
  <c r="F264" i="14"/>
  <c r="F248" i="14"/>
  <c r="F232" i="14"/>
  <c r="F216" i="14"/>
  <c r="F200" i="14"/>
  <c r="F184" i="14"/>
  <c r="F168" i="14"/>
  <c r="F152" i="14"/>
  <c r="F136" i="14"/>
  <c r="F120" i="14"/>
  <c r="F104" i="14"/>
  <c r="F88" i="14"/>
  <c r="F72" i="14"/>
  <c r="F56" i="14"/>
  <c r="F40" i="14"/>
  <c r="F24" i="14"/>
  <c r="F8" i="14"/>
  <c r="B338" i="14"/>
  <c r="B322" i="14"/>
  <c r="B306" i="14"/>
  <c r="B290" i="14"/>
  <c r="B274" i="14"/>
  <c r="B258" i="14"/>
  <c r="B242" i="14"/>
  <c r="B226" i="14"/>
  <c r="B210" i="14"/>
  <c r="B976" i="14"/>
  <c r="B816" i="14"/>
  <c r="B652" i="14"/>
  <c r="B492" i="14"/>
  <c r="B328" i="14"/>
  <c r="B820" i="14"/>
  <c r="B544" i="14"/>
  <c r="B268" i="14"/>
  <c r="B720" i="14"/>
  <c r="B548" i="14"/>
  <c r="B380" i="14"/>
  <c r="B228" i="14"/>
  <c r="B56" i="14"/>
  <c r="F901" i="14"/>
  <c r="F741" i="14"/>
  <c r="F581" i="14"/>
  <c r="F417" i="14"/>
  <c r="F273" i="14"/>
  <c r="F113" i="14"/>
  <c r="B955" i="14"/>
  <c r="B795" i="14"/>
  <c r="B583" i="14"/>
  <c r="B124" i="14"/>
  <c r="F837" i="14"/>
  <c r="F553" i="14"/>
  <c r="F301" i="14"/>
  <c r="B959" i="14"/>
  <c r="B699" i="14"/>
  <c r="B220" i="14"/>
  <c r="B52" i="14"/>
  <c r="F885" i="14"/>
  <c r="F717" i="14"/>
  <c r="F545" i="14"/>
  <c r="F377" i="14"/>
  <c r="F169" i="14"/>
  <c r="B995" i="14"/>
  <c r="B831" i="14"/>
  <c r="B695" i="14"/>
  <c r="B523" i="14"/>
  <c r="B327" i="14"/>
  <c r="B11" i="14"/>
  <c r="B415" i="14"/>
  <c r="B219" i="14"/>
  <c r="B59" i="14"/>
  <c r="F900" i="14"/>
  <c r="F748" i="14"/>
  <c r="B974" i="14"/>
  <c r="B910" i="14"/>
  <c r="B846" i="14"/>
  <c r="B782" i="14"/>
  <c r="B718" i="14"/>
  <c r="B654" i="14"/>
  <c r="B375" i="14"/>
  <c r="B243" i="14"/>
  <c r="B83" i="14"/>
  <c r="F924" i="14"/>
  <c r="F772" i="14"/>
  <c r="B993" i="14"/>
  <c r="B929" i="14"/>
  <c r="B865" i="14"/>
  <c r="B833" i="14"/>
  <c r="B801" i="14"/>
  <c r="B769" i="14"/>
  <c r="B737" i="14"/>
  <c r="B705" i="14"/>
  <c r="B673" i="14"/>
  <c r="F644" i="14"/>
  <c r="F612" i="14"/>
  <c r="F580" i="14"/>
  <c r="F548" i="14"/>
  <c r="F516" i="14"/>
  <c r="F484" i="14"/>
  <c r="F452" i="14"/>
  <c r="F420" i="14"/>
  <c r="G420" i="14" s="1"/>
  <c r="F388" i="14"/>
  <c r="F356" i="14"/>
  <c r="B618" i="14"/>
  <c r="B586" i="14"/>
  <c r="B554" i="14"/>
  <c r="B522" i="14"/>
  <c r="B490" i="14"/>
  <c r="B458" i="14"/>
  <c r="B426" i="14"/>
  <c r="B394" i="14"/>
  <c r="B362" i="14"/>
  <c r="B645" i="14"/>
  <c r="B613" i="14"/>
  <c r="B581" i="14"/>
  <c r="B549" i="14"/>
  <c r="B517" i="14"/>
  <c r="B485" i="14"/>
  <c r="B453" i="14"/>
  <c r="B421" i="14"/>
  <c r="B389" i="14"/>
  <c r="B357" i="14"/>
  <c r="F308" i="14"/>
  <c r="F276" i="14"/>
  <c r="F244" i="14"/>
  <c r="F212" i="14"/>
  <c r="F180" i="14"/>
  <c r="F148" i="14"/>
  <c r="F116" i="14"/>
  <c r="F84" i="14"/>
  <c r="F52" i="14"/>
  <c r="F20" i="14"/>
  <c r="B334" i="14"/>
  <c r="B302" i="14"/>
  <c r="B270" i="14"/>
  <c r="B238" i="14"/>
  <c r="B206" i="14"/>
  <c r="B190" i="14"/>
  <c r="B174" i="14"/>
  <c r="B158" i="14"/>
  <c r="B142" i="14"/>
  <c r="B126" i="14"/>
  <c r="B110" i="14"/>
  <c r="B94" i="14"/>
  <c r="B78" i="14"/>
  <c r="B62" i="14"/>
  <c r="B46" i="14"/>
  <c r="B30" i="14"/>
  <c r="B14" i="14"/>
  <c r="F995" i="14"/>
  <c r="F979" i="14"/>
  <c r="F963" i="14"/>
  <c r="F947" i="14"/>
  <c r="F931" i="14"/>
  <c r="F915" i="14"/>
  <c r="F899" i="14"/>
  <c r="F883" i="14"/>
  <c r="F867" i="14"/>
  <c r="F851" i="14"/>
  <c r="F835" i="14"/>
  <c r="F819" i="14"/>
  <c r="F803" i="14"/>
  <c r="F787" i="14"/>
  <c r="F771" i="14"/>
  <c r="F755" i="14"/>
  <c r="F739" i="14"/>
  <c r="F723" i="14"/>
  <c r="F707" i="14"/>
  <c r="F691" i="14"/>
  <c r="F675" i="14"/>
  <c r="B341" i="14"/>
  <c r="B325" i="14"/>
  <c r="B309" i="14"/>
  <c r="B293" i="14"/>
  <c r="B277" i="14"/>
  <c r="B261" i="14"/>
  <c r="B245" i="14"/>
  <c r="B229" i="14"/>
  <c r="B213" i="14"/>
  <c r="B197" i="14"/>
  <c r="B181" i="14"/>
  <c r="B165" i="14"/>
  <c r="B149" i="14"/>
  <c r="B133" i="14"/>
  <c r="B117" i="14"/>
  <c r="B101" i="14"/>
  <c r="B85" i="14"/>
  <c r="B69" i="14"/>
  <c r="B53" i="14"/>
  <c r="B37" i="14"/>
  <c r="B21" i="14"/>
  <c r="B5" i="14"/>
  <c r="F990" i="14"/>
  <c r="F974" i="14"/>
  <c r="F958" i="14"/>
  <c r="F942" i="14"/>
  <c r="F926" i="14"/>
  <c r="F910" i="14"/>
  <c r="F894" i="14"/>
  <c r="F878" i="14"/>
  <c r="F862" i="14"/>
  <c r="F846" i="14"/>
  <c r="F830" i="14"/>
  <c r="F814" i="14"/>
  <c r="F798" i="14"/>
  <c r="F782" i="14"/>
  <c r="F766" i="14"/>
  <c r="F750" i="14"/>
  <c r="F734" i="14"/>
  <c r="F718" i="14"/>
  <c r="F702" i="14"/>
  <c r="F686" i="14"/>
  <c r="F655" i="14"/>
  <c r="F639" i="14"/>
  <c r="F623" i="14"/>
  <c r="F607" i="14"/>
  <c r="F591" i="14"/>
  <c r="G591" i="14" s="1"/>
  <c r="F575" i="14"/>
  <c r="F559" i="14"/>
  <c r="F543" i="14"/>
  <c r="F527" i="14"/>
  <c r="F511" i="14"/>
  <c r="F495" i="14"/>
  <c r="F479" i="14"/>
  <c r="F463" i="14"/>
  <c r="F447" i="14"/>
  <c r="F431" i="14"/>
  <c r="F415" i="14"/>
  <c r="F399" i="14"/>
  <c r="F383" i="14"/>
  <c r="F367" i="14"/>
  <c r="F351" i="14"/>
  <c r="F674" i="14"/>
  <c r="F658" i="14"/>
  <c r="F642" i="14"/>
  <c r="F626" i="14"/>
  <c r="F610" i="14"/>
  <c r="F594" i="14"/>
  <c r="F578" i="14"/>
  <c r="F562" i="14"/>
  <c r="F546" i="14"/>
  <c r="F530" i="14"/>
  <c r="F514" i="14"/>
  <c r="F498" i="14"/>
  <c r="F482" i="14"/>
  <c r="F466" i="14"/>
  <c r="F450" i="14"/>
  <c r="F434" i="14"/>
  <c r="F418" i="14"/>
  <c r="F402" i="14"/>
  <c r="F386" i="14"/>
  <c r="F370" i="14"/>
  <c r="F354" i="14"/>
  <c r="F339" i="14"/>
  <c r="F323" i="14"/>
  <c r="F307" i="14"/>
  <c r="F291" i="14"/>
  <c r="F275" i="14"/>
  <c r="F259" i="14"/>
  <c r="F243" i="14"/>
  <c r="F227" i="14"/>
  <c r="F211" i="14"/>
  <c r="F195" i="14"/>
  <c r="F179" i="14"/>
  <c r="F163" i="14"/>
  <c r="F147" i="14"/>
  <c r="F131" i="14"/>
  <c r="F115" i="14"/>
  <c r="F99" i="14"/>
  <c r="F83" i="14"/>
  <c r="F67" i="14"/>
  <c r="F51" i="14"/>
  <c r="F35" i="14"/>
  <c r="F19" i="14"/>
  <c r="F3" i="14"/>
  <c r="F326" i="14"/>
  <c r="F310" i="14"/>
  <c r="F294" i="14"/>
  <c r="F278" i="14"/>
  <c r="F262" i="14"/>
  <c r="F246" i="14"/>
  <c r="F230" i="14"/>
  <c r="F214" i="14"/>
  <c r="F198" i="14"/>
  <c r="F182" i="14"/>
  <c r="F166" i="14"/>
  <c r="F150" i="14"/>
  <c r="F134" i="14"/>
  <c r="F118" i="14"/>
  <c r="F102" i="14"/>
  <c r="F86" i="14"/>
  <c r="F70" i="14"/>
  <c r="F54" i="14"/>
  <c r="F38" i="14"/>
  <c r="F22" i="14"/>
  <c r="F6" i="14"/>
  <c r="B896" i="14"/>
  <c r="B408" i="14"/>
  <c r="B676" i="14"/>
  <c r="B972" i="14"/>
  <c r="B636" i="14"/>
  <c r="B292" i="14"/>
  <c r="F977" i="14"/>
  <c r="F657" i="14"/>
  <c r="F341" i="14"/>
  <c r="F37" i="14"/>
  <c r="B667" i="14"/>
  <c r="F985" i="14"/>
  <c r="F409" i="14"/>
  <c r="B811" i="14"/>
  <c r="B136" i="14"/>
  <c r="F797" i="14"/>
  <c r="F461" i="14"/>
  <c r="F81" i="14"/>
  <c r="B751" i="14"/>
  <c r="B459" i="14"/>
  <c r="F852" i="14"/>
  <c r="B139" i="14"/>
  <c r="F816" i="14"/>
  <c r="B942" i="14"/>
  <c r="B814" i="14"/>
  <c r="B686" i="14"/>
  <c r="B319" i="14"/>
  <c r="B3" i="14"/>
  <c r="F704" i="14"/>
  <c r="B897" i="14"/>
  <c r="B817" i="14"/>
  <c r="B753" i="14"/>
  <c r="B689" i="14"/>
  <c r="F628" i="14"/>
  <c r="F500" i="14"/>
  <c r="F436" i="14"/>
  <c r="F372" i="14"/>
  <c r="B602" i="14"/>
  <c r="B538" i="14"/>
  <c r="B474" i="14"/>
  <c r="B410" i="14"/>
  <c r="B661" i="14"/>
  <c r="B597" i="14"/>
  <c r="B533" i="14"/>
  <c r="B469" i="14"/>
  <c r="B405" i="14"/>
  <c r="F324" i="14"/>
  <c r="F260" i="14"/>
  <c r="F196" i="14"/>
  <c r="F132" i="14"/>
  <c r="F68" i="14"/>
  <c r="F4" i="14"/>
  <c r="B286" i="14"/>
  <c r="B222" i="14"/>
  <c r="B182" i="14"/>
  <c r="B150" i="14"/>
  <c r="B118" i="14"/>
  <c r="B86" i="14"/>
  <c r="B54" i="14"/>
  <c r="B22" i="14"/>
  <c r="F987" i="14"/>
  <c r="F955" i="14"/>
  <c r="F923" i="14"/>
  <c r="F891" i="14"/>
  <c r="F827" i="14"/>
  <c r="F795" i="14"/>
  <c r="F763" i="14"/>
  <c r="F731" i="14"/>
  <c r="F699" i="14"/>
  <c r="F667" i="14"/>
  <c r="B936" i="14"/>
  <c r="B776" i="14"/>
  <c r="B612" i="14"/>
  <c r="G612" i="14" s="1"/>
  <c r="B448" i="14"/>
  <c r="B288" i="14"/>
  <c r="B748" i="14"/>
  <c r="B476" i="14"/>
  <c r="B232" i="14"/>
  <c r="B848" i="14"/>
  <c r="B680" i="14"/>
  <c r="B504" i="14"/>
  <c r="B340" i="14"/>
  <c r="B184" i="14"/>
  <c r="B16" i="14"/>
  <c r="F861" i="14"/>
  <c r="F701" i="14"/>
  <c r="F541" i="14"/>
  <c r="F365" i="14"/>
  <c r="F229" i="14"/>
  <c r="F73" i="14"/>
  <c r="B915" i="14"/>
  <c r="B707" i="14"/>
  <c r="B547" i="14"/>
  <c r="B60" i="14"/>
  <c r="F765" i="14"/>
  <c r="F481" i="14"/>
  <c r="F237" i="14"/>
  <c r="B887" i="14"/>
  <c r="B627" i="14"/>
  <c r="B180" i="14"/>
  <c r="B12" i="14"/>
  <c r="F841" i="14"/>
  <c r="F673" i="14"/>
  <c r="F505" i="14"/>
  <c r="F297" i="14"/>
  <c r="F125" i="14"/>
  <c r="B951" i="14"/>
  <c r="B787" i="14"/>
  <c r="B651" i="14"/>
  <c r="B483" i="14"/>
  <c r="B251" i="14"/>
  <c r="F932" i="14"/>
  <c r="B367" i="14"/>
  <c r="B179" i="14"/>
  <c r="B19" i="14"/>
  <c r="F860" i="14"/>
  <c r="F716" i="14"/>
  <c r="B958" i="14"/>
  <c r="B894" i="14"/>
  <c r="B830" i="14"/>
  <c r="B766" i="14"/>
  <c r="B702" i="14"/>
  <c r="B638" i="14"/>
  <c r="B347" i="14"/>
  <c r="B207" i="14"/>
  <c r="B43" i="14"/>
  <c r="F884" i="14"/>
  <c r="F736" i="14"/>
  <c r="B977" i="14"/>
  <c r="B913" i="14"/>
  <c r="B857" i="14"/>
  <c r="B825" i="14"/>
  <c r="B793" i="14"/>
  <c r="B761" i="14"/>
  <c r="B729" i="14"/>
  <c r="B697" i="14"/>
  <c r="B665" i="14"/>
  <c r="G665" i="14" s="1"/>
  <c r="F636" i="14"/>
  <c r="F604" i="14"/>
  <c r="F572" i="14"/>
  <c r="F508" i="14"/>
  <c r="F476" i="14"/>
  <c r="F444" i="14"/>
  <c r="F412" i="14"/>
  <c r="F380" i="14"/>
  <c r="F348" i="14"/>
  <c r="B610" i="14"/>
  <c r="B578" i="14"/>
  <c r="B546" i="14"/>
  <c r="B514" i="14"/>
  <c r="B482" i="14"/>
  <c r="B450" i="14"/>
  <c r="B418" i="14"/>
  <c r="B386" i="14"/>
  <c r="B354" i="14"/>
  <c r="B637" i="14"/>
  <c r="B605" i="14"/>
  <c r="B573" i="14"/>
  <c r="B541" i="14"/>
  <c r="B509" i="14"/>
  <c r="B477" i="14"/>
  <c r="G477" i="14" s="1"/>
  <c r="B445" i="14"/>
  <c r="B413" i="14"/>
  <c r="B381" i="14"/>
  <c r="B349" i="14"/>
  <c r="F300" i="14"/>
  <c r="F268" i="14"/>
  <c r="F236" i="14"/>
  <c r="F204" i="14"/>
  <c r="F172" i="14"/>
  <c r="F140" i="14"/>
  <c r="F108" i="14"/>
  <c r="F76" i="14"/>
  <c r="F44" i="14"/>
  <c r="F12" i="14"/>
  <c r="B326" i="14"/>
  <c r="B294" i="14"/>
  <c r="B262" i="14"/>
  <c r="B230" i="14"/>
  <c r="B202" i="14"/>
  <c r="B186" i="14"/>
  <c r="B170" i="14"/>
  <c r="B154" i="14"/>
  <c r="B138" i="14"/>
  <c r="B122" i="14"/>
  <c r="B106" i="14"/>
  <c r="B90" i="14"/>
  <c r="B74" i="14"/>
  <c r="B58" i="14"/>
  <c r="B42" i="14"/>
  <c r="B26" i="14"/>
  <c r="B10" i="14"/>
  <c r="F991" i="14"/>
  <c r="F975" i="14"/>
  <c r="F959" i="14"/>
  <c r="F943" i="14"/>
  <c r="F927" i="14"/>
  <c r="F911" i="14"/>
  <c r="F895" i="14"/>
  <c r="F879" i="14"/>
  <c r="F863" i="14"/>
  <c r="F847" i="14"/>
  <c r="F831" i="14"/>
  <c r="F815" i="14"/>
  <c r="F799" i="14"/>
  <c r="F783" i="14"/>
  <c r="F767" i="14"/>
  <c r="F751" i="14"/>
  <c r="F735" i="14"/>
  <c r="F719" i="14"/>
  <c r="F703" i="14"/>
  <c r="F687" i="14"/>
  <c r="F671" i="14"/>
  <c r="B337" i="14"/>
  <c r="B321" i="14"/>
  <c r="B305" i="14"/>
  <c r="B289" i="14"/>
  <c r="B273" i="14"/>
  <c r="B257" i="14"/>
  <c r="B241" i="14"/>
  <c r="B225" i="14"/>
  <c r="B209" i="14"/>
  <c r="B193" i="14"/>
  <c r="B177" i="14"/>
  <c r="G177" i="14" s="1"/>
  <c r="B161" i="14"/>
  <c r="B145" i="14"/>
  <c r="B129" i="14"/>
  <c r="B113" i="14"/>
  <c r="B97" i="14"/>
  <c r="B81" i="14"/>
  <c r="B65" i="14"/>
  <c r="B49" i="14"/>
  <c r="B33" i="14"/>
  <c r="B17" i="14"/>
  <c r="F2" i="14"/>
  <c r="F986" i="14"/>
  <c r="F970" i="14"/>
  <c r="F954" i="14"/>
  <c r="F938" i="14"/>
  <c r="F922" i="14"/>
  <c r="F906" i="14"/>
  <c r="F890" i="14"/>
  <c r="F874" i="14"/>
  <c r="F858" i="14"/>
  <c r="F842" i="14"/>
  <c r="F826" i="14"/>
  <c r="F810" i="14"/>
  <c r="F794" i="14"/>
  <c r="F778" i="14"/>
  <c r="F762" i="14"/>
  <c r="F746" i="14"/>
  <c r="F730" i="14"/>
  <c r="F714" i="14"/>
  <c r="F698" i="14"/>
  <c r="F682" i="14"/>
  <c r="F651" i="14"/>
  <c r="F635" i="14"/>
  <c r="F619" i="14"/>
  <c r="F603" i="14"/>
  <c r="F587" i="14"/>
  <c r="F571" i="14"/>
  <c r="F555" i="14"/>
  <c r="F539" i="14"/>
  <c r="F523" i="14"/>
  <c r="F507" i="14"/>
  <c r="F491" i="14"/>
  <c r="F475" i="14"/>
  <c r="F459" i="14"/>
  <c r="F443" i="14"/>
  <c r="F427" i="14"/>
  <c r="F411" i="14"/>
  <c r="F395" i="14"/>
  <c r="F379" i="14"/>
  <c r="F363" i="14"/>
  <c r="F347" i="14"/>
  <c r="F670" i="14"/>
  <c r="F654" i="14"/>
  <c r="F638" i="14"/>
  <c r="F622" i="14"/>
  <c r="F606" i="14"/>
  <c r="F590" i="14"/>
  <c r="F574" i="14"/>
  <c r="F558" i="14"/>
  <c r="F542" i="14"/>
  <c r="F526" i="14"/>
  <c r="F510" i="14"/>
  <c r="F494" i="14"/>
  <c r="F478" i="14"/>
  <c r="F462" i="14"/>
  <c r="F446" i="14"/>
  <c r="F430" i="14"/>
  <c r="F414" i="14"/>
  <c r="F398" i="14"/>
  <c r="F382" i="14"/>
  <c r="F366" i="14"/>
  <c r="F350" i="14"/>
  <c r="F335" i="14"/>
  <c r="F319" i="14"/>
  <c r="F303" i="14"/>
  <c r="F287" i="14"/>
  <c r="F271" i="14"/>
  <c r="F255" i="14"/>
  <c r="F239" i="14"/>
  <c r="F223" i="14"/>
  <c r="F207" i="14"/>
  <c r="F191" i="14"/>
  <c r="F175" i="14"/>
  <c r="F159" i="14"/>
  <c r="F143" i="14"/>
  <c r="F127" i="14"/>
  <c r="F111" i="14"/>
  <c r="F95" i="14"/>
  <c r="F79" i="14"/>
  <c r="F63" i="14"/>
  <c r="F47" i="14"/>
  <c r="F31" i="14"/>
  <c r="F15" i="14"/>
  <c r="F338" i="14"/>
  <c r="F322" i="14"/>
  <c r="F306" i="14"/>
  <c r="F290" i="14"/>
  <c r="F274" i="14"/>
  <c r="F258" i="14"/>
  <c r="F242" i="14"/>
  <c r="F226" i="14"/>
  <c r="F210" i="14"/>
  <c r="F194" i="14"/>
  <c r="F178" i="14"/>
  <c r="F162" i="14"/>
  <c r="F146" i="14"/>
  <c r="F130" i="14"/>
  <c r="F114" i="14"/>
  <c r="F98" i="14"/>
  <c r="F82" i="14"/>
  <c r="F66" i="14"/>
  <c r="F50" i="14"/>
  <c r="F34" i="14"/>
  <c r="F18" i="14"/>
  <c r="B728" i="14"/>
  <c r="B572" i="14"/>
  <c r="B968" i="14"/>
  <c r="B404" i="14"/>
  <c r="B804" i="14"/>
  <c r="B464" i="14"/>
  <c r="B140" i="14"/>
  <c r="F825" i="14"/>
  <c r="F497" i="14"/>
  <c r="G497" i="14" s="1"/>
  <c r="F193" i="14"/>
  <c r="B875" i="14"/>
  <c r="B507" i="14"/>
  <c r="F693" i="14"/>
  <c r="F165" i="14"/>
  <c r="B551" i="14"/>
  <c r="F973" i="14"/>
  <c r="F633" i="14"/>
  <c r="F257" i="14"/>
  <c r="B911" i="14"/>
  <c r="B611" i="14"/>
  <c r="B171" i="14"/>
  <c r="B299" i="14"/>
  <c r="F980" i="14"/>
  <c r="F684" i="14"/>
  <c r="B878" i="14"/>
  <c r="B750" i="14"/>
  <c r="B622" i="14"/>
  <c r="B163" i="14"/>
  <c r="F844" i="14"/>
  <c r="B961" i="14"/>
  <c r="B849" i="14"/>
  <c r="B785" i="14"/>
  <c r="B721" i="14"/>
  <c r="F660" i="14"/>
  <c r="F596" i="14"/>
  <c r="G596" i="14" s="1"/>
  <c r="F532" i="14"/>
  <c r="F468" i="14"/>
  <c r="F404" i="14"/>
  <c r="F340" i="14"/>
  <c r="B570" i="14"/>
  <c r="B506" i="14"/>
  <c r="B442" i="14"/>
  <c r="B378" i="14"/>
  <c r="B629" i="14"/>
  <c r="G629" i="14" s="1"/>
  <c r="B565" i="14"/>
  <c r="B501" i="14"/>
  <c r="B437" i="14"/>
  <c r="B373" i="14"/>
  <c r="F292" i="14"/>
  <c r="F228" i="14"/>
  <c r="F164" i="14"/>
  <c r="F100" i="14"/>
  <c r="F36" i="14"/>
  <c r="B318" i="14"/>
  <c r="B254" i="14"/>
  <c r="B198" i="14"/>
  <c r="B166" i="14"/>
  <c r="B134" i="14"/>
  <c r="B102" i="14"/>
  <c r="B70" i="14"/>
  <c r="B38" i="14"/>
  <c r="B6" i="14"/>
  <c r="F971" i="14"/>
  <c r="F939" i="14"/>
  <c r="F907" i="14"/>
  <c r="F875" i="14"/>
  <c r="F843" i="14"/>
  <c r="F811" i="14"/>
  <c r="F779" i="14"/>
  <c r="F747" i="14"/>
  <c r="F715" i="14"/>
  <c r="F683" i="14"/>
  <c r="B856" i="14"/>
  <c r="B892" i="14"/>
  <c r="G892" i="14" s="1"/>
  <c r="B764" i="14"/>
  <c r="B100" i="14"/>
  <c r="F457" i="14"/>
  <c r="B835" i="14"/>
  <c r="F625" i="14"/>
  <c r="B487" i="14"/>
  <c r="F589" i="14"/>
  <c r="B871" i="14"/>
  <c r="B91" i="14"/>
  <c r="F940" i="14"/>
  <c r="B862" i="14"/>
  <c r="B411" i="14"/>
  <c r="F808" i="14"/>
  <c r="B713" i="14"/>
  <c r="F588" i="14"/>
  <c r="F460" i="14"/>
  <c r="F332" i="14"/>
  <c r="B498" i="14"/>
  <c r="B370" i="14"/>
  <c r="B557" i="14"/>
  <c r="B429" i="14"/>
  <c r="F284" i="14"/>
  <c r="F156" i="14"/>
  <c r="F28" i="14"/>
  <c r="B246" i="14"/>
  <c r="B162" i="14"/>
  <c r="B98" i="14"/>
  <c r="B34" i="14"/>
  <c r="F967" i="14"/>
  <c r="F903" i="14"/>
  <c r="F839" i="14"/>
  <c r="G839" i="14" s="1"/>
  <c r="F775" i="14"/>
  <c r="F711" i="14"/>
  <c r="B333" i="14"/>
  <c r="B301" i="14"/>
  <c r="B269" i="14"/>
  <c r="B237" i="14"/>
  <c r="B205" i="14"/>
  <c r="B173" i="14"/>
  <c r="B141" i="14"/>
  <c r="B109" i="14"/>
  <c r="B77" i="14"/>
  <c r="B45" i="14"/>
  <c r="F982" i="14"/>
  <c r="F950" i="14"/>
  <c r="F918" i="14"/>
  <c r="F886" i="14"/>
  <c r="F854" i="14"/>
  <c r="F822" i="14"/>
  <c r="F790" i="14"/>
  <c r="F758" i="14"/>
  <c r="F726" i="14"/>
  <c r="F694" i="14"/>
  <c r="F647" i="14"/>
  <c r="F615" i="14"/>
  <c r="F583" i="14"/>
  <c r="F551" i="14"/>
  <c r="F519" i="14"/>
  <c r="F487" i="14"/>
  <c r="F455" i="14"/>
  <c r="F423" i="14"/>
  <c r="F391" i="14"/>
  <c r="F359" i="14"/>
  <c r="F666" i="14"/>
  <c r="F634" i="14"/>
  <c r="F602" i="14"/>
  <c r="F570" i="14"/>
  <c r="F538" i="14"/>
  <c r="F506" i="14"/>
  <c r="F474" i="14"/>
  <c r="F442" i="14"/>
  <c r="F410" i="14"/>
  <c r="F378" i="14"/>
  <c r="F346" i="14"/>
  <c r="F315" i="14"/>
  <c r="F283" i="14"/>
  <c r="F251" i="14"/>
  <c r="F219" i="14"/>
  <c r="F187" i="14"/>
  <c r="F155" i="14"/>
  <c r="F123" i="14"/>
  <c r="F91" i="14"/>
  <c r="F59" i="14"/>
  <c r="F27" i="14"/>
  <c r="F334" i="14"/>
  <c r="F302" i="14"/>
  <c r="F270" i="14"/>
  <c r="F238" i="14"/>
  <c r="F206" i="14"/>
  <c r="F174" i="14"/>
  <c r="F142" i="14"/>
  <c r="F110" i="14"/>
  <c r="F78" i="14"/>
  <c r="F46" i="14"/>
  <c r="F14" i="14"/>
  <c r="F151" i="14"/>
  <c r="F87" i="14"/>
  <c r="F23" i="14"/>
  <c r="F298" i="14"/>
  <c r="F266" i="14"/>
  <c r="F202" i="14"/>
  <c r="F138" i="14"/>
  <c r="F74" i="14"/>
  <c r="F10" i="14"/>
  <c r="B532" i="14"/>
  <c r="F153" i="14"/>
  <c r="F97" i="14"/>
  <c r="F209" i="14"/>
  <c r="B259" i="14"/>
  <c r="B734" i="14"/>
  <c r="B945" i="14"/>
  <c r="F652" i="14"/>
  <c r="F396" i="14"/>
  <c r="B434" i="14"/>
  <c r="B493" i="14"/>
  <c r="F220" i="14"/>
  <c r="B310" i="14"/>
  <c r="B130" i="14"/>
  <c r="F999" i="14"/>
  <c r="F871" i="14"/>
  <c r="F679" i="14"/>
  <c r="B285" i="14"/>
  <c r="B221" i="14"/>
  <c r="B157" i="14"/>
  <c r="B93" i="14"/>
  <c r="G93" i="14" s="1"/>
  <c r="B29" i="14"/>
  <c r="F966" i="14"/>
  <c r="F838" i="14"/>
  <c r="F774" i="14"/>
  <c r="G774" i="14" s="1"/>
  <c r="F663" i="14"/>
  <c r="F599" i="14"/>
  <c r="F535" i="14"/>
  <c r="F471" i="14"/>
  <c r="F375" i="14"/>
  <c r="G375" i="14" s="1"/>
  <c r="F650" i="14"/>
  <c r="G650" i="14" s="1"/>
  <c r="F618" i="14"/>
  <c r="F522" i="14"/>
  <c r="F458" i="14"/>
  <c r="F394" i="14"/>
  <c r="F331" i="14"/>
  <c r="F267" i="14"/>
  <c r="F203" i="14"/>
  <c r="F139" i="14"/>
  <c r="F107" i="14"/>
  <c r="F43" i="14"/>
  <c r="F318" i="14"/>
  <c r="F254" i="14"/>
  <c r="F190" i="14"/>
  <c r="F126" i="14"/>
  <c r="F62" i="14"/>
  <c r="F30" i="14"/>
  <c r="F621" i="14"/>
  <c r="F913" i="14"/>
  <c r="F757" i="14"/>
  <c r="B407" i="14"/>
  <c r="B926" i="14"/>
  <c r="F968" i="14"/>
  <c r="B881" i="14"/>
  <c r="F620" i="14"/>
  <c r="F364" i="14"/>
  <c r="B402" i="14"/>
  <c r="B461" i="14"/>
  <c r="F188" i="14"/>
  <c r="B278" i="14"/>
  <c r="B114" i="14"/>
  <c r="F983" i="14"/>
  <c r="F919" i="14"/>
  <c r="F791" i="14"/>
  <c r="B345" i="14"/>
  <c r="B313" i="14"/>
  <c r="B249" i="14"/>
  <c r="B185" i="14"/>
  <c r="B121" i="14"/>
  <c r="B57" i="14"/>
  <c r="F994" i="14"/>
  <c r="F962" i="14"/>
  <c r="F898" i="14"/>
  <c r="F834" i="14"/>
  <c r="F770" i="14"/>
  <c r="F706" i="14"/>
  <c r="F627" i="14"/>
  <c r="F563" i="14"/>
  <c r="F531" i="14"/>
  <c r="F467" i="14"/>
  <c r="F403" i="14"/>
  <c r="F678" i="14"/>
  <c r="F614" i="14"/>
  <c r="F550" i="14"/>
  <c r="F486" i="14"/>
  <c r="F422" i="14"/>
  <c r="F390" i="14"/>
  <c r="F327" i="14"/>
  <c r="F263" i="14"/>
  <c r="F199" i="14"/>
  <c r="F135" i="14"/>
  <c r="F71" i="14"/>
  <c r="F39" i="14"/>
  <c r="F314" i="14"/>
  <c r="F250" i="14"/>
  <c r="F186" i="14"/>
  <c r="F154" i="14"/>
  <c r="F90" i="14"/>
  <c r="F26" i="14"/>
  <c r="B692" i="14"/>
  <c r="B608" i="14"/>
  <c r="B588" i="14"/>
  <c r="F941" i="14"/>
  <c r="F313" i="14"/>
  <c r="B619" i="14"/>
  <c r="F353" i="14"/>
  <c r="B96" i="14"/>
  <c r="F421" i="14"/>
  <c r="B727" i="14"/>
  <c r="F668" i="14"/>
  <c r="F784" i="14"/>
  <c r="B798" i="14"/>
  <c r="B283" i="14"/>
  <c r="F672" i="14"/>
  <c r="B809" i="14"/>
  <c r="B681" i="14"/>
  <c r="F556" i="14"/>
  <c r="F428" i="14"/>
  <c r="B594" i="14"/>
  <c r="B466" i="14"/>
  <c r="B653" i="14"/>
  <c r="B525" i="14"/>
  <c r="B397" i="14"/>
  <c r="F252" i="14"/>
  <c r="G252" i="14" s="1"/>
  <c r="F124" i="14"/>
  <c r="B342" i="14"/>
  <c r="B214" i="14"/>
  <c r="B146" i="14"/>
  <c r="B82" i="14"/>
  <c r="B18" i="14"/>
  <c r="G18" i="14" s="1"/>
  <c r="F951" i="14"/>
  <c r="F887" i="14"/>
  <c r="F823" i="14"/>
  <c r="F759" i="14"/>
  <c r="F695" i="14"/>
  <c r="B329" i="14"/>
  <c r="B297" i="14"/>
  <c r="B265" i="14"/>
  <c r="B233" i="14"/>
  <c r="B201" i="14"/>
  <c r="B169" i="14"/>
  <c r="B137" i="14"/>
  <c r="B105" i="14"/>
  <c r="B73" i="14"/>
  <c r="B41" i="14"/>
  <c r="B9" i="14"/>
  <c r="F978" i="14"/>
  <c r="F946" i="14"/>
  <c r="F914" i="14"/>
  <c r="F882" i="14"/>
  <c r="F850" i="14"/>
  <c r="F818" i="14"/>
  <c r="F786" i="14"/>
  <c r="F754" i="14"/>
  <c r="F722" i="14"/>
  <c r="F690" i="14"/>
  <c r="F643" i="14"/>
  <c r="F611" i="14"/>
  <c r="F579" i="14"/>
  <c r="F547" i="14"/>
  <c r="F515" i="14"/>
  <c r="F483" i="14"/>
  <c r="F451" i="14"/>
  <c r="F419" i="14"/>
  <c r="F387" i="14"/>
  <c r="G387" i="14" s="1"/>
  <c r="F355" i="14"/>
  <c r="F662" i="14"/>
  <c r="F630" i="14"/>
  <c r="F598" i="14"/>
  <c r="F566" i="14"/>
  <c r="F534" i="14"/>
  <c r="F502" i="14"/>
  <c r="F470" i="14"/>
  <c r="F438" i="14"/>
  <c r="F406" i="14"/>
  <c r="F374" i="14"/>
  <c r="G374" i="14" s="1"/>
  <c r="F342" i="14"/>
  <c r="F311" i="14"/>
  <c r="F279" i="14"/>
  <c r="F247" i="14"/>
  <c r="F215" i="14"/>
  <c r="F183" i="14"/>
  <c r="F119" i="14"/>
  <c r="F55" i="14"/>
  <c r="F330" i="14"/>
  <c r="F234" i="14"/>
  <c r="F170" i="14"/>
  <c r="F106" i="14"/>
  <c r="F42" i="14"/>
  <c r="B332" i="14"/>
  <c r="B424" i="14"/>
  <c r="F781" i="14"/>
  <c r="B192" i="14"/>
  <c r="F925" i="14"/>
  <c r="G925" i="14" s="1"/>
  <c r="B567" i="14"/>
  <c r="B990" i="14"/>
  <c r="B123" i="14"/>
  <c r="B777" i="14"/>
  <c r="F524" i="14"/>
  <c r="B562" i="14"/>
  <c r="B621" i="14"/>
  <c r="B365" i="14"/>
  <c r="F92" i="14"/>
  <c r="B194" i="14"/>
  <c r="B66" i="14"/>
  <c r="F935" i="14"/>
  <c r="F807" i="14"/>
  <c r="F743" i="14"/>
  <c r="B317" i="14"/>
  <c r="B253" i="14"/>
  <c r="B189" i="14"/>
  <c r="B125" i="14"/>
  <c r="B61" i="14"/>
  <c r="G61" i="14" s="1"/>
  <c r="F998" i="14"/>
  <c r="F934" i="14"/>
  <c r="F870" i="14"/>
  <c r="F806" i="14"/>
  <c r="F742" i="14"/>
  <c r="F710" i="14"/>
  <c r="F631" i="14"/>
  <c r="F567" i="14"/>
  <c r="F503" i="14"/>
  <c r="F439" i="14"/>
  <c r="F407" i="14"/>
  <c r="F343" i="14"/>
  <c r="F586" i="14"/>
  <c r="F554" i="14"/>
  <c r="F490" i="14"/>
  <c r="F426" i="14"/>
  <c r="F362" i="14"/>
  <c r="F299" i="14"/>
  <c r="F235" i="14"/>
  <c r="F171" i="14"/>
  <c r="F75" i="14"/>
  <c r="G75" i="14" s="1"/>
  <c r="F11" i="14"/>
  <c r="F286" i="14"/>
  <c r="F222" i="14"/>
  <c r="F158" i="14"/>
  <c r="F94" i="14"/>
  <c r="B368" i="14"/>
  <c r="B260" i="14"/>
  <c r="B991" i="14"/>
  <c r="B747" i="14"/>
  <c r="F49" i="14"/>
  <c r="B99" i="14"/>
  <c r="B670" i="14"/>
  <c r="B745" i="14"/>
  <c r="F492" i="14"/>
  <c r="B530" i="14"/>
  <c r="B589" i="14"/>
  <c r="F316" i="14"/>
  <c r="F60" i="14"/>
  <c r="B178" i="14"/>
  <c r="B50" i="14"/>
  <c r="F855" i="14"/>
  <c r="F727" i="14"/>
  <c r="B281" i="14"/>
  <c r="B217" i="14"/>
  <c r="B153" i="14"/>
  <c r="B89" i="14"/>
  <c r="B25" i="14"/>
  <c r="F930" i="14"/>
  <c r="F866" i="14"/>
  <c r="F802" i="14"/>
  <c r="F738" i="14"/>
  <c r="F659" i="14"/>
  <c r="F595" i="14"/>
  <c r="F499" i="14"/>
  <c r="F435" i="14"/>
  <c r="F371" i="14"/>
  <c r="F646" i="14"/>
  <c r="F582" i="14"/>
  <c r="F518" i="14"/>
  <c r="F454" i="14"/>
  <c r="F358" i="14"/>
  <c r="F295" i="14"/>
  <c r="F231" i="14"/>
  <c r="F167" i="14"/>
  <c r="F103" i="14"/>
  <c r="F7" i="14"/>
  <c r="F282" i="14"/>
  <c r="F218" i="14"/>
  <c r="F122" i="14"/>
  <c r="F58" i="14"/>
  <c r="G443" i="14"/>
  <c r="G766" i="14" l="1"/>
  <c r="G367" i="14"/>
  <c r="G666" i="14"/>
  <c r="G523" i="14"/>
  <c r="G600" i="14"/>
  <c r="G32" i="14"/>
  <c r="G307" i="14"/>
  <c r="G193" i="14"/>
  <c r="G943" i="14"/>
  <c r="G450" i="14"/>
  <c r="G533" i="14"/>
  <c r="G833" i="14"/>
  <c r="G725" i="14"/>
  <c r="G676" i="14"/>
  <c r="G48" i="14"/>
  <c r="G742" i="14"/>
  <c r="G939" i="14"/>
  <c r="G152" i="14"/>
  <c r="G641" i="14"/>
  <c r="G870" i="14"/>
  <c r="G247" i="14"/>
  <c r="G201" i="14"/>
  <c r="G329" i="14"/>
  <c r="G509" i="14"/>
  <c r="G131" i="14"/>
  <c r="G472" i="14"/>
  <c r="G917" i="14"/>
  <c r="G685" i="14"/>
  <c r="G688" i="14"/>
  <c r="G893" i="14"/>
  <c r="G316" i="14"/>
  <c r="G934" i="14"/>
  <c r="G279" i="14"/>
  <c r="G941" i="14"/>
  <c r="G205" i="14"/>
  <c r="G844" i="14"/>
  <c r="G804" i="14"/>
  <c r="G303" i="14"/>
  <c r="G475" i="14"/>
  <c r="G895" i="14"/>
  <c r="G776" i="14"/>
  <c r="G739" i="14"/>
  <c r="G616" i="14"/>
  <c r="G597" i="14"/>
  <c r="G889" i="14"/>
  <c r="G715" i="14"/>
  <c r="G546" i="14"/>
  <c r="G243" i="14"/>
  <c r="G543" i="14"/>
  <c r="G235" i="14"/>
  <c r="G734" i="14"/>
  <c r="G542" i="14"/>
  <c r="G687" i="14"/>
  <c r="G108" i="14"/>
  <c r="G405" i="14"/>
  <c r="G40" i="14"/>
  <c r="G640" i="14"/>
  <c r="AF503" i="14"/>
  <c r="AE504" i="14"/>
  <c r="G990" i="14"/>
  <c r="G106" i="14"/>
  <c r="G798" i="14"/>
  <c r="G105" i="14"/>
  <c r="G695" i="14"/>
  <c r="G565" i="14"/>
  <c r="G47" i="14"/>
  <c r="G469" i="14"/>
  <c r="G372" i="14"/>
  <c r="G575" i="14"/>
  <c r="G54" i="14"/>
  <c r="G727" i="14"/>
  <c r="G562" i="14"/>
  <c r="G887" i="14"/>
  <c r="G835" i="14"/>
  <c r="G6" i="14"/>
  <c r="G919" i="14"/>
  <c r="G175" i="14"/>
  <c r="G831" i="14"/>
  <c r="G60" i="14"/>
  <c r="G692" i="14"/>
  <c r="G328" i="14"/>
  <c r="G483" i="14"/>
  <c r="G882" i="14"/>
  <c r="G265" i="14"/>
  <c r="G30" i="14"/>
  <c r="G70" i="14"/>
  <c r="G140" i="14"/>
  <c r="G627" i="14"/>
  <c r="G5" i="14"/>
  <c r="G820" i="14"/>
  <c r="G325" i="14"/>
  <c r="G203" i="14"/>
  <c r="G437" i="14"/>
  <c r="G680" i="14"/>
  <c r="G200" i="14"/>
  <c r="G867" i="14"/>
  <c r="G908" i="14"/>
  <c r="G811" i="14"/>
  <c r="G255" i="14"/>
  <c r="G978" i="14"/>
  <c r="G250" i="14"/>
  <c r="G566" i="14"/>
  <c r="G983" i="14"/>
  <c r="G132" i="14"/>
  <c r="G621" i="14"/>
  <c r="G318" i="14"/>
  <c r="G114" i="14"/>
  <c r="G74" i="14"/>
  <c r="G207" i="14"/>
  <c r="G667" i="14"/>
  <c r="G214" i="14"/>
  <c r="G702" i="14"/>
  <c r="G180" i="14"/>
  <c r="G654" i="14"/>
  <c r="G505" i="14"/>
  <c r="G359" i="14"/>
  <c r="G834" i="14"/>
  <c r="G271" i="14"/>
  <c r="G555" i="14"/>
  <c r="G549" i="14"/>
  <c r="G869" i="14"/>
  <c r="G635" i="14"/>
  <c r="G931" i="14"/>
  <c r="G445" i="14"/>
  <c r="G24" i="14"/>
  <c r="G164" i="14"/>
  <c r="G428" i="14"/>
  <c r="G80" i="14"/>
  <c r="G358" i="14"/>
  <c r="G512" i="14"/>
  <c r="G765" i="14"/>
  <c r="G696" i="14"/>
  <c r="G874" i="14"/>
  <c r="G938" i="14"/>
  <c r="G127" i="14"/>
  <c r="G69" i="14"/>
  <c r="G397" i="14"/>
  <c r="G491" i="14"/>
  <c r="G333" i="14"/>
  <c r="G813" i="14"/>
  <c r="G960" i="14"/>
  <c r="G162" i="14"/>
  <c r="G171" i="14"/>
  <c r="G154" i="14"/>
  <c r="G292" i="14"/>
  <c r="G19" i="14"/>
  <c r="G274" i="14"/>
  <c r="G335" i="14"/>
  <c r="G857" i="14"/>
  <c r="G363" i="14"/>
  <c r="G39" i="14"/>
  <c r="G145" i="14"/>
  <c r="G525" i="14"/>
  <c r="G360" i="14"/>
  <c r="G400" i="14"/>
  <c r="G762" i="14"/>
  <c r="G912" i="14"/>
  <c r="G109" i="14"/>
  <c r="G289" i="14"/>
  <c r="G168" i="14"/>
  <c r="G691" i="14"/>
  <c r="G529" i="14"/>
  <c r="G440" i="14"/>
  <c r="G760" i="14"/>
  <c r="G16" i="14"/>
  <c r="G718" i="14"/>
  <c r="G736" i="14"/>
  <c r="G471" i="14"/>
  <c r="G484" i="14"/>
  <c r="G550" i="14"/>
  <c r="G724" i="14"/>
  <c r="G488" i="14"/>
  <c r="G248" i="14"/>
  <c r="G76" i="14"/>
  <c r="G705" i="14"/>
  <c r="G416" i="14"/>
  <c r="G952" i="14"/>
  <c r="G29" i="14"/>
  <c r="G604" i="14"/>
  <c r="G885" i="14"/>
  <c r="G866" i="14"/>
  <c r="G345" i="14"/>
  <c r="G485" i="14"/>
  <c r="G747" i="14"/>
  <c r="G233" i="14"/>
  <c r="G43" i="14"/>
  <c r="G828" i="14"/>
  <c r="G806" i="14"/>
  <c r="G886" i="14"/>
  <c r="G748" i="14"/>
  <c r="G865" i="14"/>
  <c r="G520" i="14"/>
  <c r="G788" i="14"/>
  <c r="G27" i="14"/>
  <c r="G955" i="14"/>
  <c r="G23" i="14"/>
  <c r="G8" i="14"/>
  <c r="G386" i="14"/>
  <c r="G376" i="14"/>
  <c r="G577" i="14"/>
  <c r="G320" i="14"/>
  <c r="G836" i="14"/>
  <c r="G181" i="14"/>
  <c r="G330" i="14"/>
  <c r="G977" i="14"/>
  <c r="G34" i="14"/>
  <c r="G592" i="14"/>
  <c r="G861" i="14"/>
  <c r="G958" i="14"/>
  <c r="G944" i="14"/>
  <c r="G284" i="14"/>
  <c r="G189" i="14"/>
  <c r="G972" i="14"/>
  <c r="G921" i="14"/>
  <c r="G97" i="14"/>
  <c r="G519" i="14"/>
  <c r="G850" i="14"/>
  <c r="G436" i="14"/>
  <c r="G495" i="14"/>
  <c r="G712" i="14"/>
  <c r="G463" i="14"/>
  <c r="G50" i="14"/>
  <c r="G246" i="14"/>
  <c r="G444" i="14"/>
  <c r="G119" i="14"/>
  <c r="G561" i="14"/>
  <c r="G68" i="14"/>
  <c r="G648" i="14"/>
  <c r="G782" i="14"/>
  <c r="G115" i="14"/>
  <c r="G945" i="14"/>
  <c r="G769" i="14"/>
  <c r="G927" i="14"/>
  <c r="G547" i="14"/>
  <c r="G537" i="14"/>
  <c r="G7" i="14"/>
  <c r="G417" i="14"/>
  <c r="G949" i="14"/>
  <c r="G719" i="14"/>
  <c r="G637" i="14"/>
  <c r="G609" i="14"/>
  <c r="G966" i="14"/>
  <c r="G628" i="14"/>
  <c r="G698" i="14"/>
  <c r="G634" i="14"/>
  <c r="G256" i="14"/>
  <c r="G458" i="14"/>
  <c r="G467" i="14"/>
  <c r="G771" i="14"/>
  <c r="G89" i="14"/>
  <c r="G579" i="14"/>
  <c r="G713" i="14"/>
  <c r="G413" i="14"/>
  <c r="G382" i="14"/>
  <c r="G590" i="14"/>
  <c r="G783" i="14"/>
  <c r="G441" i="14"/>
  <c r="G81" i="14"/>
  <c r="G899" i="14"/>
  <c r="G104" i="14"/>
  <c r="G502" i="14"/>
  <c r="G349" i="14"/>
  <c r="G433" i="14"/>
  <c r="G909" i="14"/>
  <c r="G167" i="14"/>
  <c r="G38" i="14"/>
  <c r="G368" i="14"/>
  <c r="G662" i="14"/>
  <c r="G541" i="14"/>
  <c r="G123" i="14"/>
  <c r="G276" i="14"/>
  <c r="G332" i="14"/>
  <c r="G204" i="14"/>
  <c r="G494" i="14"/>
  <c r="G728" i="14"/>
  <c r="G572" i="14"/>
  <c r="G237" i="14"/>
  <c r="G499" i="14"/>
  <c r="G422" i="14"/>
  <c r="G146" i="14"/>
  <c r="G209" i="14"/>
  <c r="G14" i="14"/>
  <c r="G639" i="14"/>
  <c r="G242" i="14"/>
  <c r="G942" i="14"/>
  <c r="G504" i="14"/>
  <c r="G301" i="14"/>
  <c r="G618" i="14"/>
  <c r="G589" i="14"/>
  <c r="G684" i="14"/>
  <c r="G211" i="14"/>
  <c r="G526" i="14"/>
  <c r="G740" i="14"/>
  <c r="G147" i="14"/>
  <c r="G611" i="14"/>
  <c r="G392" i="14"/>
  <c r="G225" i="14"/>
  <c r="G655" i="14"/>
  <c r="G810" i="14"/>
  <c r="G923" i="14"/>
  <c r="G342" i="14"/>
  <c r="G522" i="14"/>
  <c r="G741" i="14"/>
  <c r="G266" i="14"/>
  <c r="G165" i="14"/>
  <c r="G98" i="14"/>
  <c r="G731" i="14"/>
  <c r="G582" i="14"/>
  <c r="G664" i="14"/>
  <c r="G314" i="14"/>
  <c r="G489" i="14"/>
  <c r="G188" i="14"/>
  <c r="G513" i="14"/>
  <c r="G922" i="14"/>
  <c r="G707" i="14"/>
  <c r="G261" i="14"/>
  <c r="G404" i="14"/>
  <c r="G947" i="14"/>
  <c r="G786" i="14"/>
  <c r="G187" i="14"/>
  <c r="G896" i="14"/>
  <c r="G159" i="14"/>
  <c r="G532" i="14"/>
  <c r="G411" i="14"/>
  <c r="G730" i="14"/>
  <c r="G221" i="14"/>
  <c r="G920" i="14"/>
  <c r="G86" i="14"/>
  <c r="G803" i="14"/>
  <c r="G539" i="14"/>
  <c r="G390" i="14"/>
  <c r="G133" i="14"/>
  <c r="G808" i="14"/>
  <c r="G72" i="14"/>
  <c r="G249" i="14"/>
  <c r="G51" i="14"/>
  <c r="G403" i="14"/>
  <c r="G101" i="14"/>
  <c r="G704" i="14"/>
  <c r="G568" i="14"/>
  <c r="G406" i="14"/>
  <c r="G606" i="14"/>
  <c r="G419" i="14"/>
  <c r="G190" i="14"/>
  <c r="G975" i="14"/>
  <c r="G746" i="14"/>
  <c r="G383" i="14"/>
  <c r="G260" i="14"/>
  <c r="G373" i="14"/>
  <c r="G982" i="14"/>
  <c r="G823" i="14"/>
  <c r="G66" i="14"/>
  <c r="G254" i="14"/>
  <c r="G149" i="14"/>
  <c r="G295" i="14"/>
  <c r="G232" i="14"/>
  <c r="G632" i="14"/>
  <c r="G638" i="14"/>
  <c r="G138" i="14"/>
  <c r="G116" i="14"/>
  <c r="G501" i="14"/>
  <c r="G918" i="14"/>
  <c r="G891" i="14"/>
  <c r="G37" i="14"/>
  <c r="G890" i="14"/>
  <c r="G173" i="14"/>
  <c r="G423" i="14"/>
  <c r="G599" i="14"/>
  <c r="G238" i="14"/>
  <c r="G462" i="14"/>
  <c r="G321" i="14"/>
  <c r="G344" i="14"/>
  <c r="G854" i="14"/>
  <c r="G856" i="14"/>
  <c r="G837" i="14"/>
  <c r="G465" i="14"/>
  <c r="G954" i="14"/>
  <c r="G633" i="14"/>
  <c r="G65" i="14"/>
  <c r="G903" i="14"/>
  <c r="G26" i="14"/>
  <c r="G264" i="14"/>
  <c r="G84" i="14"/>
  <c r="G486" i="14"/>
  <c r="G222" i="14"/>
  <c r="G558" i="14"/>
  <c r="G58" i="14"/>
  <c r="G166" i="14"/>
  <c r="G901" i="14"/>
  <c r="G305" i="14"/>
  <c r="G613" i="14"/>
  <c r="G412" i="14"/>
  <c r="G270" i="14"/>
  <c r="G141" i="14"/>
  <c r="G384" i="14"/>
  <c r="G191" i="14"/>
  <c r="G324" i="14"/>
  <c r="G905" i="14"/>
  <c r="G907" i="14"/>
  <c r="G399" i="14"/>
  <c r="G197" i="14"/>
  <c r="G312" i="14"/>
  <c r="G151" i="14"/>
  <c r="G468" i="14"/>
  <c r="G995" i="14"/>
  <c r="G137" i="14"/>
  <c r="G732" i="14"/>
  <c r="G594" i="14"/>
  <c r="G973" i="14"/>
  <c r="G876" i="14"/>
  <c r="G553" i="14"/>
  <c r="G85" i="14"/>
  <c r="G826" i="14"/>
  <c r="G868" i="14"/>
  <c r="G371" i="14"/>
  <c r="G987" i="14"/>
  <c r="G961" i="14"/>
  <c r="G842" i="14"/>
  <c r="G476" i="14"/>
  <c r="G490" i="14"/>
  <c r="G380" i="14"/>
  <c r="G78" i="14"/>
  <c r="G946" i="14"/>
  <c r="G492" i="14"/>
  <c r="G388" i="14"/>
  <c r="G879" i="14"/>
  <c r="G817" i="14"/>
  <c r="G968" i="14"/>
  <c r="G843" i="14"/>
  <c r="G418" i="14"/>
  <c r="G636" i="14"/>
  <c r="G461" i="14"/>
  <c r="G622" i="14"/>
  <c r="G554" i="14"/>
  <c r="G624" i="14"/>
  <c r="G107" i="14"/>
  <c r="G77" i="14"/>
  <c r="G846" i="14"/>
  <c r="G394" i="14"/>
  <c r="G585" i="14"/>
  <c r="G940" i="14"/>
  <c r="G913" i="14"/>
  <c r="G82" i="14"/>
  <c r="G794" i="14"/>
  <c r="G272" i="14"/>
  <c r="G455" i="14"/>
  <c r="G785" i="14"/>
  <c r="G323" i="14"/>
  <c r="G35" i="14"/>
  <c r="G290" i="14"/>
  <c r="G196" i="14"/>
  <c r="G220" i="14"/>
  <c r="G231" i="14"/>
  <c r="G556" i="14"/>
  <c r="G15" i="14"/>
  <c r="G536" i="14"/>
  <c r="G449" i="14"/>
  <c r="G73" i="14"/>
  <c r="G745" i="14"/>
  <c r="G815" i="14"/>
  <c r="G643" i="14"/>
  <c r="G871" i="14"/>
  <c r="G195" i="14"/>
  <c r="G792" i="14"/>
  <c r="G507" i="14"/>
  <c r="G347" i="14"/>
  <c r="G381" i="14"/>
  <c r="G125" i="14"/>
  <c r="G44" i="14"/>
  <c r="G438" i="14"/>
  <c r="G853" i="14"/>
  <c r="G738" i="14"/>
  <c r="G351" i="14"/>
  <c r="G17" i="14"/>
  <c r="G563" i="14"/>
  <c r="G605" i="14"/>
  <c r="G875" i="14"/>
  <c r="G657" i="14"/>
  <c r="G723" i="14"/>
  <c r="G631" i="14"/>
  <c r="G924" i="14"/>
  <c r="G176" i="14"/>
  <c r="G179" i="14"/>
  <c r="G675" i="14"/>
  <c r="G174" i="14"/>
  <c r="G148" i="14"/>
  <c r="G96" i="14"/>
  <c r="G456" i="14"/>
  <c r="G948" i="14"/>
  <c r="G775" i="14"/>
  <c r="G172" i="14"/>
  <c r="G370" i="14"/>
  <c r="G646" i="14"/>
  <c r="G827" i="14"/>
  <c r="G538" i="14"/>
  <c r="G11" i="14"/>
  <c r="G669" i="14"/>
  <c r="G580" i="14"/>
  <c r="G448" i="14"/>
  <c r="G459" i="14"/>
  <c r="G391" i="14"/>
  <c r="G671" i="14"/>
  <c r="G693" i="14"/>
  <c r="G551" i="14"/>
  <c r="G273" i="14"/>
  <c r="G99" i="14"/>
  <c r="G819" i="14"/>
  <c r="G647" i="14"/>
  <c r="G3" i="14"/>
  <c r="G473" i="14"/>
  <c r="G219" i="14"/>
  <c r="G744" i="14"/>
  <c r="G914" i="14"/>
  <c r="G431" i="14"/>
  <c r="G385" i="14"/>
  <c r="G102" i="14"/>
  <c r="G56" i="14"/>
  <c r="G143" i="14"/>
  <c r="G963" i="14"/>
  <c r="G83" i="14"/>
  <c r="G716" i="14"/>
  <c r="G79" i="14"/>
  <c r="G694" i="14"/>
  <c r="G951" i="14"/>
  <c r="G95" i="14"/>
  <c r="G366" i="14"/>
  <c r="G614" i="14"/>
  <c r="G729" i="14"/>
  <c r="G186" i="14"/>
  <c r="G567" i="14"/>
  <c r="G524" i="14"/>
  <c r="G979" i="14"/>
  <c r="G464" i="14"/>
  <c r="G362" i="14"/>
  <c r="G937" i="14"/>
  <c r="G510" i="14"/>
  <c r="G251" i="14"/>
  <c r="G401" i="14"/>
  <c r="G935" i="14"/>
  <c r="G410" i="14"/>
  <c r="G967" i="14"/>
  <c r="G53" i="14"/>
  <c r="G754" i="14"/>
  <c r="G352" i="14"/>
  <c r="G378" i="14"/>
  <c r="G487" i="14"/>
  <c r="G424" i="14"/>
  <c r="G900" i="14"/>
  <c r="G498" i="14"/>
  <c r="G531" i="14"/>
  <c r="G64" i="14"/>
  <c r="G120" i="14"/>
  <c r="G773" i="14"/>
  <c r="G658" i="14"/>
  <c r="G258" i="14"/>
  <c r="G198" i="14"/>
  <c r="G234" i="14"/>
  <c r="G10" i="14"/>
  <c r="G103" i="14"/>
  <c r="G369" i="14"/>
  <c r="G396" i="14"/>
  <c r="G429" i="14"/>
  <c r="G894" i="14"/>
  <c r="G897" i="14"/>
  <c r="G793" i="14"/>
  <c r="G210" i="14"/>
  <c r="G703" i="14"/>
  <c r="G28" i="14"/>
  <c r="G354" i="14"/>
  <c r="G1000" i="14"/>
  <c r="G515" i="14"/>
  <c r="G150" i="14"/>
  <c r="G12" i="14"/>
  <c r="G213" i="14"/>
  <c r="G223" i="14"/>
  <c r="G988" i="14"/>
  <c r="G446" i="14"/>
  <c r="G615" i="14"/>
  <c r="G302" i="14"/>
  <c r="G113" i="14"/>
  <c r="G516" i="14"/>
  <c r="G160" i="14"/>
  <c r="G847" i="14"/>
  <c r="G845" i="14"/>
  <c r="G906" i="14"/>
  <c r="G262" i="14"/>
  <c r="G780" i="14"/>
  <c r="G824" i="14"/>
  <c r="G984" i="14"/>
  <c r="G971" i="14"/>
  <c r="G784" i="14"/>
  <c r="G993" i="14"/>
  <c r="G169" i="14"/>
  <c r="G241" i="14"/>
  <c r="G711" i="14"/>
  <c r="G619" i="14"/>
  <c r="G277" i="14"/>
  <c r="G430" i="14"/>
  <c r="G1001" i="14"/>
  <c r="G21" i="14"/>
  <c r="G518" i="14"/>
  <c r="G479" i="14"/>
  <c r="G818" i="14"/>
  <c r="G206" i="14"/>
  <c r="G838" i="14"/>
  <c r="G976" i="14"/>
  <c r="G800" i="14"/>
  <c r="G322" i="14"/>
  <c r="G112" i="14"/>
  <c r="G557" i="14"/>
  <c r="G750" i="14"/>
  <c r="G959" i="14"/>
  <c r="G779" i="14"/>
  <c r="G573" i="14"/>
  <c r="G361" i="14"/>
  <c r="G508" i="14"/>
  <c r="G365" i="14"/>
  <c r="G916" i="14"/>
  <c r="G379" i="14"/>
  <c r="G457" i="14"/>
  <c r="G415" i="14"/>
  <c r="G409" i="14"/>
  <c r="G31" i="14"/>
  <c r="G962" i="14"/>
  <c r="G118" i="14"/>
  <c r="G799" i="14"/>
  <c r="G9" i="14"/>
  <c r="G517" i="14"/>
  <c r="G814" i="14"/>
  <c r="G751" i="14"/>
  <c r="C2" i="14"/>
  <c r="D10" i="14"/>
  <c r="C5" i="14"/>
  <c r="C7" i="14"/>
  <c r="D11" i="14"/>
  <c r="C6" i="14"/>
  <c r="D5" i="14"/>
  <c r="D9" i="14"/>
  <c r="C9" i="14"/>
  <c r="C8" i="14"/>
  <c r="D6" i="14"/>
  <c r="C12" i="14"/>
  <c r="D4" i="14"/>
  <c r="D12" i="14"/>
  <c r="C3" i="14"/>
  <c r="C11" i="14"/>
  <c r="D3" i="14"/>
  <c r="D2" i="14"/>
  <c r="C4" i="14"/>
  <c r="D7" i="14"/>
  <c r="C10" i="14"/>
  <c r="D8" i="14"/>
  <c r="G2" i="14"/>
  <c r="G466" i="14"/>
  <c r="G278" i="14"/>
  <c r="G767" i="14"/>
  <c r="G663" i="14"/>
  <c r="G649" i="14"/>
  <c r="G353" i="14"/>
  <c r="G714" i="14"/>
  <c r="G534" i="14"/>
  <c r="G802" i="14"/>
  <c r="G268" i="14"/>
  <c r="G356" i="14"/>
  <c r="G708" i="14"/>
  <c r="G588" i="14"/>
  <c r="G245" i="14"/>
  <c r="G608" i="14"/>
  <c r="G506" i="14"/>
  <c r="G158" i="14"/>
  <c r="G678" i="14"/>
  <c r="G511" i="14"/>
  <c r="G229" i="14"/>
  <c r="G706" i="14"/>
  <c r="G996" i="14"/>
  <c r="G414" i="14"/>
  <c r="G434" i="14"/>
  <c r="G183" i="14"/>
  <c r="G283" i="14"/>
  <c r="G313" i="14"/>
  <c r="G764" i="14"/>
  <c r="G768" i="14"/>
  <c r="G33" i="14"/>
  <c r="G737" i="14"/>
  <c r="G309" i="14"/>
  <c r="G139" i="14"/>
  <c r="G880" i="14"/>
  <c r="G291" i="14"/>
  <c r="G620" i="14"/>
  <c r="G576" i="14"/>
  <c r="G772" i="14"/>
  <c r="G970" i="14"/>
  <c r="G4" i="14"/>
  <c r="G855" i="14"/>
  <c r="G777" i="14"/>
  <c r="G36" i="14"/>
  <c r="G660" i="14"/>
  <c r="G208" i="14"/>
  <c r="G426" i="14"/>
  <c r="G999" i="14"/>
  <c r="G601" i="14"/>
  <c r="G964" i="14"/>
  <c r="G720" i="14"/>
  <c r="G544" i="14"/>
  <c r="G849" i="14"/>
  <c r="G298" i="14"/>
  <c r="G936" i="14"/>
  <c r="G668" i="14"/>
  <c r="G733" i="14"/>
  <c r="G496" i="14"/>
  <c r="G134" i="14"/>
  <c r="G743" i="14"/>
  <c r="G296" i="14"/>
  <c r="G528" i="14"/>
  <c r="G830" i="14"/>
  <c r="G904" i="14"/>
  <c r="G308" i="14"/>
  <c r="G645" i="14"/>
  <c r="G310" i="14"/>
  <c r="G253" i="14"/>
  <c r="G282" i="14"/>
  <c r="G57" i="14"/>
  <c r="G281" i="14"/>
  <c r="G63" i="14"/>
  <c r="G862" i="14"/>
  <c r="G343" i="14"/>
  <c r="G816" i="14"/>
  <c r="G20" i="14"/>
  <c r="G595" i="14"/>
  <c r="G753" i="14"/>
  <c r="G659" i="14"/>
  <c r="G286" i="14"/>
  <c r="G686" i="14"/>
  <c r="G998" i="14"/>
  <c r="G117" i="14"/>
  <c r="G915" i="14"/>
  <c r="G25" i="14"/>
  <c r="G299" i="14"/>
  <c r="G989" i="14"/>
  <c r="G230" i="14"/>
  <c r="G858" i="14"/>
  <c r="G699" i="14"/>
  <c r="G161" i="14"/>
  <c r="G873" i="14"/>
  <c r="G756" i="14"/>
  <c r="G126" i="14"/>
  <c r="G552" i="14"/>
  <c r="G94" i="14"/>
  <c r="G981" i="14"/>
  <c r="G709" i="14"/>
  <c r="G829" i="14"/>
  <c r="G285" i="14"/>
  <c r="G52" i="14"/>
  <c r="G933" i="14"/>
  <c r="G653" i="14"/>
  <c r="G226" i="14"/>
  <c r="G92" i="14"/>
  <c r="G980" i="14"/>
  <c r="G689" i="14"/>
  <c r="G593" i="14"/>
  <c r="G130" i="14"/>
  <c r="G787" i="14"/>
  <c r="G311" i="14"/>
  <c r="G957" i="14"/>
  <c r="G122" i="14"/>
  <c r="G317" i="14"/>
  <c r="G881" i="14"/>
  <c r="G535" i="14"/>
  <c r="G763" i="14"/>
  <c r="G398" i="14"/>
  <c r="G67" i="14"/>
  <c r="G442" i="14"/>
  <c r="G701" i="14"/>
  <c r="G789" i="14"/>
  <c r="G293" i="14"/>
  <c r="G327" i="14"/>
  <c r="G447" i="14"/>
  <c r="G124" i="14"/>
  <c r="G682" i="14"/>
  <c r="G297" i="14"/>
  <c r="G812" i="14"/>
  <c r="G470" i="14"/>
  <c r="G930" i="14"/>
  <c r="G156" i="14"/>
  <c r="G135" i="14"/>
  <c r="G673" i="14"/>
  <c r="G560" i="14"/>
  <c r="G521" i="14"/>
  <c r="G402" i="14"/>
  <c r="G194" i="14"/>
  <c r="G275" i="14"/>
  <c r="G331" i="14"/>
  <c r="G427" i="14"/>
  <c r="G607" i="14"/>
  <c r="G911" i="14"/>
  <c r="G587" i="14"/>
  <c r="G697" i="14"/>
  <c r="G797" i="14"/>
  <c r="G770" i="14"/>
  <c r="G586" i="14"/>
  <c r="G45" i="14"/>
  <c r="G670" i="14"/>
  <c r="G236" i="14"/>
  <c r="G801" i="14"/>
  <c r="G364" i="14"/>
  <c r="G651" i="14"/>
  <c r="G128" i="14"/>
  <c r="G199" i="14"/>
  <c r="G623" i="14"/>
  <c r="G848" i="14"/>
  <c r="G46" i="14"/>
  <c r="G969" i="14"/>
  <c r="G339" i="14"/>
  <c r="G42" i="14"/>
  <c r="G144" i="14"/>
  <c r="G603" i="14"/>
  <c r="G578" i="14"/>
  <c r="G986" i="14"/>
  <c r="G407" i="14"/>
  <c r="G574" i="14"/>
  <c r="G956" i="14"/>
  <c r="G514" i="14"/>
  <c r="G758" i="14"/>
  <c r="G49" i="14"/>
  <c r="G625" i="14"/>
  <c r="G985" i="14"/>
  <c r="G809" i="14"/>
  <c r="G111" i="14"/>
  <c r="G259" i="14"/>
  <c r="G749" i="14"/>
  <c r="G395" i="14"/>
  <c r="G652" i="14"/>
  <c r="G337" i="14"/>
  <c r="G304" i="14"/>
  <c r="G530" i="14"/>
  <c r="G228" i="14"/>
  <c r="G974" i="14"/>
  <c r="G334" i="14"/>
  <c r="G878" i="14"/>
  <c r="G91" i="14"/>
  <c r="G355" i="14"/>
  <c r="G336" i="14"/>
  <c r="G683" i="14"/>
  <c r="G300" i="14"/>
  <c r="G548" i="14"/>
  <c r="G717" i="14"/>
  <c r="G877" i="14"/>
  <c r="G280" i="14"/>
  <c r="G192" i="14"/>
  <c r="G55" i="14"/>
  <c r="G661" i="14"/>
  <c r="G781" i="14"/>
  <c r="G726" i="14"/>
  <c r="G994" i="14"/>
  <c r="G319" i="14"/>
  <c r="G267" i="14"/>
  <c r="G393" i="14"/>
  <c r="G795" i="14"/>
  <c r="G357" i="14"/>
  <c r="G598" i="14"/>
  <c r="G59" i="14"/>
  <c r="G928" i="14"/>
  <c r="G759" i="14"/>
  <c r="G860" i="14"/>
  <c r="G170" i="14"/>
  <c r="G157" i="14"/>
  <c r="G545" i="14"/>
  <c r="G340" i="14"/>
  <c r="G88" i="14"/>
  <c r="G421" i="14"/>
  <c r="G710" i="14"/>
  <c r="G452" i="14"/>
  <c r="G62" i="14"/>
  <c r="G500" i="14"/>
  <c r="G155" i="14"/>
  <c r="G883" i="14"/>
  <c r="G244" i="14"/>
  <c r="G408" i="14"/>
  <c r="G822" i="14"/>
  <c r="G341" i="14"/>
  <c r="G617" i="14"/>
  <c r="G163" i="14"/>
  <c r="G288" i="14"/>
  <c r="G454" i="14"/>
  <c r="G480" i="14"/>
  <c r="G178" i="14"/>
  <c r="G129" i="14"/>
  <c r="G610" i="14"/>
  <c r="G326" i="14"/>
  <c r="G218" i="14"/>
  <c r="G377" i="14"/>
  <c r="G227" i="14"/>
  <c r="G644" i="14"/>
  <c r="G721" i="14"/>
  <c r="G460" i="14"/>
  <c r="G435" i="14"/>
  <c r="G997" i="14"/>
  <c r="G807" i="14"/>
  <c r="G185" i="14"/>
  <c r="G690" i="14"/>
  <c r="G71" i="14"/>
  <c r="G569" i="14"/>
  <c r="G581" i="14"/>
  <c r="G884" i="14"/>
  <c r="G752" i="14"/>
  <c r="G559" i="14"/>
  <c r="G790" i="14"/>
  <c r="G630" i="14"/>
  <c r="G136" i="14"/>
  <c r="G583" i="14"/>
  <c r="G761" i="14"/>
  <c r="G217" i="14"/>
  <c r="G926" i="14"/>
  <c r="G432" i="14"/>
  <c r="G992" i="14"/>
  <c r="G852" i="14"/>
  <c r="G950" i="14"/>
  <c r="G796" i="14"/>
  <c r="G898" i="14"/>
  <c r="G656" i="14"/>
  <c r="G681" i="14"/>
  <c r="G570" i="14"/>
  <c r="G216" i="14"/>
  <c r="G142" i="14"/>
  <c r="G929" i="14"/>
  <c r="G602" i="14"/>
  <c r="G864" i="14"/>
  <c r="G821" i="14"/>
  <c r="G22" i="14"/>
  <c r="G269" i="14"/>
  <c r="G674" i="14"/>
  <c r="G571" i="14"/>
  <c r="G41" i="14"/>
  <c r="G642" i="14"/>
  <c r="G863" i="14"/>
  <c r="G184" i="14"/>
  <c r="G202" i="14"/>
  <c r="G791" i="14"/>
  <c r="G735" i="14"/>
  <c r="G805" i="14"/>
  <c r="G677" i="14"/>
  <c r="G263" i="14"/>
  <c r="G910" i="14"/>
  <c r="G527" i="14"/>
  <c r="G239" i="14"/>
  <c r="G451" i="14"/>
  <c r="G453" i="14"/>
  <c r="G503" i="14"/>
  <c r="G482" i="14"/>
  <c r="G90" i="14"/>
  <c r="G315" i="14"/>
  <c r="G338" i="14"/>
  <c r="G851" i="14"/>
  <c r="G389" i="14"/>
  <c r="G348" i="14"/>
  <c r="G121" i="14"/>
  <c r="G439" i="14"/>
  <c r="G346" i="14"/>
  <c r="G350" i="14"/>
  <c r="G991" i="14"/>
  <c r="G626" i="14"/>
  <c r="G755" i="14"/>
  <c r="G306" i="14"/>
  <c r="G153" i="14"/>
  <c r="G212" i="14"/>
  <c r="G778" i="14"/>
  <c r="G481" i="14"/>
  <c r="G722" i="14"/>
  <c r="G672" i="14"/>
  <c r="G493" i="14"/>
  <c r="G840" i="14"/>
  <c r="G257" i="14"/>
  <c r="G100" i="14"/>
  <c r="G182" i="14"/>
  <c r="G294" i="14"/>
  <c r="G478" i="14"/>
  <c r="G215" i="14"/>
  <c r="G240" i="14"/>
  <c r="G825" i="14"/>
  <c r="G474" i="14"/>
  <c r="G110" i="14"/>
  <c r="G87" i="14"/>
  <c r="G757" i="14"/>
  <c r="G965" i="14"/>
  <c r="G425" i="14"/>
  <c r="AE505" i="14" l="1"/>
  <c r="AF504" i="14"/>
  <c r="I2" i="14"/>
  <c r="H2" i="14"/>
  <c r="I8" i="14"/>
  <c r="H11" i="14"/>
  <c r="H3" i="14"/>
  <c r="I9" i="14"/>
  <c r="I4" i="14"/>
  <c r="I10" i="14"/>
  <c r="H5" i="14"/>
  <c r="I3" i="14"/>
  <c r="I5" i="14"/>
  <c r="I6" i="14"/>
  <c r="H6" i="14"/>
  <c r="I7" i="14"/>
  <c r="H12" i="14"/>
  <c r="H9" i="14"/>
  <c r="H8" i="14"/>
  <c r="I11" i="14"/>
  <c r="I12" i="14"/>
  <c r="H7" i="14"/>
  <c r="H10" i="14"/>
  <c r="H4" i="14"/>
  <c r="AF505" i="14" l="1"/>
  <c r="AE506" i="14"/>
  <c r="AE507" i="14" l="1"/>
  <c r="AF506" i="14"/>
  <c r="AE508" i="14" l="1"/>
  <c r="AF507" i="14"/>
  <c r="AE509" i="14" l="1"/>
  <c r="AF508" i="14"/>
  <c r="AF509" i="14" l="1"/>
  <c r="AE510" i="14"/>
  <c r="AE511" i="14" l="1"/>
  <c r="AF510" i="14"/>
  <c r="AF511" i="14" l="1"/>
  <c r="AE512" i="14"/>
  <c r="AE513" i="14" l="1"/>
  <c r="AF512" i="14"/>
  <c r="AF513" i="14" l="1"/>
  <c r="AE514" i="14"/>
  <c r="AE515" i="14" l="1"/>
  <c r="AF514" i="14"/>
  <c r="AF515" i="14" l="1"/>
  <c r="AE516" i="14"/>
  <c r="AE517" i="14" l="1"/>
  <c r="AF516" i="14"/>
  <c r="AF517" i="14" l="1"/>
  <c r="AE518" i="14"/>
  <c r="AE519" i="14" l="1"/>
  <c r="AF518" i="14"/>
  <c r="AF519" i="14" l="1"/>
  <c r="AE520" i="14"/>
  <c r="AE521" i="14" l="1"/>
  <c r="AF520" i="14"/>
  <c r="AF521" i="14" l="1"/>
  <c r="AE522" i="14"/>
  <c r="AF522" i="14" l="1"/>
  <c r="AE523" i="14"/>
  <c r="AF523" i="14" l="1"/>
  <c r="AE524" i="14"/>
  <c r="AE525" i="14" l="1"/>
  <c r="AF524" i="14"/>
  <c r="AF525" i="14" l="1"/>
  <c r="AE526" i="14"/>
  <c r="AE527" i="14" l="1"/>
  <c r="AF526" i="14"/>
  <c r="AF527" i="14" l="1"/>
  <c r="AE528" i="14"/>
  <c r="AE529" i="14" l="1"/>
  <c r="AF528" i="14"/>
  <c r="AF529" i="14" l="1"/>
  <c r="AE530" i="14"/>
  <c r="AE531" i="14" l="1"/>
  <c r="AF530" i="14"/>
  <c r="AF531" i="14" l="1"/>
  <c r="AE532" i="14"/>
  <c r="AE533" i="14" l="1"/>
  <c r="AF532" i="14"/>
  <c r="AF533" i="14" l="1"/>
  <c r="AE534" i="14"/>
  <c r="AE535" i="14" l="1"/>
  <c r="AF534" i="14"/>
  <c r="AF535" i="14" l="1"/>
  <c r="AE536" i="14"/>
  <c r="AE537" i="14" l="1"/>
  <c r="AF536" i="14"/>
  <c r="AF537" i="14" l="1"/>
  <c r="AE538" i="14"/>
  <c r="AE539" i="14" l="1"/>
  <c r="AF538" i="14"/>
  <c r="AF539" i="14" l="1"/>
  <c r="AE540" i="14"/>
  <c r="AE541" i="14" l="1"/>
  <c r="AF540" i="14"/>
  <c r="AF541" i="14" l="1"/>
  <c r="AE542" i="14"/>
  <c r="AE543" i="14" l="1"/>
  <c r="AF542" i="14"/>
  <c r="AF543" i="14" l="1"/>
  <c r="AE544" i="14"/>
  <c r="AE545" i="14" l="1"/>
  <c r="AF544" i="14"/>
  <c r="AF545" i="14" l="1"/>
  <c r="AE546" i="14"/>
  <c r="AE547" i="14" l="1"/>
  <c r="AF546" i="14"/>
  <c r="AF547" i="14" l="1"/>
  <c r="AE548" i="14"/>
  <c r="AE549" i="14" l="1"/>
  <c r="AF548" i="14"/>
  <c r="AF549" i="14" l="1"/>
  <c r="AE550" i="14"/>
  <c r="AE551" i="14" l="1"/>
  <c r="AF550" i="14"/>
  <c r="AF551" i="14" l="1"/>
  <c r="AE552" i="14"/>
  <c r="AE553" i="14" l="1"/>
  <c r="AF552" i="14"/>
  <c r="AF553" i="14" l="1"/>
  <c r="AE554" i="14"/>
  <c r="AE555" i="14" l="1"/>
  <c r="AF554" i="14"/>
  <c r="AF555" i="14" l="1"/>
  <c r="AE556" i="14"/>
  <c r="AE557" i="14" l="1"/>
  <c r="AF556" i="14"/>
  <c r="AF557" i="14" l="1"/>
  <c r="AE558" i="14"/>
  <c r="AE559" i="14" l="1"/>
  <c r="AF558" i="14"/>
  <c r="AF559" i="14" l="1"/>
  <c r="AE560" i="14"/>
  <c r="AE561" i="14" l="1"/>
  <c r="AF560" i="14"/>
  <c r="AF561" i="14" l="1"/>
  <c r="AE562" i="14"/>
  <c r="AE563" i="14" l="1"/>
  <c r="AF562" i="14"/>
  <c r="AF563" i="14" l="1"/>
  <c r="AE564" i="14"/>
  <c r="AE565" i="14" l="1"/>
  <c r="AF564" i="14"/>
  <c r="AF565" i="14" l="1"/>
  <c r="AE566" i="14"/>
  <c r="AE567" i="14" l="1"/>
  <c r="AF566" i="14"/>
  <c r="AF567" i="14" l="1"/>
  <c r="AE568" i="14"/>
  <c r="AE569" i="14" l="1"/>
  <c r="AF568" i="14"/>
  <c r="AF569" i="14" l="1"/>
  <c r="AE570" i="14"/>
  <c r="AE571" i="14" l="1"/>
  <c r="AF570" i="14"/>
  <c r="AF571" i="14" l="1"/>
  <c r="AE572" i="14"/>
  <c r="AE573" i="14" l="1"/>
  <c r="AF572" i="14"/>
  <c r="AF573" i="14" l="1"/>
  <c r="AE574" i="14"/>
  <c r="AE575" i="14" l="1"/>
  <c r="AF574" i="14"/>
  <c r="AF575" i="14" l="1"/>
  <c r="AE576" i="14"/>
  <c r="AE577" i="14" l="1"/>
  <c r="AF576" i="14"/>
  <c r="AF577" i="14" l="1"/>
  <c r="AE578" i="14"/>
  <c r="AE579" i="14" l="1"/>
  <c r="AF578" i="14"/>
  <c r="AF579" i="14" l="1"/>
  <c r="AE580" i="14"/>
  <c r="AE581" i="14" l="1"/>
  <c r="AF580" i="14"/>
  <c r="AF581" i="14" l="1"/>
  <c r="AE582" i="14"/>
  <c r="AE583" i="14" l="1"/>
  <c r="AF582" i="14"/>
  <c r="AF583" i="14" l="1"/>
  <c r="AE584" i="14"/>
  <c r="AE585" i="14" l="1"/>
  <c r="AF584" i="14"/>
  <c r="AF585" i="14" l="1"/>
  <c r="AE586" i="14"/>
  <c r="AE587" i="14" l="1"/>
  <c r="AF586" i="14"/>
  <c r="AF587" i="14" l="1"/>
  <c r="AE588" i="14"/>
  <c r="AE589" i="14" l="1"/>
  <c r="AF588" i="14"/>
  <c r="AF589" i="14" l="1"/>
  <c r="AE590" i="14"/>
  <c r="AE591" i="14" l="1"/>
  <c r="AF590" i="14"/>
  <c r="AF591" i="14" l="1"/>
  <c r="AE592" i="14"/>
  <c r="AE593" i="14" l="1"/>
  <c r="AF592" i="14"/>
  <c r="AF593" i="14" l="1"/>
  <c r="AE594" i="14"/>
  <c r="AE595" i="14" l="1"/>
  <c r="AF594" i="14"/>
  <c r="AF595" i="14" l="1"/>
  <c r="AE596" i="14"/>
  <c r="AE597" i="14" l="1"/>
  <c r="AF596" i="14"/>
  <c r="AF597" i="14" l="1"/>
  <c r="AE598" i="14"/>
  <c r="AE599" i="14" l="1"/>
  <c r="AF598" i="14"/>
  <c r="AF599" i="14" l="1"/>
  <c r="AE600" i="14"/>
  <c r="AE601" i="14" l="1"/>
  <c r="AF600" i="14"/>
  <c r="AF601" i="14" l="1"/>
  <c r="AE602" i="14"/>
  <c r="AE603" i="14" l="1"/>
  <c r="AF602" i="14"/>
  <c r="AF603" i="14" l="1"/>
  <c r="AE604" i="14"/>
  <c r="AE605" i="14" l="1"/>
  <c r="AF604" i="14"/>
  <c r="AF605" i="14" l="1"/>
  <c r="AE606" i="14"/>
  <c r="AE607" i="14" l="1"/>
  <c r="AF606" i="14"/>
  <c r="AF607" i="14" l="1"/>
  <c r="AE608" i="14"/>
  <c r="AE609" i="14" l="1"/>
  <c r="AF608" i="14"/>
  <c r="AF609" i="14" l="1"/>
  <c r="AE610" i="14"/>
  <c r="AE611" i="14" l="1"/>
  <c r="AF610" i="14"/>
  <c r="AF611" i="14" l="1"/>
  <c r="AE612" i="14"/>
  <c r="AE613" i="14" l="1"/>
  <c r="AF612" i="14"/>
  <c r="AF613" i="14" l="1"/>
  <c r="AE614" i="14"/>
  <c r="AE615" i="14" l="1"/>
  <c r="AF614" i="14"/>
  <c r="AF615" i="14" l="1"/>
  <c r="AE616" i="14"/>
  <c r="AE617" i="14" l="1"/>
  <c r="AF616" i="14"/>
  <c r="AF617" i="14" l="1"/>
  <c r="AE618" i="14"/>
  <c r="AE619" i="14" l="1"/>
  <c r="AF618" i="14"/>
  <c r="AF619" i="14" l="1"/>
  <c r="AE620" i="14"/>
  <c r="AE621" i="14" l="1"/>
  <c r="AF620" i="14"/>
  <c r="AF621" i="14" l="1"/>
  <c r="AE622" i="14"/>
  <c r="AE623" i="14" l="1"/>
  <c r="AF622" i="14"/>
  <c r="AE624" i="14" l="1"/>
  <c r="AF623" i="14"/>
  <c r="AE625" i="14" l="1"/>
  <c r="AF624" i="14"/>
  <c r="AF625" i="14" l="1"/>
  <c r="AE626" i="14"/>
  <c r="AE627" i="14" l="1"/>
  <c r="AF626" i="14"/>
  <c r="AF627" i="14" l="1"/>
  <c r="AE628" i="14"/>
  <c r="AE629" i="14" l="1"/>
  <c r="AF628" i="14"/>
  <c r="AF629" i="14" l="1"/>
  <c r="AE630" i="14"/>
  <c r="AE631" i="14" l="1"/>
  <c r="AF630" i="14"/>
  <c r="AE632" i="14" l="1"/>
  <c r="AF631" i="14"/>
  <c r="AE633" i="14" l="1"/>
  <c r="AF632" i="14"/>
  <c r="AF633" i="14" l="1"/>
  <c r="AE634" i="14"/>
  <c r="AE635" i="14" l="1"/>
  <c r="AF634" i="14"/>
  <c r="AF635" i="14" l="1"/>
  <c r="AE636" i="14"/>
  <c r="AE637" i="14" l="1"/>
  <c r="AF636" i="14"/>
  <c r="AF637" i="14" l="1"/>
  <c r="AE638" i="14"/>
  <c r="AE639" i="14" l="1"/>
  <c r="AF638" i="14"/>
  <c r="AE640" i="14" l="1"/>
  <c r="AF639" i="14"/>
  <c r="AE641" i="14" l="1"/>
  <c r="AF640" i="14"/>
  <c r="AF641" i="14" l="1"/>
  <c r="AE642" i="14"/>
  <c r="AE643" i="14" l="1"/>
  <c r="AF642" i="14"/>
  <c r="AF643" i="14" l="1"/>
  <c r="AE644" i="14"/>
  <c r="AE645" i="14" l="1"/>
  <c r="AF644" i="14"/>
  <c r="AF645" i="14" l="1"/>
  <c r="AE646" i="14"/>
  <c r="AE647" i="14" l="1"/>
  <c r="AF646" i="14"/>
  <c r="AE648" i="14" l="1"/>
  <c r="AF647" i="14"/>
  <c r="AE649" i="14" l="1"/>
  <c r="AF648" i="14"/>
  <c r="AF649" i="14" l="1"/>
  <c r="AE650" i="14"/>
  <c r="AE651" i="14" l="1"/>
  <c r="AF650" i="14"/>
  <c r="AF651" i="14" l="1"/>
  <c r="AE652" i="14"/>
  <c r="AE653" i="14" l="1"/>
  <c r="AF652" i="14"/>
  <c r="AF653" i="14" l="1"/>
  <c r="AE654" i="14"/>
  <c r="AE655" i="14" l="1"/>
  <c r="AF654" i="14"/>
  <c r="AE656" i="14" l="1"/>
  <c r="AF655" i="14"/>
  <c r="AE657" i="14" l="1"/>
  <c r="AF656" i="14"/>
  <c r="AF657" i="14" l="1"/>
  <c r="AE658" i="14"/>
  <c r="AE659" i="14" l="1"/>
  <c r="AF658" i="14"/>
  <c r="AF659" i="14" l="1"/>
  <c r="AE660" i="14"/>
  <c r="AE661" i="14" l="1"/>
  <c r="AF660" i="14"/>
  <c r="AF661" i="14" l="1"/>
  <c r="AE662" i="14"/>
  <c r="AE663" i="14" l="1"/>
  <c r="AF662" i="14"/>
  <c r="AE664" i="14" l="1"/>
  <c r="AF663" i="14"/>
  <c r="AE665" i="14" l="1"/>
  <c r="AF664" i="14"/>
  <c r="AF665" i="14" l="1"/>
  <c r="AE666" i="14"/>
  <c r="AE667" i="14" l="1"/>
  <c r="AF666" i="14"/>
  <c r="AF667" i="14" l="1"/>
  <c r="AE668" i="14"/>
  <c r="AE669" i="14" l="1"/>
  <c r="AF668" i="14"/>
  <c r="AF669" i="14" l="1"/>
  <c r="AE670" i="14"/>
  <c r="AE671" i="14" l="1"/>
  <c r="AF670" i="14"/>
  <c r="AE672" i="14" l="1"/>
  <c r="AF671" i="14"/>
  <c r="AE673" i="14" l="1"/>
  <c r="AF672" i="14"/>
  <c r="AF673" i="14" l="1"/>
  <c r="AE674" i="14"/>
  <c r="AF674" i="14" l="1"/>
  <c r="AE675" i="14"/>
  <c r="AF675" i="14" l="1"/>
  <c r="AE676" i="14"/>
  <c r="AF676" i="14" l="1"/>
  <c r="AE677" i="14"/>
  <c r="AF677" i="14" l="1"/>
  <c r="AE678" i="14"/>
  <c r="AF678" i="14" l="1"/>
  <c r="AE679" i="14"/>
  <c r="AF679" i="14" l="1"/>
  <c r="AE680" i="14"/>
  <c r="AF680" i="14" l="1"/>
  <c r="AE681" i="14"/>
  <c r="AF681" i="14" l="1"/>
  <c r="AE682" i="14"/>
  <c r="AF682" i="14" l="1"/>
  <c r="AE683" i="14"/>
  <c r="AF683" i="14" l="1"/>
  <c r="AE684" i="14"/>
  <c r="AF684" i="14" l="1"/>
  <c r="AE685" i="14"/>
  <c r="AF685" i="14" l="1"/>
  <c r="AE686" i="14"/>
  <c r="AF686" i="14" l="1"/>
  <c r="AE687" i="14"/>
  <c r="AF687" i="14" l="1"/>
  <c r="AE688" i="14"/>
  <c r="AF688" i="14" l="1"/>
  <c r="AE689" i="14"/>
  <c r="AF689" i="14" l="1"/>
  <c r="AE690" i="14"/>
  <c r="AF690" i="14" l="1"/>
  <c r="AE691" i="14"/>
  <c r="AF691" i="14" l="1"/>
  <c r="AE692" i="14"/>
  <c r="AF692" i="14" l="1"/>
  <c r="AE693" i="14"/>
  <c r="AF693" i="14" l="1"/>
  <c r="AE694" i="14"/>
  <c r="AF694" i="14" l="1"/>
  <c r="AE695" i="14"/>
  <c r="AF695" i="14" l="1"/>
  <c r="AE696" i="14"/>
  <c r="AF696" i="14" l="1"/>
  <c r="AE697" i="14"/>
  <c r="AF697" i="14" l="1"/>
  <c r="AE698" i="14"/>
  <c r="AF698" i="14" l="1"/>
  <c r="AE699" i="14"/>
  <c r="AF699" i="14" l="1"/>
  <c r="AE700" i="14"/>
  <c r="AF700" i="14" l="1"/>
  <c r="AE701" i="14"/>
  <c r="AF701" i="14" l="1"/>
  <c r="AE702" i="14"/>
  <c r="AF702" i="14" l="1"/>
  <c r="AE703" i="14"/>
  <c r="AF703" i="14" l="1"/>
  <c r="AE704" i="14"/>
  <c r="AF704" i="14" l="1"/>
  <c r="AE705" i="14"/>
  <c r="AF705" i="14" l="1"/>
  <c r="AE706" i="14"/>
  <c r="AF706" i="14" l="1"/>
  <c r="AE707" i="14"/>
  <c r="AF707" i="14" l="1"/>
  <c r="AE708" i="14"/>
  <c r="AF708" i="14" l="1"/>
  <c r="AE709" i="14"/>
  <c r="AF709" i="14" l="1"/>
  <c r="AE710" i="14"/>
  <c r="AF710" i="14" l="1"/>
  <c r="AE711" i="14"/>
  <c r="AF711" i="14" l="1"/>
  <c r="AE712" i="14"/>
  <c r="AF712" i="14" l="1"/>
  <c r="AE713" i="14"/>
  <c r="AF713" i="14" l="1"/>
  <c r="AE714" i="14"/>
  <c r="AF714" i="14" l="1"/>
  <c r="AE715" i="14"/>
  <c r="AF715" i="14" l="1"/>
  <c r="AE716" i="14"/>
  <c r="AF716" i="14" l="1"/>
  <c r="AE717" i="14"/>
  <c r="AF717" i="14" l="1"/>
  <c r="AE718" i="14"/>
  <c r="AF718" i="14" l="1"/>
  <c r="AE719" i="14"/>
  <c r="AF719" i="14" l="1"/>
  <c r="AE720" i="14"/>
  <c r="AF720" i="14" l="1"/>
  <c r="AE721" i="14"/>
  <c r="AF721" i="14" l="1"/>
  <c r="AE722" i="14"/>
  <c r="AF722" i="14" l="1"/>
  <c r="AE723" i="14"/>
  <c r="AF723" i="14" l="1"/>
  <c r="AE724" i="14"/>
  <c r="AF724" i="14" l="1"/>
  <c r="AE725" i="14"/>
  <c r="AF725" i="14" l="1"/>
  <c r="AE726" i="14"/>
  <c r="AF726" i="14" l="1"/>
  <c r="AE727" i="14"/>
  <c r="AF727" i="14" l="1"/>
  <c r="AE728" i="14"/>
  <c r="AF728" i="14" l="1"/>
  <c r="AE729" i="14"/>
  <c r="AF729" i="14" l="1"/>
  <c r="AE730" i="14"/>
  <c r="AF730" i="14" l="1"/>
  <c r="AE731" i="14"/>
  <c r="AF731" i="14" l="1"/>
  <c r="AE732" i="14"/>
  <c r="AF732" i="14" l="1"/>
  <c r="AE733" i="14"/>
  <c r="AF733" i="14" l="1"/>
  <c r="AE734" i="14"/>
  <c r="AF734" i="14" l="1"/>
  <c r="AE735" i="14"/>
  <c r="AF735" i="14" l="1"/>
  <c r="AE736" i="14"/>
  <c r="AF736" i="14" l="1"/>
  <c r="AE737" i="14"/>
  <c r="AF737" i="14" l="1"/>
  <c r="AE738" i="14"/>
  <c r="AF738" i="14" l="1"/>
  <c r="AE739" i="14"/>
  <c r="AF739" i="14" l="1"/>
  <c r="AE740" i="14"/>
  <c r="AF740" i="14" l="1"/>
  <c r="AE741" i="14"/>
  <c r="AF741" i="14" l="1"/>
  <c r="AE742" i="14"/>
  <c r="AF742" i="14" l="1"/>
  <c r="AE743" i="14"/>
  <c r="AF743" i="14" l="1"/>
  <c r="AE744" i="14"/>
  <c r="AF744" i="14" l="1"/>
  <c r="AE745" i="14"/>
  <c r="AF745" i="14" l="1"/>
  <c r="AE746" i="14"/>
  <c r="AF746" i="14" l="1"/>
  <c r="AE747" i="14"/>
  <c r="AF747" i="14" l="1"/>
  <c r="AE748" i="14"/>
  <c r="AF748" i="14" l="1"/>
  <c r="AE749" i="14"/>
  <c r="AF749" i="14" l="1"/>
  <c r="AE750" i="14"/>
  <c r="AF750" i="14" l="1"/>
  <c r="AE751" i="14"/>
  <c r="AF751" i="14" l="1"/>
  <c r="AE752" i="14"/>
  <c r="AF752" i="14" l="1"/>
  <c r="AE753" i="14"/>
  <c r="F859" i="14" l="1"/>
  <c r="G859" i="14" s="1"/>
  <c r="B932" i="14"/>
  <c r="G932" i="14" s="1"/>
  <c r="B287" i="14"/>
  <c r="G287" i="14" s="1"/>
  <c r="B888" i="14"/>
  <c r="G888" i="14" s="1"/>
  <c r="F564" i="14"/>
  <c r="G564" i="14" s="1"/>
  <c r="F540" i="14"/>
  <c r="G540" i="14" s="1"/>
  <c r="B832" i="14"/>
  <c r="G832" i="14" s="1"/>
  <c r="B841" i="14"/>
  <c r="G841" i="14" s="1"/>
  <c r="F902" i="14"/>
  <c r="G902" i="14" s="1"/>
  <c r="B13" i="14"/>
  <c r="B679" i="14"/>
  <c r="G679" i="14" s="1"/>
  <c r="AF753" i="14"/>
  <c r="AE754" i="14"/>
  <c r="G13" i="14" l="1"/>
  <c r="C778" i="14"/>
  <c r="C842" i="14"/>
  <c r="C357" i="14"/>
  <c r="C928" i="14"/>
  <c r="D595" i="14"/>
  <c r="D397" i="14"/>
  <c r="D531" i="14"/>
  <c r="D535" i="14"/>
  <c r="D343" i="14"/>
  <c r="D785" i="14"/>
  <c r="C236" i="14"/>
  <c r="D890" i="14"/>
  <c r="C447" i="14"/>
  <c r="C762" i="14"/>
  <c r="C40" i="14"/>
  <c r="D762" i="14"/>
  <c r="D356" i="14"/>
  <c r="D330" i="14"/>
  <c r="D939" i="14"/>
  <c r="C291" i="14"/>
  <c r="C234" i="14"/>
  <c r="C691" i="14"/>
  <c r="D997" i="14"/>
  <c r="D655" i="14"/>
  <c r="D426" i="14"/>
  <c r="D952" i="14"/>
  <c r="D36" i="14"/>
  <c r="D632" i="14"/>
  <c r="C549" i="14"/>
  <c r="D746" i="14"/>
  <c r="D198" i="14"/>
  <c r="C92" i="14"/>
  <c r="D257" i="14"/>
  <c r="D227" i="14"/>
  <c r="D524" i="14"/>
  <c r="C963" i="14"/>
  <c r="C86" i="14"/>
  <c r="D510" i="14"/>
  <c r="D279" i="14"/>
  <c r="D560" i="14"/>
  <c r="C724" i="14"/>
  <c r="C318" i="14"/>
  <c r="C918" i="14"/>
  <c r="C838" i="14"/>
  <c r="C341" i="14"/>
  <c r="D711" i="14"/>
  <c r="C616" i="14"/>
  <c r="D32" i="14"/>
  <c r="D224" i="14"/>
  <c r="D519" i="14"/>
  <c r="D969" i="14"/>
  <c r="D526" i="14"/>
  <c r="D789" i="14"/>
  <c r="D791" i="14"/>
  <c r="D324" i="14"/>
  <c r="D920" i="14"/>
  <c r="C44" i="14"/>
  <c r="C361" i="14"/>
  <c r="C951" i="14"/>
  <c r="C414" i="14"/>
  <c r="C242" i="14"/>
  <c r="D33" i="14"/>
  <c r="D362" i="14"/>
  <c r="D783" i="14"/>
  <c r="D992" i="14"/>
  <c r="C973" i="14"/>
  <c r="D117" i="14"/>
  <c r="C906" i="14"/>
  <c r="C54" i="14"/>
  <c r="D837" i="14"/>
  <c r="D190" i="14"/>
  <c r="D258" i="14"/>
  <c r="D159" i="14"/>
  <c r="D417" i="14"/>
  <c r="D565" i="14"/>
  <c r="D61" i="14"/>
  <c r="C135" i="14"/>
  <c r="C505" i="14"/>
  <c r="C649" i="14"/>
  <c r="D954" i="14"/>
  <c r="D810" i="14"/>
  <c r="D441" i="14"/>
  <c r="D93" i="14"/>
  <c r="C423" i="14"/>
  <c r="D139" i="14"/>
  <c r="C859" i="14"/>
  <c r="C370" i="14"/>
  <c r="D484" i="14"/>
  <c r="D490" i="14"/>
  <c r="D703" i="14"/>
  <c r="D63" i="14"/>
  <c r="D241" i="14"/>
  <c r="D421" i="14"/>
  <c r="C169" i="14"/>
  <c r="C504" i="14"/>
  <c r="C379" i="14"/>
  <c r="C232" i="14"/>
  <c r="C877" i="14"/>
  <c r="D384" i="14"/>
  <c r="D286" i="14"/>
  <c r="D713" i="14"/>
  <c r="D599" i="14"/>
  <c r="C254" i="14"/>
  <c r="D771" i="14"/>
  <c r="C35" i="14"/>
  <c r="D677" i="14"/>
  <c r="D146" i="14"/>
  <c r="D874" i="14"/>
  <c r="D834" i="14"/>
  <c r="D292" i="14"/>
  <c r="D888" i="14"/>
  <c r="C627" i="14"/>
  <c r="D329" i="14"/>
  <c r="D840" i="14"/>
  <c r="C121" i="14"/>
  <c r="D991" i="14"/>
  <c r="D168" i="14"/>
  <c r="D780" i="14"/>
  <c r="C187" i="14"/>
  <c r="C512" i="14"/>
  <c r="D930" i="14"/>
  <c r="D204" i="14"/>
  <c r="D816" i="14"/>
  <c r="C239" i="14"/>
  <c r="C26" i="14"/>
  <c r="C905" i="14"/>
  <c r="C582" i="14"/>
  <c r="C275" i="14"/>
  <c r="C847" i="14"/>
  <c r="C603" i="14"/>
  <c r="C515" i="14"/>
  <c r="C126" i="14"/>
  <c r="C502" i="14"/>
  <c r="C739" i="14"/>
  <c r="D515" i="14"/>
  <c r="D601" i="14"/>
  <c r="D761" i="14"/>
  <c r="D430" i="14"/>
  <c r="D407" i="14"/>
  <c r="D699" i="14"/>
  <c r="C300" i="14"/>
  <c r="D613" i="14"/>
  <c r="D254" i="14"/>
  <c r="D596" i="14"/>
  <c r="D392" i="14"/>
  <c r="D697" i="14"/>
  <c r="D917" i="14"/>
  <c r="D855" i="14"/>
  <c r="C938" i="14"/>
  <c r="C486" i="14"/>
  <c r="C826" i="14"/>
  <c r="D879" i="14"/>
  <c r="D161" i="14"/>
  <c r="D878" i="14"/>
  <c r="D687" i="14"/>
  <c r="D100" i="14"/>
  <c r="D696" i="14"/>
  <c r="D302" i="14"/>
  <c r="D549" i="14"/>
  <c r="D438" i="14"/>
  <c r="C188" i="14"/>
  <c r="D569" i="14"/>
  <c r="C856" i="14"/>
  <c r="C327" i="14"/>
  <c r="D964" i="14"/>
  <c r="D606" i="14"/>
  <c r="D460" i="14"/>
  <c r="C326" i="14"/>
  <c r="D575" i="14"/>
  <c r="D949" i="14"/>
  <c r="D319" i="14"/>
  <c r="C23" i="14"/>
  <c r="C451" i="14"/>
  <c r="C650" i="14"/>
  <c r="D511" i="14"/>
  <c r="D440" i="14"/>
  <c r="C707" i="14"/>
  <c r="C700" i="14"/>
  <c r="D339" i="14"/>
  <c r="D488" i="14"/>
  <c r="D742" i="14"/>
  <c r="D47" i="14"/>
  <c r="C412" i="14"/>
  <c r="D197" i="14"/>
  <c r="C144" i="14"/>
  <c r="D589" i="14"/>
  <c r="D838" i="14"/>
  <c r="C497" i="14"/>
  <c r="C693" i="14"/>
  <c r="C720" i="14"/>
  <c r="C511" i="14"/>
  <c r="D118" i="14"/>
  <c r="D956" i="14"/>
  <c r="D68" i="14"/>
  <c r="C87" i="14"/>
  <c r="D355" i="14"/>
  <c r="C581" i="14"/>
  <c r="D675" i="14"/>
  <c r="D590" i="14"/>
  <c r="D534" i="14"/>
  <c r="D288" i="14"/>
  <c r="D766" i="14"/>
  <c r="D749" i="14"/>
  <c r="D982" i="14"/>
  <c r="D857" i="14"/>
  <c r="D365" i="14"/>
  <c r="D573" i="14"/>
  <c r="D267" i="14"/>
  <c r="D191" i="14"/>
  <c r="C70" i="14"/>
  <c r="C197" i="14"/>
  <c r="C675" i="14"/>
  <c r="D665" i="14"/>
  <c r="D454" i="14"/>
  <c r="D895" i="14"/>
  <c r="D89" i="14"/>
  <c r="D157" i="14"/>
  <c r="C992" i="14"/>
  <c r="D806" i="14"/>
  <c r="D829" i="14"/>
  <c r="D209" i="14"/>
  <c r="C59" i="14"/>
  <c r="C365" i="14"/>
  <c r="D87" i="14"/>
  <c r="D688" i="14"/>
  <c r="C148" i="14"/>
  <c r="C853" i="14"/>
  <c r="C710" i="14"/>
  <c r="D726" i="14"/>
  <c r="C984" i="14"/>
  <c r="C415" i="14"/>
  <c r="D451" i="14"/>
  <c r="C716" i="14"/>
  <c r="C162" i="14"/>
  <c r="C864" i="14"/>
  <c r="C771" i="14"/>
  <c r="D805" i="14"/>
  <c r="D148" i="14"/>
  <c r="C596" i="14"/>
  <c r="C345" i="14"/>
  <c r="D337" i="14"/>
  <c r="D475" i="14"/>
  <c r="D609" i="14"/>
  <c r="C13" i="14"/>
  <c r="C222" i="14"/>
  <c r="D153" i="14"/>
  <c r="D495" i="14"/>
  <c r="D561" i="14"/>
  <c r="D690" i="14"/>
  <c r="D505" i="14"/>
  <c r="D953" i="14"/>
  <c r="D260" i="14"/>
  <c r="C279" i="14"/>
  <c r="C568" i="14"/>
  <c r="C755" i="14"/>
  <c r="D741" i="14"/>
  <c r="D461" i="14"/>
  <c r="D775" i="14"/>
  <c r="C585" i="14"/>
  <c r="D666" i="14"/>
  <c r="D95" i="14"/>
  <c r="D788" i="14"/>
  <c r="D244" i="14"/>
  <c r="C409" i="14"/>
  <c r="D38" i="14"/>
  <c r="C61" i="14"/>
  <c r="D23" i="14"/>
  <c r="D493" i="14"/>
  <c r="C406" i="14"/>
  <c r="C498" i="14"/>
  <c r="C668" i="14"/>
  <c r="C359" i="14"/>
  <c r="C539" i="14"/>
  <c r="D981" i="14"/>
  <c r="D906" i="14"/>
  <c r="D374" i="14"/>
  <c r="C233" i="14"/>
  <c r="C970" i="14"/>
  <c r="D989" i="14"/>
  <c r="D910" i="14"/>
  <c r="C777" i="14"/>
  <c r="C648" i="14"/>
  <c r="D474" i="14"/>
  <c r="D373" i="14"/>
  <c r="D657" i="14"/>
  <c r="D975" i="14"/>
  <c r="C201" i="14"/>
  <c r="C922" i="14"/>
  <c r="D745" i="14"/>
  <c r="D950" i="14"/>
  <c r="C425" i="14"/>
  <c r="C617" i="14"/>
  <c r="D869" i="14"/>
  <c r="D921" i="14"/>
  <c r="C550" i="14"/>
  <c r="C893" i="14"/>
  <c r="D533" i="14"/>
  <c r="D214" i="14"/>
  <c r="D502" i="14"/>
  <c r="D170" i="14"/>
  <c r="C231" i="14"/>
  <c r="D35" i="14"/>
  <c r="D652" i="14"/>
  <c r="C80" i="14"/>
  <c r="D825" i="14"/>
  <c r="D76" i="14"/>
  <c r="D923" i="14"/>
  <c r="C193" i="14"/>
  <c r="C608" i="14"/>
  <c r="C757" i="14"/>
  <c r="D80" i="14"/>
  <c r="C731" i="14"/>
  <c r="C190" i="14"/>
  <c r="D352" i="14"/>
  <c r="C664" i="14"/>
  <c r="C605" i="14"/>
  <c r="D476" i="14"/>
  <c r="D483" i="14"/>
  <c r="D581" i="14"/>
  <c r="D487" i="14"/>
  <c r="C28" i="14"/>
  <c r="D432" i="14"/>
  <c r="D179" i="14"/>
  <c r="D465" i="14"/>
  <c r="D34" i="14"/>
  <c r="C269" i="14"/>
  <c r="D270" i="14"/>
  <c r="D231" i="14"/>
  <c r="D512" i="14"/>
  <c r="D75" i="14"/>
  <c r="D477" i="14"/>
  <c r="D600" i="14"/>
  <c r="D798" i="14"/>
  <c r="D751" i="14"/>
  <c r="C69" i="14"/>
  <c r="D649" i="14"/>
  <c r="D658" i="14"/>
  <c r="C429" i="14"/>
  <c r="C212" i="14"/>
  <c r="D900" i="14"/>
  <c r="D875" i="14"/>
  <c r="D127" i="14"/>
  <c r="C227" i="14"/>
  <c r="C860" i="14"/>
  <c r="D514" i="14"/>
  <c r="D217" i="14"/>
  <c r="D29" i="14"/>
  <c r="D175" i="14"/>
  <c r="D290" i="14"/>
  <c r="D50" i="14"/>
  <c r="C311" i="14"/>
  <c r="D73" i="14"/>
  <c r="D916" i="14"/>
  <c r="D933" i="14"/>
  <c r="C578" i="14"/>
  <c r="D289" i="14"/>
  <c r="D442" i="14"/>
  <c r="D674" i="14"/>
  <c r="C111" i="14"/>
  <c r="C639" i="14"/>
  <c r="C882" i="14"/>
  <c r="D577" i="14"/>
  <c r="C750" i="14"/>
  <c r="D201" i="14"/>
  <c r="D238" i="14"/>
  <c r="C348" i="14"/>
  <c r="D101" i="14"/>
  <c r="C96" i="14"/>
  <c r="D653" i="14"/>
  <c r="D902" i="14"/>
  <c r="C81" i="14"/>
  <c r="C358" i="14"/>
  <c r="C751" i="14"/>
  <c r="C18" i="14"/>
  <c r="D338" i="14"/>
  <c r="C843" i="14"/>
  <c r="C764" i="14"/>
  <c r="D274" i="14"/>
  <c r="D776" i="14"/>
  <c r="C73" i="14"/>
  <c r="D405" i="14"/>
  <c r="D136" i="14"/>
  <c r="D748" i="14"/>
  <c r="C155" i="14"/>
  <c r="C480" i="14"/>
  <c r="D963" i="14"/>
  <c r="D172" i="14"/>
  <c r="D784" i="14"/>
  <c r="C207" i="14"/>
  <c r="C548" i="14"/>
  <c r="C937" i="14"/>
  <c r="C614" i="14"/>
  <c r="C634" i="14"/>
  <c r="D773" i="14"/>
  <c r="C432" i="14"/>
  <c r="C159" i="14"/>
  <c r="C88" i="14"/>
  <c r="C699" i="14"/>
  <c r="C344" i="14"/>
  <c r="C828" i="14"/>
  <c r="C781" i="14"/>
  <c r="D304" i="14"/>
  <c r="C378" i="14"/>
  <c r="D335" i="14"/>
  <c r="C405" i="14"/>
  <c r="D320" i="14"/>
  <c r="D21" i="14"/>
  <c r="C89" i="14"/>
  <c r="C171" i="14"/>
  <c r="D800" i="14"/>
  <c r="C726" i="14"/>
  <c r="C949" i="14"/>
  <c r="C210" i="14"/>
  <c r="D979" i="14"/>
  <c r="C56" i="14"/>
  <c r="C709" i="14"/>
  <c r="C555" i="14"/>
  <c r="D396" i="14"/>
  <c r="D572" i="14"/>
  <c r="D327" i="14"/>
  <c r="C985" i="14"/>
  <c r="D911" i="14"/>
  <c r="C817" i="14"/>
  <c r="D181" i="14"/>
  <c r="C443" i="14"/>
  <c r="C553" i="14"/>
  <c r="C43" i="14"/>
  <c r="C411" i="14"/>
  <c r="C782" i="14"/>
  <c r="D828" i="14"/>
  <c r="C218" i="14"/>
  <c r="C651" i="14"/>
  <c r="D174" i="14"/>
  <c r="C520" i="14"/>
  <c r="D162" i="14"/>
  <c r="C479" i="14"/>
  <c r="C723" i="14"/>
  <c r="D734" i="14"/>
  <c r="D948" i="14"/>
  <c r="D498" i="14"/>
  <c r="D638" i="14"/>
  <c r="D221" i="14"/>
  <c r="C172" i="14"/>
  <c r="C595" i="14"/>
  <c r="C394" i="14"/>
  <c r="D735" i="14"/>
  <c r="D246" i="14"/>
  <c r="C168" i="14"/>
  <c r="D446" i="14"/>
  <c r="D794" i="14"/>
  <c r="D287" i="14"/>
  <c r="D409" i="14"/>
  <c r="D455" i="14"/>
  <c r="D607" i="14"/>
  <c r="D325" i="14"/>
  <c r="D321" i="14"/>
  <c r="C448" i="14"/>
  <c r="D501" i="14"/>
  <c r="D406" i="14"/>
  <c r="C175" i="14"/>
  <c r="C561" i="14"/>
  <c r="C571" i="14"/>
  <c r="C216" i="14"/>
  <c r="C997" i="14"/>
  <c r="C721" i="14"/>
  <c r="D918" i="14"/>
  <c r="C347" i="14"/>
  <c r="C686" i="14"/>
  <c r="C149" i="14"/>
  <c r="C827" i="14"/>
  <c r="D847" i="14"/>
  <c r="D79" i="14"/>
  <c r="D478" i="14"/>
  <c r="C428" i="14"/>
  <c r="D637" i="14"/>
  <c r="D229" i="14"/>
  <c r="D865" i="14"/>
  <c r="C160" i="14"/>
  <c r="C445" i="14"/>
  <c r="D567" i="14"/>
  <c r="D269" i="14"/>
  <c r="D817" i="14"/>
  <c r="C228" i="14"/>
  <c r="C513" i="14"/>
  <c r="C876" i="14"/>
  <c r="C677" i="14"/>
  <c r="D836" i="14"/>
  <c r="C656" i="14"/>
  <c r="C745" i="14"/>
  <c r="D988" i="14"/>
  <c r="D353" i="14"/>
  <c r="C140" i="14"/>
  <c r="D410" i="14"/>
  <c r="D259" i="14"/>
  <c r="D556" i="14"/>
  <c r="C788" i="14"/>
  <c r="C214" i="14"/>
  <c r="D681" i="14"/>
  <c r="D311" i="14"/>
  <c r="C104" i="14"/>
  <c r="D617" i="14"/>
  <c r="D856" i="14"/>
  <c r="C376" i="14"/>
  <c r="D957" i="14"/>
  <c r="C714" i="14"/>
  <c r="D698" i="14"/>
  <c r="D846" i="14"/>
  <c r="D169" i="14"/>
  <c r="D901" i="14"/>
  <c r="C129" i="14"/>
  <c r="D336" i="14"/>
  <c r="C925" i="14"/>
  <c r="D961" i="14"/>
  <c r="D664" i="14"/>
  <c r="C421" i="14"/>
  <c r="D750" i="14"/>
  <c r="D439" i="14"/>
  <c r="D966" i="14"/>
  <c r="C954" i="14"/>
  <c r="C108" i="14"/>
  <c r="C98" i="14"/>
  <c r="D787" i="14"/>
  <c r="C971" i="14"/>
  <c r="D663" i="14"/>
  <c r="D642" i="14"/>
  <c r="D40" i="14"/>
  <c r="C125" i="14"/>
  <c r="D109" i="14"/>
  <c r="C452" i="14"/>
  <c r="C430" i="14"/>
  <c r="C802" i="14"/>
  <c r="C955" i="14"/>
  <c r="C398" i="14"/>
  <c r="C816" i="14"/>
  <c r="D744" i="14"/>
  <c r="D538" i="14"/>
  <c r="D732" i="14"/>
  <c r="C464" i="14"/>
  <c r="D156" i="14"/>
  <c r="C676" i="14"/>
  <c r="C166" i="14"/>
  <c r="C966" i="14"/>
  <c r="C178" i="14"/>
  <c r="C533" i="14"/>
  <c r="D437" i="14"/>
  <c r="C808" i="14"/>
  <c r="D96" i="14"/>
  <c r="D126" i="14"/>
  <c r="D571" i="14"/>
  <c r="C364" i="14"/>
  <c r="D701" i="14"/>
  <c r="D133" i="14"/>
  <c r="D929" i="14"/>
  <c r="C112" i="14"/>
  <c r="C397" i="14"/>
  <c r="D631" i="14"/>
  <c r="D173" i="14"/>
  <c r="D881" i="14"/>
  <c r="C180" i="14"/>
  <c r="C465" i="14"/>
  <c r="C924" i="14"/>
  <c r="C725" i="14"/>
  <c r="D185" i="14"/>
  <c r="D88" i="14"/>
  <c r="D349" i="14"/>
  <c r="C500" i="14"/>
  <c r="D213" i="14"/>
  <c r="C754" i="14"/>
  <c r="D662" i="14"/>
  <c r="C980" i="14"/>
  <c r="C506" i="14"/>
  <c r="D521" i="14"/>
  <c r="D234" i="14"/>
  <c r="C202" i="14"/>
  <c r="C898" i="14"/>
  <c r="C857" i="14"/>
  <c r="C163" i="14"/>
  <c r="D130" i="14"/>
  <c r="C496" i="14"/>
  <c r="C223" i="14"/>
  <c r="C245" i="14"/>
  <c r="C763" i="14"/>
  <c r="C106" i="14"/>
  <c r="C910" i="14"/>
  <c r="C556" i="14"/>
  <c r="C885" i="14"/>
  <c r="C184" i="14"/>
  <c r="C156" i="14"/>
  <c r="C967" i="14"/>
  <c r="D608" i="14"/>
  <c r="C662" i="14"/>
  <c r="C901" i="14"/>
  <c r="C542" i="14"/>
  <c r="D915" i="14"/>
  <c r="C301" i="14"/>
  <c r="C179" i="14"/>
  <c r="D543" i="14"/>
  <c r="D135" i="14"/>
  <c r="C801" i="14"/>
  <c r="C437" i="14"/>
  <c r="C560" i="14"/>
  <c r="C773" i="14"/>
  <c r="C737" i="14"/>
  <c r="C588" i="14"/>
  <c r="D400" i="14"/>
  <c r="C173" i="14"/>
  <c r="C395" i="14"/>
  <c r="C809" i="14"/>
  <c r="D968" i="14"/>
  <c r="C665" i="14"/>
  <c r="C819" i="14"/>
  <c r="D803" i="14"/>
  <c r="D389" i="14"/>
  <c r="D536" i="14"/>
  <c r="C307" i="14"/>
  <c r="C810" i="14"/>
  <c r="D936" i="14"/>
  <c r="C643" i="14"/>
  <c r="D65" i="14"/>
  <c r="D671" i="14"/>
  <c r="D30" i="14"/>
  <c r="D285" i="14"/>
  <c r="C518" i="14"/>
  <c r="D635" i="14"/>
  <c r="D743" i="14"/>
  <c r="D358" i="14"/>
  <c r="C123" i="14"/>
  <c r="C493" i="14"/>
  <c r="D151" i="14"/>
  <c r="D752" i="14"/>
  <c r="C276" i="14"/>
  <c r="C708" i="14"/>
  <c r="C646" i="14"/>
  <c r="D644" i="14"/>
  <c r="C920" i="14"/>
  <c r="C526" i="14"/>
  <c r="D53" i="14"/>
  <c r="C996" i="14"/>
  <c r="C797" i="14"/>
  <c r="D598" i="14"/>
  <c r="C688" i="14"/>
  <c r="D570" i="14"/>
  <c r="D276" i="14"/>
  <c r="C71" i="14"/>
  <c r="C441" i="14"/>
  <c r="D110" i="14"/>
  <c r="D81" i="14"/>
  <c r="D523" i="14"/>
  <c r="C77" i="14"/>
  <c r="D661" i="14"/>
  <c r="D39" i="14"/>
  <c r="D177" i="14"/>
  <c r="D464" i="14"/>
  <c r="C145" i="14"/>
  <c r="C422" i="14"/>
  <c r="C687" i="14"/>
  <c r="C482" i="14"/>
  <c r="D272" i="14"/>
  <c r="C604" i="14"/>
  <c r="C601" i="14"/>
  <c r="D905" i="14"/>
  <c r="D904" i="14"/>
  <c r="C153" i="14"/>
  <c r="D951" i="14"/>
  <c r="D200" i="14"/>
  <c r="D812" i="14"/>
  <c r="C219" i="14"/>
  <c r="C544" i="14"/>
  <c r="D887" i="14"/>
  <c r="C547" i="14"/>
  <c r="C380" i="14"/>
  <c r="C820" i="14"/>
  <c r="D375" i="14"/>
  <c r="C55" i="14"/>
  <c r="D134" i="14"/>
  <c r="C849" i="14"/>
  <c r="D983" i="14"/>
  <c r="D377" i="14"/>
  <c r="D629" i="14"/>
  <c r="C492" i="14"/>
  <c r="D943" i="14"/>
  <c r="D223" i="14"/>
  <c r="D69" i="14"/>
  <c r="D305" i="14"/>
  <c r="C181" i="14"/>
  <c r="C768" i="14"/>
  <c r="D722" i="14"/>
  <c r="C381" i="14"/>
  <c r="C191" i="14"/>
  <c r="C953" i="14"/>
  <c r="C152" i="14"/>
  <c r="C873" i="14"/>
  <c r="D180" i="14"/>
  <c r="C377" i="14"/>
  <c r="D491" i="14"/>
  <c r="C29" i="14"/>
  <c r="D97" i="14"/>
  <c r="D539" i="14"/>
  <c r="C374" i="14"/>
  <c r="C530" i="14"/>
  <c r="D700" i="14"/>
  <c r="C851" i="14"/>
  <c r="C769" i="14"/>
  <c r="C711" i="14"/>
  <c r="C375" i="14"/>
  <c r="D385" i="14"/>
  <c r="C862" i="14"/>
  <c r="D152" i="14"/>
  <c r="C564" i="14"/>
  <c r="C818" i="14"/>
  <c r="C964" i="14"/>
  <c r="C625" i="14"/>
  <c r="D489" i="14"/>
  <c r="C31" i="14"/>
  <c r="C747" i="14"/>
  <c r="C974" i="14"/>
  <c r="D273" i="14"/>
  <c r="D984" i="14"/>
  <c r="C574" i="14"/>
  <c r="C287" i="14"/>
  <c r="D833" i="14"/>
  <c r="C712" i="14"/>
  <c r="D960" i="14"/>
  <c r="D297" i="14"/>
  <c r="C941" i="14"/>
  <c r="D621" i="14"/>
  <c r="C489" i="14"/>
  <c r="C761" i="14"/>
  <c r="D298" i="14"/>
  <c r="C752" i="14"/>
  <c r="D578" i="14"/>
  <c r="D345" i="14"/>
  <c r="D104" i="14"/>
  <c r="C189" i="14"/>
  <c r="D351" i="14"/>
  <c r="C516" i="14"/>
  <c r="C346" i="14"/>
  <c r="C674" i="14"/>
  <c r="C911" i="14"/>
  <c r="C270" i="14"/>
  <c r="C746" i="14"/>
  <c r="D872" i="14"/>
  <c r="D971" i="14"/>
  <c r="D796" i="14"/>
  <c r="C528" i="14"/>
  <c r="D220" i="14"/>
  <c r="C255" i="14"/>
  <c r="C889" i="14"/>
  <c r="C211" i="14"/>
  <c r="C584" i="14"/>
  <c r="D308" i="14"/>
  <c r="C457" i="14"/>
  <c r="D122" i="14"/>
  <c r="C93" i="14"/>
  <c r="D55" i="14"/>
  <c r="D592" i="14"/>
  <c r="C15" i="14"/>
  <c r="C356" i="14"/>
  <c r="C886" i="14"/>
  <c r="C806" i="14"/>
  <c r="C552" i="14"/>
  <c r="C262" i="14"/>
  <c r="C64" i="14"/>
  <c r="D942" i="14"/>
  <c r="C645" i="14"/>
  <c r="C952" i="14"/>
  <c r="C402" i="14"/>
  <c r="C891" i="14"/>
  <c r="C670" i="14"/>
  <c r="D868" i="14"/>
  <c r="C685" i="14"/>
  <c r="D725" i="14"/>
  <c r="C934" i="14"/>
  <c r="C408" i="14"/>
  <c r="C456" i="14"/>
  <c r="D550" i="14"/>
  <c r="D907" i="14"/>
  <c r="D205" i="14"/>
  <c r="C620" i="14"/>
  <c r="C939" i="14"/>
  <c r="C753" i="14"/>
  <c r="D192" i="14"/>
  <c r="C845" i="14"/>
  <c r="D249" i="14"/>
  <c r="C942" i="14"/>
  <c r="D998" i="14"/>
  <c r="C235" i="14"/>
  <c r="C147" i="14"/>
  <c r="D64" i="14"/>
  <c r="D277" i="14"/>
  <c r="C871" i="14"/>
  <c r="D852" i="14"/>
  <c r="D793" i="14"/>
  <c r="D815" i="14"/>
  <c r="C215" i="14"/>
  <c r="C944" i="14"/>
  <c r="D86" i="14"/>
  <c r="C730" i="14"/>
  <c r="D31" i="14"/>
  <c r="D116" i="14"/>
  <c r="D296" i="14"/>
  <c r="C313" i="14"/>
  <c r="D479" i="14"/>
  <c r="C369" i="14"/>
  <c r="C424" i="14"/>
  <c r="C483" i="14"/>
  <c r="C894" i="14"/>
  <c r="C42" i="14"/>
  <c r="C803" i="14"/>
  <c r="D763" i="14"/>
  <c r="D807" i="14"/>
  <c r="D924" i="14"/>
  <c r="C309" i="14"/>
  <c r="D13" i="14"/>
  <c r="C100" i="14"/>
  <c r="C130" i="14"/>
  <c r="D457" i="14"/>
  <c r="D391" i="14"/>
  <c r="D46" i="14"/>
  <c r="D401" i="14"/>
  <c r="C221" i="14"/>
  <c r="D183" i="14"/>
  <c r="D78" i="14"/>
  <c r="C943" i="14"/>
  <c r="C206" i="14"/>
  <c r="D150" i="14"/>
  <c r="C790" i="14"/>
  <c r="C351" i="14"/>
  <c r="C846" i="14"/>
  <c r="C570" i="14"/>
  <c r="C324" i="14"/>
  <c r="C527" i="14"/>
  <c r="D508" i="14"/>
  <c r="C999" i="14"/>
  <c r="C546" i="14"/>
  <c r="C599" i="14"/>
  <c r="D628" i="14"/>
  <c r="D19" i="14"/>
  <c r="C177" i="14"/>
  <c r="D790" i="14"/>
  <c r="C250" i="14"/>
  <c r="C296" i="14"/>
  <c r="D326" i="14"/>
  <c r="D886" i="14"/>
  <c r="C892" i="14"/>
  <c r="D841" i="14"/>
  <c r="C666" i="14"/>
  <c r="D129" i="14"/>
  <c r="D914" i="14"/>
  <c r="C636" i="14"/>
  <c r="D861" i="14"/>
  <c r="D913" i="14"/>
  <c r="D962" i="14"/>
  <c r="D378" i="14"/>
  <c r="D547" i="14"/>
  <c r="C615" i="14"/>
  <c r="D922" i="14"/>
  <c r="D120" i="14"/>
  <c r="D987" i="14"/>
  <c r="C164" i="14"/>
  <c r="C940" i="14"/>
  <c r="D811" i="14"/>
  <c r="D705" i="14"/>
  <c r="D26" i="14"/>
  <c r="D659" i="14"/>
  <c r="D486" i="14"/>
  <c r="C285" i="14"/>
  <c r="D247" i="14"/>
  <c r="C947" i="14"/>
  <c r="C950" i="14"/>
  <c r="C469" i="14"/>
  <c r="C107" i="14"/>
  <c r="C435" i="14"/>
  <c r="C494" i="14"/>
  <c r="C766" i="14"/>
  <c r="C765" i="14"/>
  <c r="C353" i="14"/>
  <c r="C442" i="14"/>
  <c r="D764" i="14"/>
  <c r="C672" i="14"/>
  <c r="C833" i="14"/>
  <c r="C734" i="14"/>
  <c r="D818" i="14"/>
  <c r="D275" i="14"/>
  <c r="C372" i="14"/>
  <c r="C786" i="14"/>
  <c r="C861" i="14"/>
  <c r="D583" i="14"/>
  <c r="C436" i="14"/>
  <c r="D48" i="14"/>
  <c r="D208" i="14"/>
  <c r="C798" i="14"/>
  <c r="C110" i="14"/>
  <c r="C697" i="14"/>
  <c r="C896" i="14"/>
  <c r="D858" i="14"/>
  <c r="D255" i="14"/>
  <c r="C976" i="14"/>
  <c r="D940" i="14"/>
  <c r="C659" i="14"/>
  <c r="D889" i="14"/>
  <c r="D568" i="14"/>
  <c r="D716" i="14"/>
  <c r="D522" i="14"/>
  <c r="D753" i="14"/>
  <c r="C969" i="14"/>
  <c r="D187" i="14"/>
  <c r="C453" i="14"/>
  <c r="C807" i="14"/>
  <c r="D499" i="14"/>
  <c r="D456" i="14"/>
  <c r="C124" i="14"/>
  <c r="D243" i="14"/>
  <c r="C899" i="14"/>
  <c r="D585" i="14"/>
  <c r="D576" i="14"/>
  <c r="C339" i="14"/>
  <c r="C822" i="14"/>
  <c r="D797" i="14"/>
  <c r="D639" i="14"/>
  <c r="D450" i="14"/>
  <c r="D615" i="14"/>
  <c r="D843" i="14"/>
  <c r="C461" i="14"/>
  <c r="D236" i="14"/>
  <c r="D848" i="14"/>
  <c r="C271" i="14"/>
  <c r="C154" i="14"/>
  <c r="C872" i="14"/>
  <c r="C499" i="14"/>
  <c r="C302" i="14"/>
  <c r="D765" i="14"/>
  <c r="C349" i="14"/>
  <c r="C132" i="14"/>
  <c r="C995" i="14"/>
  <c r="C619" i="14"/>
  <c r="C37" i="14"/>
  <c r="C993" i="14"/>
  <c r="C701" i="14"/>
  <c r="D283" i="14"/>
  <c r="C297" i="14"/>
  <c r="D892" i="14"/>
  <c r="D641" i="14"/>
  <c r="D299" i="14"/>
  <c r="D27" i="14"/>
  <c r="C396" i="14"/>
  <c r="C128" i="14"/>
  <c r="D859" i="14"/>
  <c r="C837" i="14"/>
  <c r="C732" i="14"/>
  <c r="C478" i="14"/>
  <c r="D420" i="14"/>
  <c r="D390" i="14"/>
  <c r="C280" i="14"/>
  <c r="D612" i="14"/>
  <c r="C185" i="14"/>
  <c r="D866" i="14"/>
  <c r="C772" i="14"/>
  <c r="C878" i="14"/>
  <c r="D727" i="14"/>
  <c r="D145" i="14"/>
  <c r="C534" i="14"/>
  <c r="D434" i="14"/>
  <c r="D404" i="14"/>
  <c r="C572" i="14"/>
  <c r="D605" i="14"/>
  <c r="C470" i="14"/>
  <c r="D98" i="14"/>
  <c r="D154" i="14"/>
  <c r="C839" i="14"/>
  <c r="D588" i="14"/>
  <c r="C158" i="14"/>
  <c r="D990" i="14"/>
  <c r="C844" i="14"/>
  <c r="D403" i="14"/>
  <c r="C382" i="14"/>
  <c r="C865" i="14"/>
  <c r="D740" i="14"/>
  <c r="D368" i="14"/>
  <c r="C247" i="14"/>
  <c r="D115" i="14"/>
  <c r="D265" i="14"/>
  <c r="D579" i="14"/>
  <c r="D428" i="14"/>
  <c r="C273" i="14"/>
  <c r="C535" i="14"/>
  <c r="D123" i="14"/>
  <c r="C487" i="14"/>
  <c r="D721" i="14"/>
  <c r="D786" i="14"/>
  <c r="D994" i="14"/>
  <c r="C330" i="14"/>
  <c r="D45" i="14"/>
  <c r="C116" i="14"/>
  <c r="C988" i="14"/>
  <c r="D1000" i="14"/>
  <c r="D718" i="14"/>
  <c r="D516" i="14"/>
  <c r="C660" i="14"/>
  <c r="C399" i="14"/>
  <c r="C21" i="14"/>
  <c r="D959" i="14"/>
  <c r="C794" i="14"/>
  <c r="C22" i="14"/>
  <c r="C366" i="14"/>
  <c r="C565" i="14"/>
  <c r="D849" i="14"/>
  <c r="C331" i="14"/>
  <c r="D472" i="14"/>
  <c r="C407" i="14"/>
  <c r="D707" i="14"/>
  <c r="D202" i="14"/>
  <c r="D545" i="14"/>
  <c r="C444" i="14"/>
  <c r="C931" i="14"/>
  <c r="D927" i="14"/>
  <c r="D317" i="14"/>
  <c r="C433" i="14"/>
  <c r="C323" i="14"/>
  <c r="C57" i="14"/>
  <c r="D768" i="14"/>
  <c r="C741" i="14"/>
  <c r="D999" i="14"/>
  <c r="D195" i="14"/>
  <c r="D361" i="14"/>
  <c r="C230" i="14"/>
  <c r="C332" i="14"/>
  <c r="C796" i="14"/>
  <c r="D683" i="14"/>
  <c r="C426" i="14"/>
  <c r="D188" i="14"/>
  <c r="D309" i="14"/>
  <c r="D835" i="14"/>
  <c r="D17" i="14"/>
  <c r="C567" i="14"/>
  <c r="D485" i="14"/>
  <c r="C229" i="14"/>
  <c r="C403" i="14"/>
  <c r="C915" i="14"/>
  <c r="D719" i="14"/>
  <c r="D553" i="14"/>
  <c r="C329" i="14"/>
  <c r="D74" i="14"/>
  <c r="C760" i="14"/>
  <c r="C200" i="14"/>
  <c r="D194" i="14"/>
  <c r="C137" i="14"/>
  <c r="C203" i="14"/>
  <c r="D832" i="14"/>
  <c r="C554" i="14"/>
  <c r="D993" i="14"/>
  <c r="D54" i="14"/>
  <c r="D341" i="14"/>
  <c r="D795" i="14"/>
  <c r="C529" i="14"/>
  <c r="C661" i="14"/>
  <c r="D37" i="14"/>
  <c r="C417" i="14"/>
  <c r="C658" i="14"/>
  <c r="C900" i="14"/>
  <c r="C897" i="14"/>
  <c r="D821" i="14"/>
  <c r="C929" i="14"/>
  <c r="D679" i="14"/>
  <c r="C196" i="14"/>
  <c r="C683" i="14"/>
  <c r="C704" i="14"/>
  <c r="C715" i="14"/>
  <c r="D935" i="14"/>
  <c r="C706" i="14"/>
  <c r="D83" i="14"/>
  <c r="D972" i="14"/>
  <c r="D196" i="14"/>
  <c r="D931" i="14"/>
  <c r="D894" i="14"/>
  <c r="C325" i="14"/>
  <c r="D759" i="14"/>
  <c r="C767" i="14"/>
  <c r="C919" i="14"/>
  <c r="D18" i="14"/>
  <c r="C134" i="14"/>
  <c r="C32" i="14"/>
  <c r="D974" i="14"/>
  <c r="C805" i="14"/>
  <c r="C198" i="14"/>
  <c r="C48" i="14"/>
  <c r="D958" i="14"/>
  <c r="C789" i="14"/>
  <c r="C38" i="14"/>
  <c r="C780" i="14"/>
  <c r="C256" i="14"/>
  <c r="D142" i="14"/>
  <c r="C680" i="14"/>
  <c r="C895" i="14"/>
  <c r="D262" i="14"/>
  <c r="C543" i="14"/>
  <c r="C583" i="14"/>
  <c r="D686" i="14"/>
  <c r="C690" i="14"/>
  <c r="D388" i="14"/>
  <c r="C812" i="14"/>
  <c r="C455" i="14"/>
  <c r="C945" i="14"/>
  <c r="C787" i="14"/>
  <c r="D334" i="14"/>
  <c r="D347" i="14"/>
  <c r="C509" i="14"/>
  <c r="D640" i="14"/>
  <c r="C800" i="14"/>
  <c r="D862" i="14"/>
  <c r="D239" i="14"/>
  <c r="D739" i="14"/>
  <c r="D758" i="14"/>
  <c r="D445" i="14"/>
  <c r="C308" i="14"/>
  <c r="C597" i="14"/>
  <c r="D266" i="14"/>
  <c r="C576" i="14"/>
  <c r="C728" i="14"/>
  <c r="D804" i="14"/>
  <c r="D225" i="14"/>
  <c r="C328" i="14"/>
  <c r="C835" i="14"/>
  <c r="C192" i="14"/>
  <c r="C888" i="14"/>
  <c r="C718" i="14"/>
  <c r="D689" i="14"/>
  <c r="C841" i="14"/>
  <c r="C624" i="14"/>
  <c r="C562" i="14"/>
  <c r="C907" i="14"/>
  <c r="D908" i="14"/>
  <c r="D582" i="14"/>
  <c r="D462" i="14"/>
  <c r="C881" i="14"/>
  <c r="D496" i="14"/>
  <c r="C122" i="14"/>
  <c r="C75" i="14"/>
  <c r="D431" i="14"/>
  <c r="C815" i="14"/>
  <c r="D429" i="14"/>
  <c r="C316" i="14"/>
  <c r="D673" i="14"/>
  <c r="D447" i="14"/>
  <c r="C1001" i="14"/>
  <c r="D422" i="14"/>
  <c r="C226" i="14"/>
  <c r="D435" i="14"/>
  <c r="C598" i="14"/>
  <c r="C740" i="14"/>
  <c r="C322" i="14"/>
  <c r="C908" i="14"/>
  <c r="C109" i="14"/>
  <c r="C419" i="14"/>
  <c r="D676" i="14"/>
  <c r="C647" i="14"/>
  <c r="D132" i="14"/>
  <c r="D532" i="14"/>
  <c r="C611" i="14"/>
  <c r="D303" i="14"/>
  <c r="C251" i="14"/>
  <c r="C983" i="14"/>
  <c r="D348" i="14"/>
  <c r="C932" i="14"/>
  <c r="D331" i="14"/>
  <c r="C521" i="14"/>
  <c r="C267" i="14"/>
  <c r="D342" i="14"/>
  <c r="C623" i="14"/>
  <c r="C644" i="14"/>
  <c r="C249" i="14"/>
  <c r="D386" i="14"/>
  <c r="D364" i="14"/>
  <c r="C684" i="14"/>
  <c r="D394" i="14"/>
  <c r="C836" i="14"/>
  <c r="C621" i="14"/>
  <c r="D357" i="14"/>
  <c r="D212" i="14"/>
  <c r="D251" i="14"/>
  <c r="D155" i="14"/>
  <c r="D594" i="14"/>
  <c r="C563" i="14"/>
  <c r="C277" i="14"/>
  <c r="D138" i="14"/>
  <c r="D955" i="14"/>
  <c r="D14" i="14"/>
  <c r="D937" i="14"/>
  <c r="C912" i="14"/>
  <c r="D885" i="14"/>
  <c r="C440" i="14"/>
  <c r="D944" i="14"/>
  <c r="D94" i="14"/>
  <c r="D268" i="14"/>
  <c r="C933" i="14"/>
  <c r="D779" i="14"/>
  <c r="C577" i="14"/>
  <c r="D831" i="14"/>
  <c r="C525" i="14"/>
  <c r="C742" i="14"/>
  <c r="C744" i="14"/>
  <c r="C811" i="14"/>
  <c r="C39" i="14"/>
  <c r="C962" i="14"/>
  <c r="C333" i="14"/>
  <c r="C367" i="14"/>
  <c r="D271" i="14"/>
  <c r="D809" i="14"/>
  <c r="D757" i="14"/>
  <c r="D650" i="14"/>
  <c r="D645" i="14"/>
  <c r="D210" i="14"/>
  <c r="C774" i="14"/>
  <c r="D654" i="14"/>
  <c r="C434" i="14"/>
  <c r="D411" i="14"/>
  <c r="D360" i="14"/>
  <c r="C475" i="14"/>
  <c r="C633" i="14"/>
  <c r="D424" i="14"/>
  <c r="D517" i="14"/>
  <c r="C298" i="14"/>
  <c r="C237" i="14"/>
  <c r="C319" i="14"/>
  <c r="D24" i="14"/>
  <c r="D211" i="14"/>
  <c r="C259" i="14"/>
  <c r="D340" i="14"/>
  <c r="C66" i="14"/>
  <c r="C566" i="14"/>
  <c r="C698" i="14"/>
  <c r="D967" i="14"/>
  <c r="D346" i="14"/>
  <c r="D480" i="14"/>
  <c r="D880" i="14"/>
  <c r="C959" i="14"/>
  <c r="C733" i="14"/>
  <c r="D934" i="14"/>
  <c r="D414" i="14"/>
  <c r="D896" i="14"/>
  <c r="C410" i="14"/>
  <c r="D189" i="14"/>
  <c r="D294" i="14"/>
  <c r="D300" i="14"/>
  <c r="C34" i="14"/>
  <c r="D897" i="14"/>
  <c r="C120" i="14"/>
  <c r="D682" i="14"/>
  <c r="C580" i="14"/>
  <c r="D819" i="14"/>
  <c r="D333" i="14"/>
  <c r="C640" i="14"/>
  <c r="C635" i="14"/>
  <c r="C713" i="14"/>
  <c r="D160" i="14"/>
  <c r="D706" i="14"/>
  <c r="C384" i="14"/>
  <c r="C139" i="14"/>
  <c r="C863" i="14"/>
  <c r="C427" i="14"/>
  <c r="C870" i="14"/>
  <c r="D313" i="14"/>
  <c r="D808" i="14"/>
  <c r="D672" i="14"/>
  <c r="D372" i="14"/>
  <c r="D252" i="14"/>
  <c r="D242" i="14"/>
  <c r="C880" i="14"/>
  <c r="D801" i="14"/>
  <c r="C628" i="14"/>
  <c r="C503" i="14"/>
  <c r="D184" i="14"/>
  <c r="C90" i="14"/>
  <c r="C103" i="14"/>
  <c r="D301" i="14"/>
  <c r="C855" i="14"/>
  <c r="D695" i="14"/>
  <c r="D884" i="14"/>
  <c r="D769" i="14"/>
  <c r="C194" i="14"/>
  <c r="C24" i="14"/>
  <c r="D509" i="14"/>
  <c r="C759" i="14"/>
  <c r="D25" i="14"/>
  <c r="D630" i="14"/>
  <c r="C946" i="14"/>
  <c r="D557" i="14"/>
  <c r="D738" i="14"/>
  <c r="D458" i="14"/>
  <c r="C401" i="14"/>
  <c r="D147" i="14"/>
  <c r="C831" i="14"/>
  <c r="C883" i="14"/>
  <c r="C119" i="14"/>
  <c r="D647" i="14"/>
  <c r="C522" i="14"/>
  <c r="C19" i="14"/>
  <c r="C538" i="14"/>
  <c r="D985" i="14"/>
  <c r="D473" i="14"/>
  <c r="C613" i="14"/>
  <c r="D222" i="14"/>
  <c r="C352" i="14"/>
  <c r="C736" i="14"/>
  <c r="C450" i="14"/>
  <c r="D548" i="14"/>
  <c r="D90" i="14"/>
  <c r="D143" i="14"/>
  <c r="D692" i="14"/>
  <c r="C792" i="14"/>
  <c r="D57" i="14"/>
  <c r="C25" i="14"/>
  <c r="C523" i="14"/>
  <c r="C243" i="14"/>
  <c r="D56" i="14"/>
  <c r="C17" i="14"/>
  <c r="D702" i="14"/>
  <c r="C30" i="14"/>
  <c r="C791" i="14"/>
  <c r="D932" i="14"/>
  <c r="C294" i="14"/>
  <c r="C682" i="14"/>
  <c r="C840" i="14"/>
  <c r="D814" i="14"/>
  <c r="D693" i="14"/>
  <c r="D232" i="14"/>
  <c r="C462" i="14"/>
  <c r="D125" i="14"/>
  <c r="D527" i="14"/>
  <c r="C887" i="14"/>
  <c r="D264" i="14"/>
  <c r="C52" i="14"/>
  <c r="D463" i="14"/>
  <c r="C118" i="14"/>
  <c r="D41" i="14"/>
  <c r="C260" i="14"/>
  <c r="C252" i="14"/>
  <c r="D614" i="14"/>
  <c r="D714" i="14"/>
  <c r="D164" i="14"/>
  <c r="D395" i="14"/>
  <c r="C174" i="14"/>
  <c r="C524" i="14"/>
  <c r="D580" i="14"/>
  <c r="D710" i="14"/>
  <c r="C589" i="14"/>
  <c r="C558" i="14"/>
  <c r="C258" i="14"/>
  <c r="D877" i="14"/>
  <c r="D965" i="14"/>
  <c r="D237" i="14"/>
  <c r="D369" i="14"/>
  <c r="D203" i="14"/>
  <c r="D767" i="14"/>
  <c r="C281" i="14"/>
  <c r="C956" i="14"/>
  <c r="D219" i="14"/>
  <c r="D946" i="14"/>
  <c r="C532" i="14"/>
  <c r="C692" i="14"/>
  <c r="C804" i="14"/>
  <c r="D587" i="14"/>
  <c r="D49" i="14"/>
  <c r="C735" i="14"/>
  <c r="D124" i="14"/>
  <c r="D256" i="14"/>
  <c r="D240" i="14"/>
  <c r="D729" i="14"/>
  <c r="D433" i="14"/>
  <c r="C299" i="14"/>
  <c r="C278" i="14"/>
  <c r="C472" i="14"/>
  <c r="C606" i="14"/>
  <c r="C829" i="14"/>
  <c r="C874" i="14"/>
  <c r="D226" i="14"/>
  <c r="C909" i="14"/>
  <c r="D827" i="14"/>
  <c r="D99" i="14"/>
  <c r="D140" i="14"/>
  <c r="C629" i="14"/>
  <c r="D733" i="14"/>
  <c r="C82" i="14"/>
  <c r="D354" i="14"/>
  <c r="C150" i="14"/>
  <c r="C935" i="14"/>
  <c r="C170" i="14"/>
  <c r="D111" i="14"/>
  <c r="D261" i="14"/>
  <c r="D546" i="14"/>
  <c r="D436" i="14"/>
  <c r="C438" i="14"/>
  <c r="C466" i="14"/>
  <c r="D978" i="14"/>
  <c r="C824" i="14"/>
  <c r="C689" i="14"/>
  <c r="C631" i="14"/>
  <c r="C830" i="14"/>
  <c r="D928" i="14"/>
  <c r="C702" i="14"/>
  <c r="D165" i="14"/>
  <c r="C481" i="14"/>
  <c r="C722" i="14"/>
  <c r="C884" i="14"/>
  <c r="C305" i="14"/>
  <c r="D216" i="14"/>
  <c r="C446" i="14"/>
  <c r="D399" i="14"/>
  <c r="D799" i="14"/>
  <c r="D792" i="14"/>
  <c r="D398" i="14"/>
  <c r="D233" i="14"/>
  <c r="D366" i="14"/>
  <c r="C821" i="14"/>
  <c r="D171" i="14"/>
  <c r="C383" i="14"/>
  <c r="D867" i="14"/>
  <c r="C205" i="14"/>
  <c r="D137" i="14"/>
  <c r="C310" i="14"/>
  <c r="D537" i="14"/>
  <c r="D131" i="14"/>
  <c r="D504" i="14"/>
  <c r="C289" i="14"/>
  <c r="C295" i="14"/>
  <c r="C965" i="14"/>
  <c r="C51" i="14"/>
  <c r="C510" i="14"/>
  <c r="D263" i="14"/>
  <c r="D412" i="14"/>
  <c r="D842" i="14"/>
  <c r="D772" i="14"/>
  <c r="C131" i="14"/>
  <c r="C653" i="14"/>
  <c r="C265" i="14"/>
  <c r="C756" i="14"/>
  <c r="D492" i="14"/>
  <c r="C343" i="14"/>
  <c r="C657" i="14"/>
  <c r="C622" i="14"/>
  <c r="D591" i="14"/>
  <c r="C204" i="14"/>
  <c r="D604" i="14"/>
  <c r="D926" i="14"/>
  <c r="D731" i="14"/>
  <c r="C696" i="14"/>
  <c r="C981" i="14"/>
  <c r="D520" i="14"/>
  <c r="D530" i="14"/>
  <c r="C240" i="14"/>
  <c r="D383" i="14"/>
  <c r="C420" i="14"/>
  <c r="C246" i="14"/>
  <c r="D603" i="14"/>
  <c r="C62" i="14"/>
  <c r="C142" i="14"/>
  <c r="D416" i="14"/>
  <c r="C315" i="14"/>
  <c r="C977" i="14"/>
  <c r="D754" i="14"/>
  <c r="D774" i="14"/>
  <c r="C337" i="14"/>
  <c r="D854" i="14"/>
  <c r="D708" i="14"/>
  <c r="D66" i="14"/>
  <c r="C890" i="14"/>
  <c r="D899" i="14"/>
  <c r="D376" i="14"/>
  <c r="C336" i="14"/>
  <c r="C388" i="14"/>
  <c r="C866" i="14"/>
  <c r="C531" i="14"/>
  <c r="D482" i="14"/>
  <c r="D452" i="14"/>
  <c r="C400" i="14"/>
  <c r="D646" i="14"/>
  <c r="C495" i="14"/>
  <c r="D453" i="14"/>
  <c r="D830" i="14"/>
  <c r="C304" i="14"/>
  <c r="D625" i="14"/>
  <c r="C678" i="14"/>
  <c r="D199" i="14"/>
  <c r="D387" i="14"/>
  <c r="C695" i="14"/>
  <c r="D986" i="14"/>
  <c r="D544" i="14"/>
  <c r="C575" i="14"/>
  <c r="C823" i="14"/>
  <c r="D408" i="14"/>
  <c r="D314" i="14"/>
  <c r="D253" i="14"/>
  <c r="C151" i="14"/>
  <c r="D826" i="14"/>
  <c r="D723" i="14"/>
  <c r="C58" i="14"/>
  <c r="C557" i="14"/>
  <c r="C282" i="14"/>
  <c r="C848" i="14"/>
  <c r="C50" i="14"/>
  <c r="D898" i="14"/>
  <c r="D51" i="14"/>
  <c r="C141" i="14"/>
  <c r="D350" i="14"/>
  <c r="C290" i="14"/>
  <c r="D468" i="14"/>
  <c r="D871" i="14"/>
  <c r="C157" i="14"/>
  <c r="D912" i="14"/>
  <c r="C607" i="14"/>
  <c r="D651" i="14"/>
  <c r="C609" i="14"/>
  <c r="D381" i="14"/>
  <c r="D144" i="14"/>
  <c r="D507" i="14"/>
  <c r="C642" i="14"/>
  <c r="D467" i="14"/>
  <c r="C477" i="14"/>
  <c r="C641" i="14"/>
  <c r="D112" i="14"/>
  <c r="C793" i="14"/>
  <c r="D471" i="14"/>
  <c r="D574" i="14"/>
  <c r="C681" i="14"/>
  <c r="D634" i="14"/>
  <c r="D563" i="14"/>
  <c r="D163" i="14"/>
  <c r="C272" i="14"/>
  <c r="D667" i="14"/>
  <c r="C536" i="14"/>
  <c r="D207" i="14"/>
  <c r="C334" i="14"/>
  <c r="C758" i="14"/>
  <c r="C220" i="14"/>
  <c r="D44" i="14"/>
  <c r="D84" i="14"/>
  <c r="C590" i="14"/>
  <c r="C916" i="14"/>
  <c r="D566" i="14"/>
  <c r="C587" i="14"/>
  <c r="C850" i="14"/>
  <c r="C626" i="14"/>
  <c r="C389" i="14"/>
  <c r="D70" i="14"/>
  <c r="D318" i="14"/>
  <c r="D919" i="14"/>
  <c r="D459" i="14"/>
  <c r="D624" i="14"/>
  <c r="D344" i="14"/>
  <c r="C679" i="14"/>
  <c r="D616" i="14"/>
  <c r="D694" i="14"/>
  <c r="D704" i="14"/>
  <c r="C694" i="14"/>
  <c r="D52" i="14"/>
  <c r="D427" i="14"/>
  <c r="D108" i="14"/>
  <c r="C799" i="14"/>
  <c r="D22" i="14"/>
  <c r="C926" i="14"/>
  <c r="C519" i="14"/>
  <c r="D418" i="14"/>
  <c r="C652" i="14"/>
  <c r="D166" i="14"/>
  <c r="C517" i="14"/>
  <c r="C68" i="14"/>
  <c r="D728" i="14"/>
  <c r="C991" i="14"/>
  <c r="D503" i="14"/>
  <c r="D444" i="14"/>
  <c r="C340" i="14"/>
  <c r="C610" i="14"/>
  <c r="D938" i="14"/>
  <c r="C217" i="14"/>
  <c r="C74" i="14"/>
  <c r="C36" i="14"/>
  <c r="D16" i="14"/>
  <c r="C183" i="14"/>
  <c r="C283" i="14"/>
  <c r="D306" i="14"/>
  <c r="D670" i="14"/>
  <c r="C391" i="14"/>
  <c r="C654" i="14"/>
  <c r="C393" i="14"/>
  <c r="C936" i="14"/>
  <c r="C136" i="14"/>
  <c r="C783" i="14"/>
  <c r="C749" i="14"/>
  <c r="C717" i="14"/>
  <c r="C703" i="14"/>
  <c r="C618" i="14"/>
  <c r="C350" i="14"/>
  <c r="D419" i="14"/>
  <c r="C785" i="14"/>
  <c r="C449" i="14"/>
  <c r="C60" i="14"/>
  <c r="D528" i="14"/>
  <c r="D736" i="14"/>
  <c r="C199" i="14"/>
  <c r="D382" i="14"/>
  <c r="D755" i="14"/>
  <c r="D552" i="14"/>
  <c r="D709" i="14"/>
  <c r="D370" i="14"/>
  <c r="C317" i="14"/>
  <c r="D851" i="14"/>
  <c r="D193" i="14"/>
  <c r="D627" i="14"/>
  <c r="D909" i="14"/>
  <c r="C363" i="14"/>
  <c r="D500" i="14"/>
  <c r="C244" i="14"/>
  <c r="D402" i="14"/>
  <c r="D315" i="14"/>
  <c r="C418" i="14"/>
  <c r="C1000" i="14"/>
  <c r="C413" i="14"/>
  <c r="C293" i="14"/>
  <c r="C602" i="14"/>
  <c r="D864" i="14"/>
  <c r="C213" i="14"/>
  <c r="C832" i="14"/>
  <c r="C989" i="14"/>
  <c r="C47" i="14"/>
  <c r="C814" i="14"/>
  <c r="D312" i="14"/>
  <c r="C385" i="14"/>
  <c r="C930" i="14"/>
  <c r="D328" i="14"/>
  <c r="D717" i="14"/>
  <c r="C834" i="14"/>
  <c r="D839" i="14"/>
  <c r="C990" i="14"/>
  <c r="C592" i="14"/>
  <c r="C312" i="14"/>
  <c r="D781" i="14"/>
  <c r="C20" i="14"/>
  <c r="D756" i="14"/>
  <c r="D643" i="14"/>
  <c r="C292" i="14"/>
  <c r="D724" i="14"/>
  <c r="D363" i="14"/>
  <c r="D656" i="14"/>
  <c r="C303" i="14"/>
  <c r="D564" i="14"/>
  <c r="C719" i="14"/>
  <c r="D280" i="14"/>
  <c r="C545" i="14"/>
  <c r="D782" i="14"/>
  <c r="D529" i="14"/>
  <c r="D105" i="14"/>
  <c r="D976" i="14"/>
  <c r="C182" i="14"/>
  <c r="D20" i="14"/>
  <c r="D623" i="14"/>
  <c r="C117" i="14"/>
  <c r="D72" i="14"/>
  <c r="C33" i="14"/>
  <c r="C868" i="14"/>
  <c r="D371" i="14"/>
  <c r="D562" i="14"/>
  <c r="C78" i="14"/>
  <c r="D737" i="14"/>
  <c r="C454" i="14"/>
  <c r="D182" i="14"/>
  <c r="D215" i="14"/>
  <c r="C306" i="14"/>
  <c r="C501" i="14"/>
  <c r="D250" i="14"/>
  <c r="C209" i="14"/>
  <c r="D813" i="14"/>
  <c r="D977" i="14"/>
  <c r="C386" i="14"/>
  <c r="C72" i="14"/>
  <c r="D611" i="14"/>
  <c r="C362" i="14"/>
  <c r="C637" i="14"/>
  <c r="D43" i="14"/>
  <c r="C133" i="14"/>
  <c r="D245" i="14"/>
  <c r="C729" i="14"/>
  <c r="D584" i="14"/>
  <c r="C743" i="14"/>
  <c r="D28" i="14"/>
  <c r="D323" i="14"/>
  <c r="C320" i="14"/>
  <c r="C115" i="14"/>
  <c r="C673" i="14"/>
  <c r="C476" i="14"/>
  <c r="D597" i="14"/>
  <c r="D633" i="14"/>
  <c r="D593" i="14"/>
  <c r="D281" i="14"/>
  <c r="C875" i="14"/>
  <c r="D178" i="14"/>
  <c r="C261" i="14"/>
  <c r="D42" i="14"/>
  <c r="C257" i="14"/>
  <c r="D540" i="14"/>
  <c r="C460" i="14"/>
  <c r="C671" i="14"/>
  <c r="D235" i="14"/>
  <c r="D15" i="14"/>
  <c r="C368" i="14"/>
  <c r="C960" i="14"/>
  <c r="C825" i="14"/>
  <c r="C65" i="14"/>
  <c r="D380" i="14"/>
  <c r="C471" i="14"/>
  <c r="D113" i="14"/>
  <c r="C114" i="14"/>
  <c r="D995" i="14"/>
  <c r="D149" i="14"/>
  <c r="C224" i="14"/>
  <c r="D1001" i="14"/>
  <c r="C79" i="14"/>
  <c r="C975" i="14"/>
  <c r="C241" i="14"/>
  <c r="D379" i="14"/>
  <c r="D228" i="14"/>
  <c r="D497" i="14"/>
  <c r="D92" i="14"/>
  <c r="D684" i="14"/>
  <c r="D423" i="14"/>
  <c r="C76" i="14"/>
  <c r="D882" i="14"/>
  <c r="D448" i="14"/>
  <c r="D715" i="14"/>
  <c r="D669" i="14"/>
  <c r="C923" i="14"/>
  <c r="D119" i="14"/>
  <c r="C913" i="14"/>
  <c r="C903" i="14"/>
  <c r="C921" i="14"/>
  <c r="D777" i="14"/>
  <c r="C268" i="14"/>
  <c r="C551" i="14"/>
  <c r="C63" i="14"/>
  <c r="C321" i="14"/>
  <c r="D107" i="14"/>
  <c r="D778" i="14"/>
  <c r="C485" i="14"/>
  <c r="C266" i="14"/>
  <c r="C593" i="14"/>
  <c r="D883" i="14"/>
  <c r="C468" i="14"/>
  <c r="C186" i="14"/>
  <c r="C143" i="14"/>
  <c r="C779" i="14"/>
  <c r="D941" i="14"/>
  <c r="C355" i="14"/>
  <c r="C354" i="14"/>
  <c r="C957" i="14"/>
  <c r="D106" i="14"/>
  <c r="C371" i="14"/>
  <c r="D542" i="14"/>
  <c r="D284" i="14"/>
  <c r="C927" i="14"/>
  <c r="D802" i="14"/>
  <c r="C49" i="14"/>
  <c r="C705" i="14"/>
  <c r="C600" i="14"/>
  <c r="C264" i="14"/>
  <c r="D282" i="14"/>
  <c r="D747" i="14"/>
  <c r="C904" i="14"/>
  <c r="D980" i="14"/>
  <c r="C360" i="14"/>
  <c r="D541" i="14"/>
  <c r="C948" i="14"/>
  <c r="C274" i="14"/>
  <c r="D648" i="14"/>
  <c r="C473" i="14"/>
  <c r="D128" i="14"/>
  <c r="C655" i="14"/>
  <c r="C663" i="14"/>
  <c r="D158" i="14"/>
  <c r="C46" i="14"/>
  <c r="C491" i="14"/>
  <c r="C127" i="14"/>
  <c r="D720" i="14"/>
  <c r="D636" i="14"/>
  <c r="C508" i="14"/>
  <c r="C982" i="14"/>
  <c r="C968" i="14"/>
  <c r="C94" i="14"/>
  <c r="D820" i="14"/>
  <c r="D278" i="14"/>
  <c r="D730" i="14"/>
  <c r="D141" i="14"/>
  <c r="C286" i="14"/>
  <c r="C392" i="14"/>
  <c r="C387" i="14"/>
  <c r="C514" i="14"/>
  <c r="D114" i="14"/>
  <c r="C667" i="14"/>
  <c r="D295" i="14"/>
  <c r="C176" i="14"/>
  <c r="D678" i="14"/>
  <c r="C85" i="14"/>
  <c r="D610" i="14"/>
  <c r="D559" i="14"/>
  <c r="C586" i="14"/>
  <c r="D973" i="14"/>
  <c r="C795" i="14"/>
  <c r="D167" i="14"/>
  <c r="C263" i="14"/>
  <c r="D470" i="14"/>
  <c r="D626" i="14"/>
  <c r="C961" i="14"/>
  <c r="C102" i="14"/>
  <c r="D481" i="14"/>
  <c r="D367" i="14"/>
  <c r="C540" i="14"/>
  <c r="C632" i="14"/>
  <c r="C775" i="14"/>
  <c r="D293" i="14"/>
  <c r="D513" i="14"/>
  <c r="D291" i="14"/>
  <c r="C986" i="14"/>
  <c r="C238" i="14"/>
  <c r="D322" i="14"/>
  <c r="D691" i="14"/>
  <c r="D970" i="14"/>
  <c r="C638" i="14"/>
  <c r="D660" i="14"/>
  <c r="D415" i="14"/>
  <c r="C167" i="14"/>
  <c r="C994" i="14"/>
  <c r="C335" i="14"/>
  <c r="D925" i="14"/>
  <c r="D62" i="14"/>
  <c r="D469" i="14"/>
  <c r="D770" i="14"/>
  <c r="D844" i="14"/>
  <c r="C248" i="14"/>
  <c r="C852" i="14"/>
  <c r="D850" i="14"/>
  <c r="D525" i="14"/>
  <c r="C105" i="14"/>
  <c r="D824" i="14"/>
  <c r="C84" i="14"/>
  <c r="C474" i="14"/>
  <c r="C288" i="14"/>
  <c r="D186" i="14"/>
  <c r="C91" i="14"/>
  <c r="C431" i="14"/>
  <c r="C373" i="14"/>
  <c r="C591" i="14"/>
  <c r="D71" i="14"/>
  <c r="C165" i="14"/>
  <c r="C559" i="14"/>
  <c r="C253" i="14"/>
  <c r="C195" i="14"/>
  <c r="D893" i="14"/>
  <c r="C314" i="14"/>
  <c r="C537" i="14"/>
  <c r="C225" i="14"/>
  <c r="D466" i="14"/>
  <c r="C45" i="14"/>
  <c r="D393" i="14"/>
  <c r="D853" i="14"/>
  <c r="D506" i="14"/>
  <c r="D558" i="14"/>
  <c r="C101" i="14"/>
  <c r="C630" i="14"/>
  <c r="C97" i="14"/>
  <c r="C770" i="14"/>
  <c r="C53" i="14"/>
  <c r="C459" i="14"/>
  <c r="D870" i="14"/>
  <c r="C463" i="14"/>
  <c r="C902" i="14"/>
  <c r="D218" i="14"/>
  <c r="D77" i="14"/>
  <c r="D494" i="14"/>
  <c r="D85" i="14"/>
  <c r="C972" i="14"/>
  <c r="C99" i="14"/>
  <c r="C16" i="14"/>
  <c r="C669" i="14"/>
  <c r="C879" i="14"/>
  <c r="D206" i="14"/>
  <c r="D903" i="14"/>
  <c r="D60" i="14"/>
  <c r="D91" i="14"/>
  <c r="D310" i="14"/>
  <c r="D551" i="14"/>
  <c r="C404" i="14"/>
  <c r="D620" i="14"/>
  <c r="D443" i="14"/>
  <c r="C67" i="14"/>
  <c r="D59" i="14"/>
  <c r="D230" i="14"/>
  <c r="D332" i="14"/>
  <c r="C612" i="14"/>
  <c r="D945" i="14"/>
  <c r="C484" i="14"/>
  <c r="C338" i="14"/>
  <c r="C14" i="14"/>
  <c r="D82" i="14"/>
  <c r="C569" i="14"/>
  <c r="D860" i="14"/>
  <c r="D891" i="14"/>
  <c r="C979" i="14"/>
  <c r="C813" i="14"/>
  <c r="D555" i="14"/>
  <c r="C41" i="14"/>
  <c r="D618" i="14"/>
  <c r="C27" i="14"/>
  <c r="D996" i="14"/>
  <c r="C458" i="14"/>
  <c r="D619" i="14"/>
  <c r="D712" i="14"/>
  <c r="C342" i="14"/>
  <c r="D176" i="14"/>
  <c r="C573" i="14"/>
  <c r="C917" i="14"/>
  <c r="C416" i="14"/>
  <c r="D863" i="14"/>
  <c r="C490" i="14"/>
  <c r="C784" i="14"/>
  <c r="C998" i="14"/>
  <c r="D102" i="14"/>
  <c r="D622" i="14"/>
  <c r="D845" i="14"/>
  <c r="C958" i="14"/>
  <c r="D248" i="14"/>
  <c r="C748" i="14"/>
  <c r="D67" i="14"/>
  <c r="C987" i="14"/>
  <c r="C439" i="14"/>
  <c r="D518" i="14"/>
  <c r="D822" i="14"/>
  <c r="C541" i="14"/>
  <c r="C738" i="14"/>
  <c r="D425" i="14"/>
  <c r="D554" i="14"/>
  <c r="D680" i="14"/>
  <c r="D947" i="14"/>
  <c r="C467" i="14"/>
  <c r="C83" i="14"/>
  <c r="C208" i="14"/>
  <c r="C507" i="14"/>
  <c r="C161" i="14"/>
  <c r="C978" i="14"/>
  <c r="C594" i="14"/>
  <c r="C146" i="14"/>
  <c r="D359" i="14"/>
  <c r="D449" i="14"/>
  <c r="D413" i="14"/>
  <c r="C854" i="14"/>
  <c r="D602" i="14"/>
  <c r="D873" i="14"/>
  <c r="C113" i="14"/>
  <c r="D685" i="14"/>
  <c r="D668" i="14"/>
  <c r="D316" i="14"/>
  <c r="C776" i="14"/>
  <c r="D103" i="14"/>
  <c r="D876" i="14"/>
  <c r="C390" i="14"/>
  <c r="D760" i="14"/>
  <c r="D307" i="14"/>
  <c r="D121" i="14"/>
  <c r="C858" i="14"/>
  <c r="C867" i="14"/>
  <c r="C284" i="14"/>
  <c r="C869" i="14"/>
  <c r="C488" i="14"/>
  <c r="C727" i="14"/>
  <c r="C579" i="14"/>
  <c r="D586" i="14"/>
  <c r="D58" i="14"/>
  <c r="D823" i="14"/>
  <c r="C138" i="14"/>
  <c r="C95" i="14"/>
  <c r="C914" i="14"/>
  <c r="AF754" i="14"/>
  <c r="AE755" i="14"/>
  <c r="I361" i="14" l="1"/>
  <c r="H532" i="14"/>
  <c r="I633" i="14"/>
  <c r="I348" i="14"/>
  <c r="I493" i="14"/>
  <c r="H184" i="14"/>
  <c r="I913" i="14"/>
  <c r="I532" i="14"/>
  <c r="I26" i="14"/>
  <c r="H548" i="14"/>
  <c r="I234" i="14"/>
  <c r="I20" i="14"/>
  <c r="H789" i="14"/>
  <c r="H721" i="14"/>
  <c r="H827" i="14"/>
  <c r="I277" i="14"/>
  <c r="H951" i="14"/>
  <c r="I255" i="14"/>
  <c r="I962" i="14"/>
  <c r="H357" i="14"/>
  <c r="I744" i="14"/>
  <c r="I665" i="14"/>
  <c r="I158" i="14"/>
  <c r="I842" i="14"/>
  <c r="H230" i="14"/>
  <c r="H442" i="14"/>
  <c r="I220" i="14"/>
  <c r="I201" i="14"/>
  <c r="I308" i="14"/>
  <c r="I894" i="14"/>
  <c r="H800" i="14"/>
  <c r="H349" i="14"/>
  <c r="I295" i="14"/>
  <c r="H287" i="14"/>
  <c r="I390" i="14"/>
  <c r="I190" i="14"/>
  <c r="H392" i="14"/>
  <c r="I149" i="14"/>
  <c r="H740" i="14"/>
  <c r="I108" i="14"/>
  <c r="I118" i="14"/>
  <c r="I999" i="14"/>
  <c r="H514" i="14"/>
  <c r="I210" i="14"/>
  <c r="H893" i="14"/>
  <c r="H233" i="14"/>
  <c r="I133" i="14"/>
  <c r="H191" i="14"/>
  <c r="I567" i="14"/>
  <c r="I315" i="14"/>
  <c r="I600" i="14"/>
  <c r="H232" i="14"/>
  <c r="I495" i="14"/>
  <c r="H114" i="14"/>
  <c r="I645" i="14"/>
  <c r="H585" i="14"/>
  <c r="I373" i="14"/>
  <c r="H519" i="14"/>
  <c r="H476" i="14"/>
  <c r="H253" i="14"/>
  <c r="H550" i="14"/>
  <c r="I755" i="14"/>
  <c r="I824" i="14"/>
  <c r="I483" i="14"/>
  <c r="H285" i="14"/>
  <c r="H813" i="14"/>
  <c r="I768" i="14"/>
  <c r="H411" i="14"/>
  <c r="I397" i="14"/>
  <c r="I650" i="14"/>
  <c r="H503" i="14"/>
  <c r="I429" i="14"/>
  <c r="I630" i="14"/>
  <c r="H805" i="14"/>
  <c r="I767" i="14"/>
  <c r="H122" i="14"/>
  <c r="I109" i="14"/>
  <c r="I674" i="14"/>
  <c r="I232" i="14"/>
  <c r="I964" i="14"/>
  <c r="I356" i="14"/>
  <c r="I448" i="14"/>
  <c r="I103" i="14"/>
  <c r="H337" i="14"/>
  <c r="I591" i="14"/>
  <c r="H989" i="14"/>
  <c r="H200" i="14"/>
  <c r="I760" i="14"/>
  <c r="I484" i="14"/>
  <c r="H724" i="14"/>
  <c r="I243" i="14"/>
  <c r="I360" i="14"/>
  <c r="I250" i="14"/>
  <c r="H202" i="14"/>
  <c r="I520" i="14"/>
  <c r="I565" i="14"/>
  <c r="I934" i="14"/>
  <c r="I258" i="14"/>
  <c r="I627" i="14"/>
  <c r="I169" i="14"/>
  <c r="H194" i="14"/>
  <c r="H482" i="14"/>
  <c r="H621" i="14"/>
  <c r="H71" i="14"/>
  <c r="I643" i="14"/>
  <c r="I976" i="14"/>
  <c r="H655" i="14"/>
  <c r="H667" i="14"/>
  <c r="H794" i="14"/>
  <c r="I603" i="14"/>
  <c r="I800" i="14"/>
  <c r="H513" i="14"/>
  <c r="H865" i="14"/>
  <c r="I252" i="14"/>
  <c r="H981" i="14"/>
  <c r="H78" i="14"/>
  <c r="I695" i="14"/>
  <c r="H20" i="14"/>
  <c r="I465" i="14"/>
  <c r="I102" i="14"/>
  <c r="I682" i="14"/>
  <c r="H271" i="14"/>
  <c r="H334" i="14"/>
  <c r="I63" i="14"/>
  <c r="I301" i="14"/>
  <c r="I112" i="14"/>
  <c r="H610" i="14"/>
  <c r="I865" i="14"/>
  <c r="I972" i="14"/>
  <c r="I879" i="14"/>
  <c r="H335" i="14"/>
  <c r="I764" i="14"/>
  <c r="H466" i="14"/>
  <c r="H806" i="14"/>
  <c r="I456" i="14"/>
  <c r="H568" i="14"/>
  <c r="H288" i="14"/>
  <c r="I725" i="14"/>
  <c r="I525" i="14"/>
  <c r="H340" i="14"/>
  <c r="I227" i="14"/>
  <c r="H469" i="14"/>
  <c r="I113" i="14"/>
  <c r="I657" i="14"/>
  <c r="H636" i="14"/>
  <c r="I916" i="14"/>
  <c r="H433" i="14"/>
  <c r="H174" i="14"/>
  <c r="H646" i="14"/>
  <c r="H100" i="14"/>
  <c r="I355" i="14"/>
  <c r="I860" i="14"/>
  <c r="H963" i="14"/>
  <c r="I29" i="14"/>
  <c r="I409" i="14"/>
  <c r="H506" i="14"/>
  <c r="I176" i="14"/>
  <c r="I347" i="14"/>
  <c r="I387" i="14"/>
  <c r="H657" i="14"/>
  <c r="H882" i="14"/>
  <c r="I872" i="14"/>
  <c r="I488" i="14"/>
  <c r="H888" i="14"/>
  <c r="I558" i="14"/>
  <c r="H205" i="14"/>
  <c r="H187" i="14"/>
  <c r="H338" i="14"/>
  <c r="H244" i="14"/>
  <c r="I615" i="14"/>
  <c r="I909" i="14"/>
  <c r="H720" i="14"/>
  <c r="I798" i="14"/>
  <c r="I44" i="14"/>
  <c r="I806" i="14"/>
  <c r="H493" i="14"/>
  <c r="H447" i="14"/>
  <c r="I247" i="14"/>
  <c r="I175" i="14"/>
  <c r="H286" i="14"/>
  <c r="H70" i="14"/>
  <c r="H45" i="14"/>
  <c r="I935" i="14"/>
  <c r="H922" i="14"/>
  <c r="I837" i="14"/>
  <c r="H367" i="14"/>
  <c r="H719" i="14"/>
  <c r="H420" i="14"/>
  <c r="H949" i="14"/>
  <c r="I722" i="14"/>
  <c r="H715" i="14"/>
  <c r="H408" i="14"/>
  <c r="I435" i="14"/>
  <c r="H634" i="14"/>
  <c r="I30" i="14"/>
  <c r="I309" i="14"/>
  <c r="I216" i="14"/>
  <c r="I384" i="14"/>
  <c r="I703" i="14"/>
  <c r="H945" i="14"/>
  <c r="I425" i="14"/>
  <c r="H74" i="14"/>
  <c r="I485" i="14"/>
  <c r="H381" i="14"/>
  <c r="I333" i="14"/>
  <c r="H523" i="14"/>
  <c r="I732" i="14"/>
  <c r="I891" i="14"/>
  <c r="I145" i="14"/>
  <c r="H927" i="14"/>
  <c r="H584" i="14"/>
  <c r="H504" i="14"/>
  <c r="I658" i="14"/>
  <c r="I212" i="14"/>
  <c r="H825" i="14"/>
  <c r="I408" i="14"/>
  <c r="I763" i="14"/>
  <c r="H936" i="14"/>
  <c r="H870" i="14"/>
  <c r="I228" i="14"/>
  <c r="H311" i="14"/>
  <c r="H876" i="14"/>
  <c r="I620" i="14"/>
  <c r="H32" i="14"/>
  <c r="H666" i="14"/>
  <c r="I74" i="14"/>
  <c r="H427" i="14"/>
  <c r="I624" i="14"/>
  <c r="I339" i="14"/>
  <c r="H660" i="14"/>
  <c r="H618" i="14"/>
  <c r="I53" i="14"/>
  <c r="I351" i="14"/>
  <c r="I834" i="14"/>
  <c r="H396" i="14"/>
  <c r="H474" i="14"/>
  <c r="I88" i="14"/>
  <c r="H644" i="14"/>
  <c r="I813" i="14"/>
  <c r="H676" i="14"/>
  <c r="H958" i="14"/>
  <c r="I506" i="14"/>
  <c r="I833" i="14"/>
  <c r="I496" i="14"/>
  <c r="I330" i="14"/>
  <c r="H959" i="14"/>
  <c r="H397" i="14"/>
  <c r="H904" i="14"/>
  <c r="H73" i="14"/>
  <c r="I150" i="14"/>
  <c r="I205" i="14"/>
  <c r="I540" i="14"/>
  <c r="H138" i="14"/>
  <c r="I167" i="14"/>
  <c r="I497" i="14"/>
  <c r="H235" i="14"/>
  <c r="I368" i="14"/>
  <c r="H452" i="14"/>
  <c r="H877" i="14"/>
  <c r="H961" i="14"/>
  <c r="I801" i="14"/>
  <c r="H56" i="14"/>
  <c r="H224" i="14"/>
  <c r="I155" i="14"/>
  <c r="H488" i="14"/>
  <c r="H190" i="14"/>
  <c r="I955" i="14"/>
  <c r="H596" i="14"/>
  <c r="H237" i="14"/>
  <c r="I580" i="14"/>
  <c r="I889" i="14"/>
  <c r="I114" i="14"/>
  <c r="I461" i="14"/>
  <c r="I518" i="14"/>
  <c r="I334" i="14"/>
  <c r="H948" i="14"/>
  <c r="I836" i="14"/>
  <c r="H326" i="14"/>
  <c r="H215" i="14"/>
  <c r="H797" i="14"/>
  <c r="H875" i="14"/>
  <c r="I262" i="14"/>
  <c r="H394" i="14"/>
  <c r="H790" i="14"/>
  <c r="H284" i="14"/>
  <c r="I727" i="14"/>
  <c r="I105" i="14"/>
  <c r="H786" i="14"/>
  <c r="I731" i="14"/>
  <c r="H831" i="14"/>
  <c r="I313" i="14"/>
  <c r="H754" i="14"/>
  <c r="H375" i="14"/>
  <c r="H180" i="14"/>
  <c r="H687" i="14"/>
  <c r="H770" i="14"/>
  <c r="H821" i="14"/>
  <c r="H251" i="14"/>
  <c r="I156" i="14"/>
  <c r="H999" i="14"/>
  <c r="H361" i="14"/>
  <c r="I780" i="14"/>
  <c r="H608" i="14"/>
  <c r="I561" i="14"/>
  <c r="H137" i="14"/>
  <c r="H193" i="14"/>
  <c r="I938" i="14"/>
  <c r="H135" i="14"/>
  <c r="I391" i="14"/>
  <c r="H108" i="14"/>
  <c r="I370" i="14"/>
  <c r="I977" i="14"/>
  <c r="I269" i="14"/>
  <c r="I560" i="14"/>
  <c r="I380" i="14"/>
  <c r="I466" i="14"/>
  <c r="I13" i="14"/>
  <c r="I421" i="14"/>
  <c r="H329" i="14"/>
  <c r="H642" i="14"/>
  <c r="H165" i="14"/>
  <c r="H753" i="14"/>
  <c r="I797" i="14"/>
  <c r="H201" i="14"/>
  <c r="I500" i="14"/>
  <c r="H29" i="14"/>
  <c r="H704" i="14"/>
  <c r="I807" i="14"/>
  <c r="I428" i="14"/>
  <c r="I715" i="14"/>
  <c r="I116" i="14"/>
  <c r="I719" i="14"/>
  <c r="I473" i="14"/>
  <c r="I449" i="14"/>
  <c r="I291" i="14"/>
  <c r="H356" i="14"/>
  <c r="I377" i="14"/>
  <c r="I136" i="14"/>
  <c r="H802" i="14"/>
  <c r="H778" i="14"/>
  <c r="I51" i="14"/>
  <c r="I199" i="14"/>
  <c r="H988" i="14"/>
  <c r="H546" i="14"/>
  <c r="I31" i="14"/>
  <c r="H177" i="14"/>
  <c r="I185" i="14"/>
  <c r="H974" i="14"/>
  <c r="H234" i="14"/>
  <c r="I792" i="14"/>
  <c r="H84" i="14"/>
  <c r="I823" i="14"/>
  <c r="I151" i="14"/>
  <c r="I942" i="14"/>
  <c r="H192" i="14"/>
  <c r="H986" i="14"/>
  <c r="I997" i="14"/>
  <c r="H914" i="14"/>
  <c r="H556" i="14"/>
  <c r="I676" i="14"/>
  <c r="I569" i="14"/>
  <c r="H398" i="14"/>
  <c r="H303" i="14"/>
  <c r="I910" i="14"/>
  <c r="I219" i="14"/>
  <c r="H891" i="14"/>
  <c r="H838" i="14"/>
  <c r="H216" i="14"/>
  <c r="I221" i="14"/>
  <c r="H262" i="14"/>
  <c r="H156" i="14"/>
  <c r="H712" i="14"/>
  <c r="H758" i="14"/>
  <c r="H629" i="14"/>
  <c r="H685" i="14"/>
  <c r="H242" i="14"/>
  <c r="I941" i="14"/>
  <c r="I969" i="14"/>
  <c r="I671" i="14"/>
  <c r="H279" i="14"/>
  <c r="H162" i="14"/>
  <c r="H664" i="14"/>
  <c r="I172" i="14"/>
  <c r="I781" i="14"/>
  <c r="H994" i="14"/>
  <c r="I251" i="14"/>
  <c r="H633" i="14"/>
  <c r="H781" i="14"/>
  <c r="H883" i="14"/>
  <c r="I270" i="14"/>
  <c r="I404" i="14"/>
  <c r="H768" i="14"/>
  <c r="I821" i="14"/>
  <c r="H696" i="14"/>
  <c r="H586" i="14"/>
  <c r="I759" i="14"/>
  <c r="I967" i="14"/>
  <c r="I975" i="14"/>
  <c r="H390" i="14"/>
  <c r="I81" i="14"/>
  <c r="H437" i="14"/>
  <c r="H594" i="14"/>
  <c r="I240" i="14"/>
  <c r="I120" i="14"/>
  <c r="H574" i="14"/>
  <c r="H867" i="14"/>
  <c r="H314" i="14"/>
  <c r="H475" i="14"/>
  <c r="I631" i="14"/>
  <c r="H152" i="14"/>
  <c r="I337" i="14"/>
  <c r="H982" i="14"/>
  <c r="I511" i="14"/>
  <c r="I183" i="14"/>
  <c r="I342" i="14"/>
  <c r="H370" i="14"/>
  <c r="H76" i="14"/>
  <c r="I344" i="14"/>
  <c r="I130" i="14"/>
  <c r="H280" i="14"/>
  <c r="I568" i="14"/>
  <c r="H328" i="14"/>
  <c r="I381" i="14"/>
  <c r="H270" i="14"/>
  <c r="I871" i="14"/>
  <c r="I257" i="14"/>
  <c r="I501" i="14"/>
  <c r="I177" i="14"/>
  <c r="H971" i="14"/>
  <c r="H210" i="14"/>
  <c r="H518" i="14"/>
  <c r="I861" i="14"/>
  <c r="H146" i="14"/>
  <c r="I899" i="14"/>
  <c r="H139" i="14"/>
  <c r="I926" i="14"/>
  <c r="I788" i="14"/>
  <c r="I775" i="14"/>
  <c r="I104" i="14"/>
  <c r="H444" i="14"/>
  <c r="H343" i="14"/>
  <c r="H630" i="14"/>
  <c r="H847" i="14"/>
  <c r="H942" i="14"/>
  <c r="H517" i="14"/>
  <c r="H206" i="14"/>
  <c r="I226" i="14"/>
  <c r="H840" i="14"/>
  <c r="H425" i="14"/>
  <c r="I652" i="14"/>
  <c r="H576" i="14"/>
  <c r="I494" i="14"/>
  <c r="H105" i="14"/>
  <c r="I462" i="14"/>
  <c r="I982" i="14"/>
  <c r="H60" i="14"/>
  <c r="I476" i="14"/>
  <c r="I186" i="14"/>
  <c r="H456" i="14"/>
  <c r="I945" i="14"/>
  <c r="H227" i="14"/>
  <c r="I528" i="14"/>
  <c r="H572" i="14"/>
  <c r="H478" i="14"/>
  <c r="I392" i="14"/>
  <c r="I382" i="14"/>
  <c r="I187" i="14"/>
  <c r="H508" i="14"/>
  <c r="H828" i="14"/>
  <c r="H737" i="14"/>
  <c r="H895" i="14"/>
  <c r="H89" i="14"/>
  <c r="I699" i="14"/>
  <c r="H491" i="14"/>
  <c r="I888" i="14"/>
  <c r="H104" i="14"/>
  <c r="H97" i="14"/>
  <c r="I804" i="14"/>
  <c r="I437" i="14"/>
  <c r="I862" i="14"/>
  <c r="I659" i="14"/>
  <c r="H582" i="14"/>
  <c r="H295" i="14"/>
  <c r="I960" i="14"/>
  <c r="I878" i="14"/>
  <c r="H863" i="14"/>
  <c r="I317" i="14"/>
  <c r="H841" i="14"/>
  <c r="I37" i="14"/>
  <c r="I229" i="14"/>
  <c r="H347" i="14"/>
  <c r="I989" i="14"/>
  <c r="I811" i="14"/>
  <c r="I129" i="14"/>
  <c r="H173" i="14"/>
  <c r="H25" i="14"/>
  <c r="H765" i="14"/>
  <c r="H387" i="14"/>
  <c r="H871" i="14"/>
  <c r="H940" i="14"/>
  <c r="H75" i="14"/>
  <c r="H795" i="14"/>
  <c r="H453" i="14"/>
  <c r="I826" i="14"/>
  <c r="I723" i="14"/>
  <c r="H957" i="14"/>
  <c r="H204" i="14"/>
  <c r="H512" i="14"/>
  <c r="I188" i="14"/>
  <c r="I87" i="14"/>
  <c r="I99" i="14"/>
  <c r="H258" i="14"/>
  <c r="I881" i="14"/>
  <c r="I609" i="14"/>
  <c r="H750" i="14"/>
  <c r="I83" i="14"/>
  <c r="I1001" i="14"/>
  <c r="H774" i="14"/>
  <c r="H339" i="14"/>
  <c r="I65" i="14"/>
  <c r="H170" i="14"/>
  <c r="H416" i="14"/>
  <c r="I672" i="14"/>
  <c r="I359" i="14"/>
  <c r="H860" i="14"/>
  <c r="H769" i="14"/>
  <c r="H725" i="14"/>
  <c r="H467" i="14"/>
  <c r="I217" i="14"/>
  <c r="I235" i="14"/>
  <c r="H600" i="14"/>
  <c r="I276" i="14"/>
  <c r="I693" i="14"/>
  <c r="I331" i="14"/>
  <c r="H440" i="14"/>
  <c r="H450" i="14"/>
  <c r="I684" i="14"/>
  <c r="H316" i="14"/>
  <c r="I604" i="14"/>
  <c r="I835" i="14"/>
  <c r="H653" i="14"/>
  <c r="H178" i="14"/>
  <c r="H30" i="14"/>
  <c r="H61" i="14"/>
  <c r="H702" i="14"/>
  <c r="H540" i="14"/>
  <c r="H820" i="14"/>
  <c r="H589" i="14"/>
  <c r="I799" i="14"/>
  <c r="H631" i="14"/>
  <c r="H369" i="14"/>
  <c r="I27" i="14"/>
  <c r="I245" i="14"/>
  <c r="H72" i="14"/>
  <c r="H651" i="14"/>
  <c r="H597" i="14"/>
  <c r="H919" i="14"/>
  <c r="H344" i="14"/>
  <c r="I349" i="14"/>
  <c r="H277" i="14"/>
  <c r="I405" i="14"/>
  <c r="H42" i="14"/>
  <c r="I416" i="14"/>
  <c r="H374" i="14"/>
  <c r="H787" i="14"/>
  <c r="H50" i="14"/>
  <c r="I159" i="14"/>
  <c r="H575" i="14"/>
  <c r="H432" i="14"/>
  <c r="I758" i="14"/>
  <c r="H154" i="14"/>
  <c r="I830" i="14"/>
  <c r="H159" i="14"/>
  <c r="H695" i="14"/>
  <c r="I38" i="14"/>
  <c r="I917" i="14"/>
  <c r="I986" i="14"/>
  <c r="H236" i="14"/>
  <c r="I486" i="14"/>
  <c r="H973" i="14"/>
  <c r="I259" i="14"/>
  <c r="I34" i="14"/>
  <c r="I107" i="14"/>
  <c r="I707" i="14"/>
  <c r="I121" i="14"/>
  <c r="H529" i="14"/>
  <c r="H980" i="14"/>
  <c r="I396" i="14"/>
  <c r="H211" i="14"/>
  <c r="H564" i="14"/>
  <c r="I848" i="14"/>
  <c r="I512" i="14"/>
  <c r="H133" i="14"/>
  <c r="I790" i="14"/>
  <c r="I499" i="14"/>
  <c r="I773" i="14"/>
  <c r="I809" i="14"/>
  <c r="I73" i="14"/>
  <c r="H976" i="14"/>
  <c r="H835" i="14"/>
  <c r="I939" i="14"/>
  <c r="I451" i="14"/>
  <c r="H809" i="14"/>
  <c r="I196" i="14"/>
  <c r="I736" i="14"/>
  <c r="H153" i="14"/>
  <c r="H826" i="14"/>
  <c r="H836" i="14"/>
  <c r="H711" i="14"/>
  <c r="H671" i="14"/>
  <c r="I454" i="14"/>
  <c r="H755" i="14"/>
  <c r="I76" i="14"/>
  <c r="I32" i="14"/>
  <c r="I678" i="14"/>
  <c r="I402" i="14"/>
  <c r="H127" i="14"/>
  <c r="H533" i="14"/>
  <c r="I931" i="14"/>
  <c r="H896" i="14"/>
  <c r="H776" i="14"/>
  <c r="I517" i="14"/>
  <c r="H115" i="14"/>
  <c r="H309" i="14"/>
  <c r="H773" i="14"/>
  <c r="I779" i="14"/>
  <c r="I925" i="14"/>
  <c r="H461" i="14"/>
  <c r="H500" i="14"/>
  <c r="H171" i="14"/>
  <c r="I687" i="14"/>
  <c r="I893" i="14"/>
  <c r="I705" i="14"/>
  <c r="H24" i="14"/>
  <c r="I181" i="14"/>
  <c r="I192" i="14"/>
  <c r="H962" i="14"/>
  <c r="H434" i="14"/>
  <c r="H658" i="14"/>
  <c r="H175" i="14"/>
  <c r="H363" i="14"/>
  <c r="I106" i="14"/>
  <c r="I857" i="14"/>
  <c r="H495" i="14"/>
  <c r="I418" i="14"/>
  <c r="H246" i="14"/>
  <c r="H869" i="14"/>
  <c r="I287" i="14"/>
  <c r="I718" i="14"/>
  <c r="H507" i="14"/>
  <c r="I557" i="14"/>
  <c r="H861" i="14"/>
  <c r="H843" i="14"/>
  <c r="I230" i="14"/>
  <c r="H348" i="14"/>
  <c r="H886" i="14"/>
  <c r="I930" i="14"/>
  <c r="I870" i="14"/>
  <c r="H559" i="14"/>
  <c r="I844" i="14"/>
  <c r="H931" i="14"/>
  <c r="H117" i="14"/>
  <c r="I204" i="14"/>
  <c r="I946" i="14"/>
  <c r="I33" i="14"/>
  <c r="H389" i="14"/>
  <c r="H497" i="14"/>
  <c r="H972" i="14"/>
  <c r="I341" i="14"/>
  <c r="I153" i="14"/>
  <c r="I735" i="14"/>
  <c r="I362" i="14"/>
  <c r="I422" i="14"/>
  <c r="I244" i="14"/>
  <c r="I578" i="14"/>
  <c r="I903" i="14"/>
  <c r="I998" i="14"/>
  <c r="I171" i="14"/>
  <c r="H195" i="14"/>
  <c r="H431" i="14"/>
  <c r="I22" i="14"/>
  <c r="I586" i="14"/>
  <c r="H606" i="14"/>
  <c r="H659" i="14"/>
  <c r="H954" i="14"/>
  <c r="I632" i="14"/>
  <c r="H817" i="14"/>
  <c r="I394" i="14"/>
  <c r="H322" i="14"/>
  <c r="H566" i="14"/>
  <c r="I949" i="14"/>
  <c r="H579" i="14"/>
  <c r="H21" i="14"/>
  <c r="H399" i="14"/>
  <c r="H34" i="14"/>
  <c r="H331" i="14"/>
  <c r="H703" i="14"/>
  <c r="H625" i="14"/>
  <c r="I80" i="14"/>
  <c r="H684" i="14"/>
  <c r="I200" i="14"/>
  <c r="I898" i="14"/>
  <c r="I562" i="14"/>
  <c r="I819" i="14"/>
  <c r="H521" i="14"/>
  <c r="I433" i="14"/>
  <c r="I840" i="14"/>
  <c r="I66" i="14"/>
  <c r="H814" i="14"/>
  <c r="I178" i="14"/>
  <c r="H377" i="14"/>
  <c r="H487" i="14"/>
  <c r="H920" i="14"/>
  <c r="H652" i="14"/>
  <c r="I218" i="14"/>
  <c r="H637" i="14"/>
  <c r="H67" i="14"/>
  <c r="I40" i="14"/>
  <c r="I101" i="14"/>
  <c r="I358" i="14"/>
  <c r="H700" i="14"/>
  <c r="H490" i="14"/>
  <c r="I423" i="14"/>
  <c r="H371" i="14"/>
  <c r="I680" i="14"/>
  <c r="H729" i="14"/>
  <c r="H252" i="14"/>
  <c r="H505" i="14"/>
  <c r="I783" i="14"/>
  <c r="I686" i="14"/>
  <c r="I516" i="14"/>
  <c r="H903" i="14"/>
  <c r="H110" i="14"/>
  <c r="I838" i="14"/>
  <c r="H557" i="14"/>
  <c r="I207" i="14"/>
  <c r="H908" i="14"/>
  <c r="I324" i="14"/>
  <c r="I143" i="14"/>
  <c r="I769" i="14"/>
  <c r="I411" i="14"/>
  <c r="I994" i="14"/>
  <c r="H37" i="14"/>
  <c r="I180" i="14"/>
  <c r="H1000" i="14"/>
  <c r="I874" i="14"/>
  <c r="H901" i="14"/>
  <c r="H172" i="14"/>
  <c r="H221" i="14"/>
  <c r="I139" i="14"/>
  <c r="I847" i="14"/>
  <c r="I144" i="14"/>
  <c r="H739" i="14"/>
  <c r="I961" i="14"/>
  <c r="H654" i="14"/>
  <c r="I124" i="14"/>
  <c r="I536" i="14"/>
  <c r="I519" i="14"/>
  <c r="H939" i="14"/>
  <c r="I431" i="14"/>
  <c r="I690" i="14"/>
  <c r="I566" i="14"/>
  <c r="H451" i="14"/>
  <c r="I576" i="14"/>
  <c r="I988" i="14"/>
  <c r="H998" i="14"/>
  <c r="H299" i="14"/>
  <c r="I168" i="14"/>
  <c r="I239" i="14"/>
  <c r="H22" i="14"/>
  <c r="I772" i="14"/>
  <c r="H131" i="14"/>
  <c r="I316" i="14"/>
  <c r="H345" i="14"/>
  <c r="I954" i="14"/>
  <c r="I372" i="14"/>
  <c r="H88" i="14"/>
  <c r="I959" i="14"/>
  <c r="H19" i="14"/>
  <c r="I666" i="14"/>
  <c r="H678" i="14"/>
  <c r="I274" i="14"/>
  <c r="H141" i="14"/>
  <c r="H217" i="14"/>
  <c r="I793" i="14"/>
  <c r="H515" i="14"/>
  <c r="H604" i="14"/>
  <c r="H81" i="14"/>
  <c r="H598" i="14"/>
  <c r="I905" i="14"/>
  <c r="I47" i="14"/>
  <c r="I597" i="14"/>
  <c r="I777" i="14"/>
  <c r="H542" i="14"/>
  <c r="H259" i="14"/>
  <c r="H228" i="14"/>
  <c r="H472" i="14"/>
  <c r="H535" i="14"/>
  <c r="I163" i="14"/>
  <c r="I950" i="14"/>
  <c r="I662" i="14"/>
  <c r="H527" i="14"/>
  <c r="I208" i="14"/>
  <c r="I704" i="14"/>
  <c r="I794" i="14"/>
  <c r="H756" i="14"/>
  <c r="H446" i="14"/>
  <c r="H130" i="14"/>
  <c r="H649" i="14"/>
  <c r="I383" i="14"/>
  <c r="I841" i="14"/>
  <c r="I648" i="14"/>
  <c r="I292" i="14"/>
  <c r="H142" i="14"/>
  <c r="I812" i="14"/>
  <c r="I489" i="14"/>
  <c r="H851" i="14"/>
  <c r="H362" i="14"/>
  <c r="I985" i="14"/>
  <c r="I312" i="14"/>
  <c r="H662" i="14"/>
  <c r="H273" i="14"/>
  <c r="H405" i="14"/>
  <c r="H757" i="14"/>
  <c r="I303" i="14"/>
  <c r="I352" i="14"/>
  <c r="H918" i="14"/>
  <c r="I161" i="14"/>
  <c r="H321" i="14"/>
  <c r="H580" i="14"/>
  <c r="I332" i="14"/>
  <c r="H414" i="14"/>
  <c r="H463" i="14"/>
  <c r="I24" i="14"/>
  <c r="H626" i="14"/>
  <c r="H635" i="14"/>
  <c r="H925" i="14"/>
  <c r="I198" i="14"/>
  <c r="I796" i="14"/>
  <c r="H353" i="14"/>
  <c r="I638" i="14"/>
  <c r="H563" i="14"/>
  <c r="H243" i="14"/>
  <c r="H441" i="14"/>
  <c r="I365" i="14"/>
  <c r="I655" i="14"/>
  <c r="H718" i="14"/>
  <c r="H697" i="14"/>
  <c r="I67" i="14"/>
  <c r="H39" i="14"/>
  <c r="H688" i="14"/>
  <c r="I470" i="14"/>
  <c r="H812" i="14"/>
  <c r="H944" i="14"/>
  <c r="H238" i="14"/>
  <c r="H995" i="14"/>
  <c r="I983" i="14"/>
  <c r="I97" i="14"/>
  <c r="I863" i="14"/>
  <c r="I669" i="14"/>
  <c r="I306" i="14"/>
  <c r="H269" i="14"/>
  <c r="I596" i="14"/>
  <c r="H161" i="14"/>
  <c r="H689" i="14"/>
  <c r="H545" i="14"/>
  <c r="H534" i="14"/>
  <c r="I880" i="14"/>
  <c r="H272" i="14"/>
  <c r="I132" i="14"/>
  <c r="I189" i="14"/>
  <c r="I748" i="14"/>
  <c r="I810" i="14"/>
  <c r="I612" i="14"/>
  <c r="H181" i="14"/>
  <c r="H938" i="14"/>
  <c r="I822" i="14"/>
  <c r="I918" i="14"/>
  <c r="I947" i="14"/>
  <c r="I203" i="14"/>
  <c r="H547" i="14"/>
  <c r="I932" i="14"/>
  <c r="I895" i="14"/>
  <c r="I304" i="14"/>
  <c r="I785" i="14"/>
  <c r="I70" i="14"/>
  <c r="H498" i="14"/>
  <c r="H458" i="14"/>
  <c r="I555" i="14"/>
  <c r="H694" i="14"/>
  <c r="H733" i="14"/>
  <c r="I605" i="14"/>
  <c r="H674" i="14"/>
  <c r="I281" i="14"/>
  <c r="H464" i="14"/>
  <c r="H803" i="14"/>
  <c r="H607" i="14"/>
  <c r="I883" i="14"/>
  <c r="H77" i="14"/>
  <c r="H134" i="14"/>
  <c r="I173" i="14"/>
  <c r="H196" i="14"/>
  <c r="I442" i="14"/>
  <c r="I623" i="14"/>
  <c r="H429" i="14"/>
  <c r="I222" i="14"/>
  <c r="H552" i="14"/>
  <c r="H49" i="14"/>
  <c r="I661" i="14"/>
  <c r="H763" i="14"/>
  <c r="I766" i="14"/>
  <c r="I640" i="14"/>
  <c r="I122" i="14"/>
  <c r="I236" i="14"/>
  <c r="I61" i="14"/>
  <c r="I184" i="14"/>
  <c r="I389" i="14"/>
  <c r="I127" i="14"/>
  <c r="H937" i="14"/>
  <c r="H675" i="14"/>
  <c r="I952" i="14"/>
  <c r="H968" i="14"/>
  <c r="H777" i="14"/>
  <c r="H661" i="14"/>
  <c r="I635" i="14"/>
  <c r="H775" i="14"/>
  <c r="I667" i="14"/>
  <c r="H144" i="14"/>
  <c r="I401" i="14"/>
  <c r="I157" i="14"/>
  <c r="I973" i="14"/>
  <c r="H862" i="14"/>
  <c r="H83" i="14"/>
  <c r="H412" i="14"/>
  <c r="I52" i="14"/>
  <c r="H624" i="14"/>
  <c r="I776" i="14"/>
  <c r="I559" i="14"/>
  <c r="H38" i="14"/>
  <c r="H355" i="14"/>
  <c r="H622" i="14"/>
  <c r="H850" i="14"/>
  <c r="I896" i="14"/>
  <c r="I900" i="14"/>
  <c r="H672" i="14"/>
  <c r="H160" i="14"/>
  <c r="H126" i="14"/>
  <c r="I369" i="14"/>
  <c r="H868" i="14"/>
  <c r="I294" i="14"/>
  <c r="I538" i="14"/>
  <c r="H301" i="14"/>
  <c r="H102" i="14"/>
  <c r="I944" i="14"/>
  <c r="I343" i="14"/>
  <c r="H801" i="14"/>
  <c r="H693" i="14"/>
  <c r="H952" i="14"/>
  <c r="I72" i="14"/>
  <c r="I445" i="14"/>
  <c r="H816" i="14"/>
  <c r="H881" i="14"/>
  <c r="I403" i="14"/>
  <c r="H465" i="14"/>
  <c r="H970" i="14"/>
  <c r="H182" i="14"/>
  <c r="I256" i="14"/>
  <c r="H791" i="14"/>
  <c r="I849" i="14"/>
  <c r="I376" i="14"/>
  <c r="I616" i="14"/>
  <c r="I762" i="14"/>
  <c r="H248" i="14"/>
  <c r="I907" i="14"/>
  <c r="I673" i="14"/>
  <c r="H670" i="14"/>
  <c r="I215" i="14"/>
  <c r="I991" i="14"/>
  <c r="I357" i="14"/>
  <c r="H614" i="14"/>
  <c r="I534" i="14"/>
  <c r="H448" i="14"/>
  <c r="I535" i="14"/>
  <c r="I41" i="14"/>
  <c r="H531" i="14"/>
  <c r="H541" i="14"/>
  <c r="I548" i="14"/>
  <c r="I629" i="14"/>
  <c r="H354" i="14"/>
  <c r="I787" i="14"/>
  <c r="I965" i="14"/>
  <c r="H516" i="14"/>
  <c r="H306" i="14"/>
  <c r="H324" i="14"/>
  <c r="I613" i="14"/>
  <c r="H759" i="14"/>
  <c r="H979" i="14"/>
  <c r="I162" i="14"/>
  <c r="H426" i="14"/>
  <c r="H120" i="14"/>
  <c r="I741" i="14"/>
  <c r="I237" i="14"/>
  <c r="H468" i="14"/>
  <c r="I479" i="14"/>
  <c r="I398" i="14"/>
  <c r="H168" i="14"/>
  <c r="H798" i="14"/>
  <c r="I818" i="14"/>
  <c r="H852" i="14"/>
  <c r="I820" i="14"/>
  <c r="H372" i="14"/>
  <c r="H386" i="14"/>
  <c r="I542" i="14"/>
  <c r="H380" i="14"/>
  <c r="I805" i="14"/>
  <c r="H393" i="14"/>
  <c r="I720" i="14"/>
  <c r="H402" i="14"/>
  <c r="I641" i="14"/>
  <c r="I595" i="14"/>
  <c r="I363" i="14"/>
  <c r="I138" i="14"/>
  <c r="H599" i="14"/>
  <c r="I477" i="14"/>
  <c r="I48" i="14"/>
  <c r="I664" i="14"/>
  <c r="I323" i="14"/>
  <c r="I892" i="14"/>
  <c r="I115" i="14"/>
  <c r="H94" i="14"/>
  <c r="H226" i="14"/>
  <c r="I503" i="14"/>
  <c r="I602" i="14"/>
  <c r="I194" i="14"/>
  <c r="H470" i="14"/>
  <c r="I539" i="14"/>
  <c r="I481" i="14"/>
  <c r="H424" i="14"/>
  <c r="H934" i="14"/>
  <c r="H761" i="14"/>
  <c r="H749" i="14"/>
  <c r="I713" i="14"/>
  <c r="I260" i="14"/>
  <c r="H932" i="14"/>
  <c r="H819" i="14"/>
  <c r="H866" i="14"/>
  <c r="H736" i="14"/>
  <c r="H373" i="14"/>
  <c r="I752" i="14"/>
  <c r="H383" i="14"/>
  <c r="I326" i="14"/>
  <c r="I264" i="14"/>
  <c r="I415" i="14"/>
  <c r="H378" i="14"/>
  <c r="I526" i="14"/>
  <c r="H686" i="14"/>
  <c r="H291" i="14"/>
  <c r="H307" i="14"/>
  <c r="H930" i="14"/>
  <c r="H616" i="14"/>
  <c r="H460" i="14"/>
  <c r="H261" i="14"/>
  <c r="H639" i="14"/>
  <c r="H296" i="14"/>
  <c r="H717" i="14"/>
  <c r="H342" i="14"/>
  <c r="I480" i="14"/>
  <c r="H967" i="14"/>
  <c r="H943" i="14"/>
  <c r="I246" i="14"/>
  <c r="I463" i="14"/>
  <c r="I601" i="14"/>
  <c r="H767" i="14"/>
  <c r="H638" i="14"/>
  <c r="I691" i="14"/>
  <c r="H214" i="14"/>
  <c r="H209" i="14"/>
  <c r="H924" i="14"/>
  <c r="H302" i="14"/>
  <c r="H539" i="14"/>
  <c r="I757" i="14"/>
  <c r="H710" i="14"/>
  <c r="H929" i="14"/>
  <c r="I970" i="14"/>
  <c r="H511" i="14"/>
  <c r="I943" i="14"/>
  <c r="H707" i="14"/>
  <c r="I160" i="14"/>
  <c r="H783" i="14"/>
  <c r="H885" i="14"/>
  <c r="I708" i="14"/>
  <c r="H364" i="14"/>
  <c r="H312" i="14"/>
  <c r="I385" i="14"/>
  <c r="I712" i="14"/>
  <c r="H788" i="14"/>
  <c r="I267" i="14"/>
  <c r="I556" i="14"/>
  <c r="I756" i="14"/>
  <c r="H892" i="14"/>
  <c r="I563" i="14"/>
  <c r="H946" i="14"/>
  <c r="I850" i="14"/>
  <c r="I929" i="14"/>
  <c r="I170" i="14"/>
  <c r="H889" i="14"/>
  <c r="I873" i="14"/>
  <c r="H250" i="14"/>
  <c r="I179" i="14"/>
  <c r="I610" i="14"/>
  <c r="H188" i="14"/>
  <c r="I504" i="14"/>
  <c r="I599" i="14"/>
  <c r="I424" i="14"/>
  <c r="I749" i="14"/>
  <c r="H997" i="14"/>
  <c r="H293" i="14"/>
  <c r="I839" i="14"/>
  <c r="H176" i="14"/>
  <c r="I688" i="14"/>
  <c r="H278" i="14"/>
  <c r="I467" i="14"/>
  <c r="H255" i="14"/>
  <c r="H859" i="14"/>
  <c r="I653" i="14"/>
  <c r="H98" i="14"/>
  <c r="I202" i="14"/>
  <c r="H983" i="14"/>
  <c r="H249" i="14"/>
  <c r="I875" i="14"/>
  <c r="H406" i="14"/>
  <c r="I554" i="14"/>
  <c r="H208" i="14"/>
  <c r="I50" i="14"/>
  <c r="I791" i="14"/>
  <c r="I808" i="14"/>
  <c r="H294" i="14"/>
  <c r="H643" i="14"/>
  <c r="I742" i="14"/>
  <c r="H748" i="14"/>
  <c r="H18" i="14"/>
  <c r="I753" i="14"/>
  <c r="H62" i="14"/>
  <c r="I345" i="14"/>
  <c r="I654" i="14"/>
  <c r="I771" i="14"/>
  <c r="I733" i="14"/>
  <c r="H63" i="14"/>
  <c r="H484" i="14"/>
  <c r="H569" i="14"/>
  <c r="H991" i="14"/>
  <c r="I739" i="14"/>
  <c r="H551" i="14"/>
  <c r="I98" i="14"/>
  <c r="H212" i="14"/>
  <c r="H766" i="14"/>
  <c r="H709" i="14"/>
  <c r="H996" i="14"/>
  <c r="H665" i="14"/>
  <c r="I395" i="14"/>
  <c r="H260" i="14"/>
  <c r="I588" i="14"/>
  <c r="I963" i="14"/>
  <c r="H953" i="14"/>
  <c r="I890" i="14"/>
  <c r="I784" i="14"/>
  <c r="H913" i="14"/>
  <c r="H225" i="14"/>
  <c r="H151" i="14"/>
  <c r="H879" i="14"/>
  <c r="I297" i="14"/>
  <c r="H978" i="14"/>
  <c r="H229" i="14"/>
  <c r="I585" i="14"/>
  <c r="I984" i="14"/>
  <c r="H623" i="14"/>
  <c r="H525" i="14"/>
  <c r="I622" i="14"/>
  <c r="H705" i="14"/>
  <c r="I182" i="14"/>
  <c r="I28" i="14"/>
  <c r="I311" i="14"/>
  <c r="I367" i="14"/>
  <c r="I353" i="14"/>
  <c r="H648" i="14"/>
  <c r="I743" i="14"/>
  <c r="I882" i="14"/>
  <c r="H169" i="14"/>
  <c r="I598" i="14"/>
  <c r="I490" i="14"/>
  <c r="H213" i="14"/>
  <c r="H536" i="14"/>
  <c r="H82" i="14"/>
  <c r="I694" i="14"/>
  <c r="H147" i="14"/>
  <c r="I887" i="14"/>
  <c r="H111" i="14"/>
  <c r="H496" i="14"/>
  <c r="I647" i="14"/>
  <c r="H473" i="14"/>
  <c r="H199" i="14"/>
  <c r="I911" i="14"/>
  <c r="I981" i="14"/>
  <c r="I908" i="14"/>
  <c r="H360" i="14"/>
  <c r="I165" i="14"/>
  <c r="H562" i="14"/>
  <c r="H36" i="14"/>
  <c r="H520" i="14"/>
  <c r="H792" i="14"/>
  <c r="H577" i="14"/>
  <c r="I68" i="14"/>
  <c r="I248" i="14"/>
  <c r="I95" i="14"/>
  <c r="I137" i="14"/>
  <c r="H298" i="14"/>
  <c r="I697" i="14"/>
  <c r="I933" i="14"/>
  <c r="H928" i="14"/>
  <c r="I482" i="14"/>
  <c r="I414" i="14"/>
  <c r="H880" i="14"/>
  <c r="I843" i="14"/>
  <c r="I550" i="14"/>
  <c r="H735" i="14"/>
  <c r="H290" i="14"/>
  <c r="I677" i="14"/>
  <c r="I85" i="14"/>
  <c r="I487" i="14"/>
  <c r="H538" i="14"/>
  <c r="I537" i="14"/>
  <c r="I902" i="14"/>
  <c r="H55" i="14"/>
  <c r="I371" i="14"/>
  <c r="H915" i="14"/>
  <c r="I957" i="14"/>
  <c r="I936" i="14"/>
  <c r="I716" i="14"/>
  <c r="H615" i="14"/>
  <c r="H611" i="14"/>
  <c r="H403" i="14"/>
  <c r="H581" i="14"/>
  <c r="I651" i="14"/>
  <c r="I958" i="14"/>
  <c r="I924" i="14"/>
  <c r="H941" i="14"/>
  <c r="I656" i="14"/>
  <c r="H198" i="14"/>
  <c r="I386" i="14"/>
  <c r="H554" i="14"/>
  <c r="I573" i="14"/>
  <c r="I968" i="14"/>
  <c r="H673" i="14"/>
  <c r="H884" i="14"/>
  <c r="I584" i="14"/>
  <c r="I649" i="14"/>
  <c r="I119" i="14"/>
  <c r="I778" i="14"/>
  <c r="I164" i="14"/>
  <c r="H969" i="14"/>
  <c r="H663" i="14"/>
  <c r="H613" i="14"/>
  <c r="I621" i="14"/>
  <c r="I855" i="14"/>
  <c r="H163" i="14"/>
  <c r="I283" i="14"/>
  <c r="H698" i="14"/>
  <c r="I948" i="14"/>
  <c r="H977" i="14"/>
  <c r="I388" i="14"/>
  <c r="H155" i="14"/>
  <c r="H415" i="14"/>
  <c r="I851" i="14"/>
  <c r="I552" i="14"/>
  <c r="H158" i="14"/>
  <c r="I15" i="14"/>
  <c r="I91" i="14"/>
  <c r="H955" i="14"/>
  <c r="H874" i="14"/>
  <c r="I533" i="14"/>
  <c r="H317" i="14"/>
  <c r="I261" i="14"/>
  <c r="H804" i="14"/>
  <c r="I131" i="14"/>
  <c r="I546" i="14"/>
  <c r="H86" i="14"/>
  <c r="I19" i="14"/>
  <c r="H690" i="14"/>
  <c r="H479" i="14"/>
  <c r="I78" i="14"/>
  <c r="H145" i="14"/>
  <c r="I197" i="14"/>
  <c r="H923" i="14"/>
  <c r="I507" i="14"/>
  <c r="I457" i="14"/>
  <c r="H282" i="14"/>
  <c r="H365" i="14"/>
  <c r="H31" i="14"/>
  <c r="H26" i="14"/>
  <c r="I514" i="14"/>
  <c r="H54" i="14"/>
  <c r="I901" i="14"/>
  <c r="I314" i="14"/>
  <c r="H28" i="14"/>
  <c r="H910" i="14"/>
  <c r="H745" i="14"/>
  <c r="I515" i="14"/>
  <c r="I730" i="14"/>
  <c r="H839" i="14"/>
  <c r="I709" i="14"/>
  <c r="H112" i="14"/>
  <c r="I816" i="14"/>
  <c r="H116" i="14"/>
  <c r="I551" i="14"/>
  <c r="I660" i="14"/>
  <c r="H51" i="14"/>
  <c r="I789" i="14"/>
  <c r="H987" i="14"/>
  <c r="I663" i="14"/>
  <c r="I618" i="14"/>
  <c r="H385" i="14"/>
  <c r="I242" i="14"/>
  <c r="I817" i="14"/>
  <c r="I298" i="14"/>
  <c r="H587" i="14"/>
  <c r="I117" i="14"/>
  <c r="I375" i="14"/>
  <c r="I717" i="14"/>
  <c r="H241" i="14"/>
  <c r="I290" i="14"/>
  <c r="H502" i="14"/>
  <c r="I921" i="14"/>
  <c r="I745" i="14"/>
  <c r="I21" i="14"/>
  <c r="I407" i="14"/>
  <c r="H245" i="14"/>
  <c r="H44" i="14"/>
  <c r="H522" i="14"/>
  <c r="H956" i="14"/>
  <c r="H555" i="14"/>
  <c r="H148" i="14"/>
  <c r="H747" i="14"/>
  <c r="H677" i="14"/>
  <c r="I491" i="14"/>
  <c r="H751" i="14"/>
  <c r="I328" i="14"/>
  <c r="I432" i="14"/>
  <c r="H627" i="14"/>
  <c r="H846" i="14"/>
  <c r="H762" i="14"/>
  <c r="H136" i="14"/>
  <c r="I94" i="14"/>
  <c r="I54" i="14"/>
  <c r="H368" i="14"/>
  <c r="H218" i="14"/>
  <c r="H79" i="14"/>
  <c r="H947" i="14"/>
  <c r="H93" i="14"/>
  <c r="I675" i="14"/>
  <c r="H418" i="14"/>
  <c r="I140" i="14"/>
  <c r="H917" i="14"/>
  <c r="H388" i="14"/>
  <c r="H916" i="14"/>
  <c r="I191" i="14"/>
  <c r="I69" i="14"/>
  <c r="I751" i="14"/>
  <c r="H419" i="14"/>
  <c r="I642" i="14"/>
  <c r="H341" i="14"/>
  <c r="I581" i="14"/>
  <c r="H822" i="14"/>
  <c r="I628" i="14"/>
  <c r="H305" i="14"/>
  <c r="H439" i="14"/>
  <c r="H485" i="14"/>
  <c r="I225" i="14"/>
  <c r="I923" i="14"/>
  <c r="I827" i="14"/>
  <c r="I266" i="14"/>
  <c r="I354" i="14"/>
  <c r="I322" i="14"/>
  <c r="H591" i="14"/>
  <c r="H64" i="14"/>
  <c r="H645" i="14"/>
  <c r="H332" i="14"/>
  <c r="H407" i="14"/>
  <c r="I443" i="14"/>
  <c r="I223" i="14"/>
  <c r="H132" i="14"/>
  <c r="H297" i="14"/>
  <c r="H640" i="14"/>
  <c r="H810" i="14"/>
  <c r="I275" i="14"/>
  <c r="I233" i="14"/>
  <c r="I307" i="14"/>
  <c r="H275" i="14"/>
  <c r="H573" i="14"/>
  <c r="H906" i="14"/>
  <c r="H807" i="14"/>
  <c r="I928" i="14"/>
  <c r="H183" i="14"/>
  <c r="H760" i="14"/>
  <c r="H647" i="14"/>
  <c r="H752" i="14"/>
  <c r="I1000" i="14"/>
  <c r="H897" i="14"/>
  <c r="H878" i="14"/>
  <c r="I310" i="14"/>
  <c r="I754" i="14"/>
  <c r="I922" i="14"/>
  <c r="I427" i="14"/>
  <c r="H401" i="14"/>
  <c r="I726" i="14"/>
  <c r="I593" i="14"/>
  <c r="I634" i="14"/>
  <c r="I530" i="14"/>
  <c r="I915" i="14"/>
  <c r="I692" i="14"/>
  <c r="H87" i="14"/>
  <c r="I728" i="14"/>
  <c r="H318" i="14"/>
  <c r="H435" i="14"/>
  <c r="H428" i="14"/>
  <c r="I702" i="14"/>
  <c r="I430" i="14"/>
  <c r="I46" i="14"/>
  <c r="H52" i="14"/>
  <c r="H858" i="14"/>
  <c r="I509" i="14"/>
  <c r="I594" i="14"/>
  <c r="I452" i="14"/>
  <c r="I974" i="14"/>
  <c r="I795" i="14"/>
  <c r="I213" i="14"/>
  <c r="H975" i="14"/>
  <c r="H313" i="14"/>
  <c r="H921" i="14"/>
  <c r="H346" i="14"/>
  <c r="I378" i="14"/>
  <c r="I572" i="14"/>
  <c r="H421" i="14"/>
  <c r="I413" i="14"/>
  <c r="H85" i="14"/>
  <c r="H16" i="14"/>
  <c r="I23" i="14"/>
  <c r="H744" i="14"/>
  <c r="H561" i="14"/>
  <c r="H933" i="14"/>
  <c r="H617" i="14"/>
  <c r="H844" i="14"/>
  <c r="I544" i="14"/>
  <c r="I884" i="14"/>
  <c r="H264" i="14"/>
  <c r="I86" i="14"/>
  <c r="H549" i="14"/>
  <c r="I325" i="14"/>
  <c r="I689" i="14"/>
  <c r="H150" i="14"/>
  <c r="H993" i="14"/>
  <c r="H239" i="14"/>
  <c r="I579" i="14"/>
  <c r="H283" i="14"/>
  <c r="I90" i="14"/>
  <c r="H267" i="14"/>
  <c r="H716" i="14"/>
  <c r="I77" i="14"/>
  <c r="I453" i="14"/>
  <c r="I750" i="14"/>
  <c r="I89" i="14"/>
  <c r="I869" i="14"/>
  <c r="H793" i="14"/>
  <c r="I299" i="14"/>
  <c r="H99" i="14"/>
  <c r="I996" i="14"/>
  <c r="H526" i="14"/>
  <c r="I531" i="14"/>
  <c r="I146" i="14"/>
  <c r="H849" i="14"/>
  <c r="I305" i="14"/>
  <c r="I455" i="14"/>
  <c r="H524" i="14"/>
  <c r="I614" i="14"/>
  <c r="I979" i="14"/>
  <c r="H764" i="14"/>
  <c r="H391" i="14"/>
  <c r="I35" i="14"/>
  <c r="I607" i="14"/>
  <c r="I646" i="14"/>
  <c r="H113" i="14"/>
  <c r="H571" i="14"/>
  <c r="H486" i="14"/>
  <c r="H965" i="14"/>
  <c r="I547" i="14"/>
  <c r="H40" i="14"/>
  <c r="I940" i="14"/>
  <c r="H732" i="14"/>
  <c r="I721" i="14"/>
  <c r="I444" i="14"/>
  <c r="I280" i="14"/>
  <c r="H219" i="14"/>
  <c r="I279" i="14"/>
  <c r="I904" i="14"/>
  <c r="I524" i="14"/>
  <c r="I154" i="14"/>
  <c r="I866" i="14"/>
  <c r="I608" i="14"/>
  <c r="I698" i="14"/>
  <c r="I770" i="14"/>
  <c r="I724" i="14"/>
  <c r="I828" i="14"/>
  <c r="H268" i="14"/>
  <c r="H780" i="14"/>
  <c r="H592" i="14"/>
  <c r="I111" i="14"/>
  <c r="I737" i="14"/>
  <c r="H310" i="14"/>
  <c r="I14" i="14"/>
  <c r="H101" i="14"/>
  <c r="I100" i="14"/>
  <c r="I854" i="14"/>
  <c r="H308" i="14"/>
  <c r="I852" i="14"/>
  <c r="H603" i="14"/>
  <c r="I206" i="14"/>
  <c r="H680" i="14"/>
  <c r="I152" i="14"/>
  <c r="H682" i="14"/>
  <c r="I268" i="14"/>
  <c r="I366" i="14"/>
  <c r="H14" i="14"/>
  <c r="H746" i="14"/>
  <c r="H336" i="14"/>
  <c r="I289" i="14"/>
  <c r="I364" i="14"/>
  <c r="I211" i="14"/>
  <c r="I522" i="14"/>
  <c r="I293" i="14"/>
  <c r="H899" i="14"/>
  <c r="I513" i="14"/>
  <c r="H926" i="14"/>
  <c r="H95" i="14"/>
  <c r="H157" i="14"/>
  <c r="I426" i="14"/>
  <c r="I82" i="14"/>
  <c r="I639" i="14"/>
  <c r="I263" i="14"/>
  <c r="I679" i="14"/>
  <c r="H509" i="14"/>
  <c r="H832" i="14"/>
  <c r="H265" i="14"/>
  <c r="I590" i="14"/>
  <c r="I637" i="14"/>
  <c r="H471" i="14"/>
  <c r="I16" i="14"/>
  <c r="I700" i="14"/>
  <c r="H481" i="14"/>
  <c r="H197" i="14"/>
  <c r="H186" i="14"/>
  <c r="I193" i="14"/>
  <c r="I980" i="14"/>
  <c r="I575" i="14"/>
  <c r="H125" i="14"/>
  <c r="I897" i="14"/>
  <c r="H713" i="14"/>
  <c r="I492" i="14"/>
  <c r="I714" i="14"/>
  <c r="H590" i="14"/>
  <c r="I110" i="14"/>
  <c r="H1001" i="14"/>
  <c r="H222" i="14"/>
  <c r="I611" i="14"/>
  <c r="I134" i="14"/>
  <c r="H902" i="14"/>
  <c r="I412" i="14"/>
  <c r="I951" i="14"/>
  <c r="I458" i="14"/>
  <c r="H741" i="14"/>
  <c r="I45" i="14"/>
  <c r="H167" i="14"/>
  <c r="H400" i="14"/>
  <c r="I135" i="14"/>
  <c r="H358" i="14"/>
  <c r="H499" i="14"/>
  <c r="I399" i="14"/>
  <c r="H320" i="14"/>
  <c r="H124" i="14"/>
  <c r="H96" i="14"/>
  <c r="I868" i="14"/>
  <c r="H730" i="14"/>
  <c r="I148" i="14"/>
  <c r="H905" i="14"/>
  <c r="H834" i="14"/>
  <c r="I867" i="14"/>
  <c r="I464" i="14"/>
  <c r="H845" i="14"/>
  <c r="I238" i="14"/>
  <c r="H864" i="14"/>
  <c r="H231" i="14"/>
  <c r="I803" i="14"/>
  <c r="I583" i="14"/>
  <c r="I49" i="14"/>
  <c r="I508" i="14"/>
  <c r="H842" i="14"/>
  <c r="H609" i="14"/>
  <c r="I859" i="14"/>
  <c r="I273" i="14"/>
  <c r="I62" i="14"/>
  <c r="I128" i="14"/>
  <c r="H808" i="14"/>
  <c r="H459" i="14"/>
  <c r="I825" i="14"/>
  <c r="H376" i="14"/>
  <c r="I683" i="14"/>
  <c r="I856" i="14"/>
  <c r="I400" i="14"/>
  <c r="H811" i="14"/>
  <c r="H281" i="14"/>
  <c r="I864" i="14"/>
  <c r="H818" i="14"/>
  <c r="H149" i="14"/>
  <c r="H605" i="14"/>
  <c r="I966" i="14"/>
  <c r="H855" i="14"/>
  <c r="H683" i="14"/>
  <c r="I786" i="14"/>
  <c r="I174" i="14"/>
  <c r="H118" i="14"/>
  <c r="I475" i="14"/>
  <c r="I440" i="14"/>
  <c r="H395" i="14"/>
  <c r="H489" i="14"/>
  <c r="I478" i="14"/>
  <c r="H53" i="14"/>
  <c r="H319" i="14"/>
  <c r="H602" i="14"/>
  <c r="I619" i="14"/>
  <c r="I92" i="14"/>
  <c r="I711" i="14"/>
  <c r="I318" i="14"/>
  <c r="I761" i="14"/>
  <c r="I912" i="14"/>
  <c r="H727" i="14"/>
  <c r="H632" i="14"/>
  <c r="H384" i="14"/>
  <c r="I937" i="14"/>
  <c r="H731" i="14"/>
  <c r="I814" i="14"/>
  <c r="I574" i="14"/>
  <c r="I471" i="14"/>
  <c r="I636" i="14"/>
  <c r="H379" i="14"/>
  <c r="I545" i="14"/>
  <c r="I96" i="14"/>
  <c r="H323" i="14"/>
  <c r="I214" i="14"/>
  <c r="I126" i="14"/>
  <c r="H960" i="14"/>
  <c r="I25" i="14"/>
  <c r="I885" i="14"/>
  <c r="H501" i="14"/>
  <c r="H900" i="14"/>
  <c r="H423" i="14"/>
  <c r="H964" i="14"/>
  <c r="I438" i="14"/>
  <c r="I815" i="14"/>
  <c r="I832" i="14"/>
  <c r="I39" i="14"/>
  <c r="H567" i="14"/>
  <c r="I436" i="14"/>
  <c r="H907" i="14"/>
  <c r="H462" i="14"/>
  <c r="H854" i="14"/>
  <c r="I505" i="14"/>
  <c r="I696" i="14"/>
  <c r="H13" i="14"/>
  <c r="H47" i="14"/>
  <c r="H799" i="14"/>
  <c r="H477" i="14"/>
  <c r="H289" i="14"/>
  <c r="H330" i="14"/>
  <c r="H143" i="14"/>
  <c r="I701" i="14"/>
  <c r="H894" i="14"/>
  <c r="I338" i="14"/>
  <c r="H601" i="14"/>
  <c r="I670" i="14"/>
  <c r="H706" i="14"/>
  <c r="H823" i="14"/>
  <c r="I523" i="14"/>
  <c r="I272" i="14"/>
  <c r="H107" i="14"/>
  <c r="H366" i="14"/>
  <c r="H57" i="14"/>
  <c r="H772" i="14"/>
  <c r="H723" i="14"/>
  <c r="I329" i="14"/>
  <c r="I553" i="14"/>
  <c r="H436" i="14"/>
  <c r="I271" i="14"/>
  <c r="I710" i="14"/>
  <c r="I831" i="14"/>
  <c r="I446" i="14"/>
  <c r="H837" i="14"/>
  <c r="H494" i="14"/>
  <c r="I734" i="14"/>
  <c r="H240" i="14"/>
  <c r="H68" i="14"/>
  <c r="I335" i="14"/>
  <c r="H985" i="14"/>
  <c r="H274" i="14"/>
  <c r="I510" i="14"/>
  <c r="H41" i="14"/>
  <c r="H829" i="14"/>
  <c r="I450" i="14"/>
  <c r="I685" i="14"/>
  <c r="I224" i="14"/>
  <c r="I441" i="14"/>
  <c r="H728" i="14"/>
  <c r="H815" i="14"/>
  <c r="H560" i="14"/>
  <c r="H887" i="14"/>
  <c r="I93" i="14"/>
  <c r="H726" i="14"/>
  <c r="H417" i="14"/>
  <c r="I995" i="14"/>
  <c r="H449" i="14"/>
  <c r="I296" i="14"/>
  <c r="H256" i="14"/>
  <c r="I587" i="14"/>
  <c r="I987" i="14"/>
  <c r="H543" i="14"/>
  <c r="H445" i="14"/>
  <c r="H890" i="14"/>
  <c r="I379" i="14"/>
  <c r="H480" i="14"/>
  <c r="I765" i="14"/>
  <c r="I521" i="14"/>
  <c r="I434" i="14"/>
  <c r="H669" i="14"/>
  <c r="I393" i="14"/>
  <c r="H220" i="14"/>
  <c r="I738" i="14"/>
  <c r="H43" i="14"/>
  <c r="H90" i="14"/>
  <c r="H325" i="14"/>
  <c r="H558" i="14"/>
  <c r="I571" i="14"/>
  <c r="I56" i="14"/>
  <c r="H701" i="14"/>
  <c r="I285" i="14"/>
  <c r="I927" i="14"/>
  <c r="H528" i="14"/>
  <c r="I166" i="14"/>
  <c r="I439" i="14"/>
  <c r="I60" i="14"/>
  <c r="H33" i="14"/>
  <c r="H422" i="14"/>
  <c r="H266" i="14"/>
  <c r="I57" i="14"/>
  <c r="I300" i="14"/>
  <c r="H853" i="14"/>
  <c r="H593" i="14"/>
  <c r="H46" i="14"/>
  <c r="H300" i="14"/>
  <c r="I498" i="14"/>
  <c r="H796" i="14"/>
  <c r="I419" i="14"/>
  <c r="I802" i="14"/>
  <c r="H92" i="14"/>
  <c r="H103" i="14"/>
  <c r="I123" i="14"/>
  <c r="I460" i="14"/>
  <c r="H247" i="14"/>
  <c r="H59" i="14"/>
  <c r="H510" i="14"/>
  <c r="H304" i="14"/>
  <c r="I527" i="14"/>
  <c r="I406" i="14"/>
  <c r="I249" i="14"/>
  <c r="H382" i="14"/>
  <c r="I286" i="14"/>
  <c r="H292" i="14"/>
  <c r="I195" i="14"/>
  <c r="H779" i="14"/>
  <c r="H619" i="14"/>
  <c r="H69" i="14"/>
  <c r="I853" i="14"/>
  <c r="I774" i="14"/>
  <c r="H109" i="14"/>
  <c r="H628" i="14"/>
  <c r="H164" i="14"/>
  <c r="H679" i="14"/>
  <c r="H785" i="14"/>
  <c r="H80" i="14"/>
  <c r="I877" i="14"/>
  <c r="I469" i="14"/>
  <c r="H140" i="14"/>
  <c r="H641" i="14"/>
  <c r="H443" i="14"/>
  <c r="I919" i="14"/>
  <c r="H123" i="14"/>
  <c r="I644" i="14"/>
  <c r="I706" i="14"/>
  <c r="H992" i="14"/>
  <c r="I254" i="14"/>
  <c r="H784" i="14"/>
  <c r="I577" i="14"/>
  <c r="I327" i="14"/>
  <c r="H830" i="14"/>
  <c r="H91" i="14"/>
  <c r="I541" i="14"/>
  <c r="I978" i="14"/>
  <c r="I543" i="14"/>
  <c r="H734" i="14"/>
  <c r="H595" i="14"/>
  <c r="I36" i="14"/>
  <c r="H708" i="14"/>
  <c r="H691" i="14"/>
  <c r="H824" i="14"/>
  <c r="H438" i="14"/>
  <c r="I346" i="14"/>
  <c r="H189" i="14"/>
  <c r="I564" i="14"/>
  <c r="I18" i="14"/>
  <c r="H911" i="14"/>
  <c r="H857" i="14"/>
  <c r="I59" i="14"/>
  <c r="H350" i="14"/>
  <c r="I282" i="14"/>
  <c r="I956" i="14"/>
  <c r="I468" i="14"/>
  <c r="H352" i="14"/>
  <c r="I740" i="14"/>
  <c r="H48" i="14"/>
  <c r="I846" i="14"/>
  <c r="I570" i="14"/>
  <c r="I993" i="14"/>
  <c r="H185" i="14"/>
  <c r="I142" i="14"/>
  <c r="H656" i="14"/>
  <c r="H129" i="14"/>
  <c r="H121" i="14"/>
  <c r="I79" i="14"/>
  <c r="H257" i="14"/>
  <c r="I617" i="14"/>
  <c r="H119" i="14"/>
  <c r="H65" i="14"/>
  <c r="I253" i="14"/>
  <c r="H27" i="14"/>
  <c r="I336" i="14"/>
  <c r="I459" i="14"/>
  <c r="H722" i="14"/>
  <c r="H738" i="14"/>
  <c r="H990" i="14"/>
  <c r="H430" i="14"/>
  <c r="H950" i="14"/>
  <c r="H771" i="14"/>
  <c r="H833" i="14"/>
  <c r="I782" i="14"/>
  <c r="H935" i="14"/>
  <c r="I589" i="14"/>
  <c r="I265" i="14"/>
  <c r="H409" i="14"/>
  <c r="I920" i="14"/>
  <c r="I625" i="14"/>
  <c r="I990" i="14"/>
  <c r="I502" i="14"/>
  <c r="I592" i="14"/>
  <c r="H454" i="14"/>
  <c r="H128" i="14"/>
  <c r="H17" i="14"/>
  <c r="H699" i="14"/>
  <c r="I992" i="14"/>
  <c r="I284" i="14"/>
  <c r="I125" i="14"/>
  <c r="I340" i="14"/>
  <c r="I681" i="14"/>
  <c r="I241" i="14"/>
  <c r="I319" i="14"/>
  <c r="H578" i="14"/>
  <c r="H742" i="14"/>
  <c r="H455" i="14"/>
  <c r="I582" i="14"/>
  <c r="I626" i="14"/>
  <c r="H254" i="14"/>
  <c r="H668" i="14"/>
  <c r="I147" i="14"/>
  <c r="H681" i="14"/>
  <c r="I43" i="14"/>
  <c r="H492" i="14"/>
  <c r="H612" i="14"/>
  <c r="I876" i="14"/>
  <c r="I914" i="14"/>
  <c r="I231" i="14"/>
  <c r="I58" i="14"/>
  <c r="I729" i="14"/>
  <c r="H58" i="14"/>
  <c r="I321" i="14"/>
  <c r="H743" i="14"/>
  <c r="I549" i="14"/>
  <c r="H583" i="14"/>
  <c r="H263" i="14"/>
  <c r="I829" i="14"/>
  <c r="H327" i="14"/>
  <c r="H848" i="14"/>
  <c r="I906" i="14"/>
  <c r="I42" i="14"/>
  <c r="H565" i="14"/>
  <c r="I141" i="14"/>
  <c r="I84" i="14"/>
  <c r="H530" i="14"/>
  <c r="H872" i="14"/>
  <c r="H333" i="14"/>
  <c r="I75" i="14"/>
  <c r="H537" i="14"/>
  <c r="H620" i="14"/>
  <c r="I953" i="14"/>
  <c r="H166" i="14"/>
  <c r="H66" i="14"/>
  <c r="H276" i="14"/>
  <c r="H966" i="14"/>
  <c r="I606" i="14"/>
  <c r="I474" i="14"/>
  <c r="I417" i="14"/>
  <c r="H404" i="14"/>
  <c r="H856" i="14"/>
  <c r="I746" i="14"/>
  <c r="H570" i="14"/>
  <c r="H544" i="14"/>
  <c r="I420" i="14"/>
  <c r="H410" i="14"/>
  <c r="H984" i="14"/>
  <c r="H912" i="14"/>
  <c r="I971" i="14"/>
  <c r="I410" i="14"/>
  <c r="H714" i="14"/>
  <c r="H413" i="14"/>
  <c r="I374" i="14"/>
  <c r="H650" i="14"/>
  <c r="I668" i="14"/>
  <c r="I302" i="14"/>
  <c r="I278" i="14"/>
  <c r="I529" i="14"/>
  <c r="H23" i="14"/>
  <c r="I886" i="14"/>
  <c r="H553" i="14"/>
  <c r="H179" i="14"/>
  <c r="H898" i="14"/>
  <c r="I845" i="14"/>
  <c r="H588" i="14"/>
  <c r="H203" i="14"/>
  <c r="I71" i="14"/>
  <c r="I17" i="14"/>
  <c r="H315" i="14"/>
  <c r="I858" i="14"/>
  <c r="H692" i="14"/>
  <c r="I64" i="14"/>
  <c r="H873" i="14"/>
  <c r="I320" i="14"/>
  <c r="H483" i="14"/>
  <c r="H15" i="14"/>
  <c r="H351" i="14"/>
  <c r="H207" i="14"/>
  <c r="H782" i="14"/>
  <c r="I288" i="14"/>
  <c r="H457" i="14"/>
  <c r="I350" i="14"/>
  <c r="I447" i="14"/>
  <c r="I209" i="14"/>
  <c r="H35" i="14"/>
  <c r="H359" i="14"/>
  <c r="H909" i="14"/>
  <c r="I472" i="14"/>
  <c r="H223" i="14"/>
  <c r="I747" i="14"/>
  <c r="I55" i="14"/>
  <c r="H106" i="14"/>
  <c r="AF755" i="14"/>
  <c r="AE756" i="14"/>
  <c r="AF756" i="14" l="1"/>
  <c r="AE757" i="14"/>
  <c r="AF757" i="14" l="1"/>
  <c r="AE758" i="14"/>
  <c r="AF758" i="14" l="1"/>
  <c r="AE759" i="14"/>
  <c r="AF759" i="14" l="1"/>
  <c r="AE760" i="14"/>
  <c r="AF760" i="14" l="1"/>
  <c r="AE761" i="14"/>
  <c r="AF761" i="14" l="1"/>
  <c r="AE762" i="14"/>
  <c r="AF762" i="14" l="1"/>
  <c r="AE763" i="14"/>
  <c r="AF763" i="14" l="1"/>
  <c r="AE764" i="14"/>
  <c r="AF764" i="14" l="1"/>
  <c r="AE765" i="14"/>
  <c r="AF765" i="14" l="1"/>
  <c r="AE766" i="14"/>
  <c r="AF766" i="14" l="1"/>
  <c r="AE767" i="14"/>
  <c r="AF767" i="14" l="1"/>
  <c r="AE768" i="14"/>
  <c r="AF768" i="14" l="1"/>
  <c r="AE769" i="14"/>
  <c r="AF769" i="14" l="1"/>
  <c r="AE770" i="14"/>
  <c r="AF770" i="14" l="1"/>
  <c r="AE771" i="14"/>
  <c r="AF771" i="14" l="1"/>
  <c r="AE772" i="14"/>
  <c r="AF772" i="14" l="1"/>
  <c r="AE773" i="14"/>
  <c r="AF773" i="14" l="1"/>
  <c r="AE774" i="14"/>
  <c r="AF774" i="14" l="1"/>
  <c r="AE775" i="14"/>
  <c r="AF775" i="14" l="1"/>
  <c r="AE776" i="14"/>
  <c r="AF776" i="14" l="1"/>
  <c r="AE777" i="14"/>
  <c r="AF777" i="14" l="1"/>
  <c r="AE778" i="14"/>
  <c r="AF778" i="14" l="1"/>
  <c r="AE779" i="14"/>
  <c r="AF779" i="14" l="1"/>
  <c r="AE780" i="14"/>
  <c r="AF780" i="14" l="1"/>
  <c r="AE781" i="14"/>
  <c r="AF781" i="14" l="1"/>
  <c r="AE782" i="14"/>
  <c r="AF782" i="14" l="1"/>
  <c r="AE783" i="14"/>
  <c r="AF783" i="14" l="1"/>
  <c r="AE784" i="14"/>
  <c r="AF784" i="14" l="1"/>
  <c r="AE785" i="14"/>
  <c r="AF785" i="14" l="1"/>
  <c r="AE786" i="14"/>
  <c r="AF786" i="14" l="1"/>
  <c r="AE787" i="14"/>
  <c r="AF787" i="14" l="1"/>
  <c r="AE788" i="14"/>
  <c r="AF788" i="14" l="1"/>
  <c r="AE789" i="14"/>
  <c r="AF789" i="14" l="1"/>
  <c r="AE790" i="14"/>
  <c r="AF790" i="14" l="1"/>
  <c r="AE791" i="14"/>
  <c r="AF791" i="14" l="1"/>
  <c r="AE792" i="14"/>
  <c r="AF792" i="14" l="1"/>
  <c r="AE793" i="14"/>
  <c r="AF793" i="14" l="1"/>
  <c r="AE794" i="14"/>
  <c r="AF794" i="14" l="1"/>
  <c r="AE795" i="14"/>
  <c r="AF795" i="14" l="1"/>
  <c r="AE796" i="14"/>
  <c r="AF796" i="14" l="1"/>
  <c r="AE797" i="14"/>
  <c r="AF797" i="14" l="1"/>
  <c r="AE798" i="14"/>
  <c r="AF798" i="14" l="1"/>
  <c r="AE799" i="14"/>
  <c r="AF799" i="14" l="1"/>
  <c r="AE800" i="14"/>
  <c r="AF800" i="14" l="1"/>
  <c r="AE801" i="14"/>
  <c r="AF801" i="14" l="1"/>
  <c r="AE802" i="14"/>
  <c r="AF802" i="14" l="1"/>
  <c r="AE803" i="14"/>
  <c r="AF803" i="14" l="1"/>
  <c r="AE804" i="14"/>
  <c r="AF804" i="14" l="1"/>
  <c r="AE805" i="14"/>
  <c r="AF805" i="14" l="1"/>
  <c r="AE806" i="14"/>
  <c r="AF806" i="14" l="1"/>
  <c r="AE807" i="14"/>
  <c r="AF807" i="14" l="1"/>
  <c r="AE808" i="14"/>
  <c r="AF808" i="14" l="1"/>
  <c r="AE809" i="14"/>
  <c r="AF809" i="14" l="1"/>
  <c r="AE810" i="14"/>
  <c r="AF810" i="14" l="1"/>
  <c r="AE811" i="14"/>
  <c r="AF811" i="14" l="1"/>
  <c r="AE812" i="14"/>
  <c r="AF812" i="14" l="1"/>
  <c r="AE813" i="14"/>
  <c r="AF813" i="14" l="1"/>
  <c r="AE814" i="14"/>
  <c r="AF814" i="14" l="1"/>
  <c r="AE815" i="14"/>
  <c r="AF815" i="14" l="1"/>
  <c r="AE816" i="14"/>
  <c r="AF816" i="14" l="1"/>
  <c r="AE817" i="14"/>
  <c r="AF817" i="14" l="1"/>
  <c r="AE818" i="14"/>
  <c r="AF818" i="14" l="1"/>
  <c r="AE819" i="14"/>
  <c r="AF819" i="14" l="1"/>
  <c r="AE820" i="14"/>
  <c r="AF820" i="14" l="1"/>
  <c r="AE821" i="14"/>
  <c r="AF821" i="14" l="1"/>
  <c r="AE822" i="14"/>
  <c r="AF822" i="14" l="1"/>
  <c r="AE823" i="14"/>
  <c r="AF823" i="14" l="1"/>
  <c r="AE824" i="14"/>
  <c r="AF824" i="14" l="1"/>
  <c r="AE825" i="14"/>
  <c r="AF825" i="14" l="1"/>
  <c r="AE826" i="14"/>
  <c r="AF826" i="14" l="1"/>
  <c r="AE827" i="14"/>
  <c r="AF827" i="14" l="1"/>
  <c r="AE828" i="14"/>
  <c r="AF828" i="14" l="1"/>
  <c r="AE829" i="14"/>
  <c r="AF829" i="14" l="1"/>
  <c r="AE830" i="14"/>
  <c r="AF830" i="14" l="1"/>
  <c r="AE831" i="14"/>
  <c r="AF831" i="14" l="1"/>
  <c r="AE832" i="14"/>
  <c r="AF832" i="14" l="1"/>
  <c r="AE833" i="14"/>
  <c r="AF833" i="14" l="1"/>
  <c r="AE834" i="14"/>
  <c r="AF834" i="14" l="1"/>
  <c r="AE835" i="14"/>
  <c r="AF835" i="14" l="1"/>
  <c r="AE836" i="14"/>
  <c r="AF836" i="14" l="1"/>
  <c r="AE837" i="14"/>
  <c r="AF837" i="14" l="1"/>
  <c r="AE838" i="14"/>
  <c r="AF838" i="14" l="1"/>
  <c r="AE839" i="14"/>
  <c r="AF839" i="14" l="1"/>
  <c r="AE840" i="14"/>
  <c r="AF840" i="14" l="1"/>
  <c r="AE841" i="14"/>
  <c r="AF841" i="14" l="1"/>
  <c r="AE842" i="14"/>
  <c r="AF842" i="14" l="1"/>
  <c r="AE843" i="14"/>
  <c r="AF843" i="14" l="1"/>
  <c r="AE844" i="14"/>
  <c r="AF844" i="14" l="1"/>
  <c r="AE845" i="14"/>
  <c r="AF845" i="14" l="1"/>
  <c r="AE846" i="14"/>
  <c r="AF846" i="14" l="1"/>
  <c r="AE847" i="14"/>
  <c r="AF847" i="14" l="1"/>
  <c r="AE848" i="14"/>
  <c r="AF848" i="14" l="1"/>
  <c r="AE849" i="14"/>
  <c r="AF849" i="14" l="1"/>
  <c r="AE850" i="14"/>
  <c r="AF850" i="14" l="1"/>
  <c r="AE851" i="14"/>
  <c r="AF851" i="14" l="1"/>
  <c r="AE852" i="14"/>
  <c r="AF852" i="14" l="1"/>
  <c r="AE853" i="14"/>
  <c r="AF853" i="14" l="1"/>
  <c r="AE854" i="14"/>
  <c r="AF854" i="14" l="1"/>
  <c r="AE855" i="14"/>
  <c r="AF855" i="14" l="1"/>
  <c r="AE856" i="14"/>
  <c r="AF856" i="14" l="1"/>
  <c r="AE857" i="14"/>
  <c r="AF857" i="14" l="1"/>
  <c r="AE858" i="14"/>
  <c r="AF858" i="14" l="1"/>
  <c r="AE859" i="14"/>
  <c r="AE860" i="14" l="1"/>
  <c r="AF859" i="14"/>
  <c r="AF860" i="14" l="1"/>
  <c r="AE861" i="14"/>
  <c r="AF861" i="14" l="1"/>
  <c r="AE862" i="14"/>
  <c r="AF862" i="14" l="1"/>
  <c r="AE863" i="14"/>
  <c r="AE864" i="14" l="1"/>
  <c r="AF863" i="14"/>
  <c r="AE865" i="14" l="1"/>
  <c r="AF864" i="14"/>
  <c r="AF865" i="14" l="1"/>
  <c r="AE866" i="14"/>
  <c r="AF866" i="14" l="1"/>
  <c r="AE867" i="14"/>
  <c r="AE868" i="14" l="1"/>
  <c r="AF867" i="14"/>
  <c r="AF868" i="14" l="1"/>
  <c r="AE869" i="14"/>
  <c r="AF869" i="14" l="1"/>
  <c r="AE870" i="14"/>
  <c r="AF870" i="14" l="1"/>
  <c r="AE871" i="14"/>
  <c r="AE872" i="14" l="1"/>
  <c r="AF871" i="14"/>
  <c r="AF872" i="14" l="1"/>
  <c r="AE873" i="14"/>
  <c r="AF873" i="14" l="1"/>
  <c r="AE874" i="14"/>
  <c r="AF874" i="14" l="1"/>
  <c r="AE875" i="14"/>
  <c r="AE876" i="14" l="1"/>
  <c r="AF875" i="14"/>
  <c r="AF876" i="14" l="1"/>
  <c r="AE877" i="14"/>
  <c r="AF877" i="14" l="1"/>
  <c r="AE878" i="14"/>
  <c r="AF878" i="14" l="1"/>
  <c r="AE879" i="14"/>
  <c r="AE880" i="14" l="1"/>
  <c r="AF879" i="14"/>
  <c r="AF880" i="14" l="1"/>
  <c r="AE881" i="14"/>
  <c r="AF881" i="14" l="1"/>
  <c r="AE882" i="14"/>
  <c r="AF882" i="14" l="1"/>
  <c r="AE883" i="14"/>
  <c r="AE884" i="14" l="1"/>
  <c r="AF883" i="14"/>
  <c r="AF884" i="14" l="1"/>
  <c r="AE885" i="14"/>
  <c r="AF885" i="14" l="1"/>
  <c r="AE886" i="14"/>
  <c r="AF886" i="14" l="1"/>
  <c r="AE887" i="14"/>
  <c r="AE888" i="14" l="1"/>
  <c r="AF887" i="14"/>
  <c r="AF888" i="14" l="1"/>
  <c r="AE889" i="14"/>
  <c r="AF889" i="14" l="1"/>
  <c r="AE890" i="14"/>
  <c r="AF890" i="14" l="1"/>
  <c r="AE891" i="14"/>
  <c r="AE892" i="14" l="1"/>
  <c r="AF891" i="14"/>
  <c r="AF892" i="14" l="1"/>
  <c r="AE893" i="14"/>
  <c r="AF893" i="14" l="1"/>
  <c r="AE894" i="14"/>
  <c r="AF894" i="14" l="1"/>
  <c r="AE895" i="14"/>
  <c r="AE896" i="14" l="1"/>
  <c r="AF895" i="14"/>
  <c r="AF896" i="14" l="1"/>
  <c r="AE897" i="14"/>
  <c r="AF897" i="14" l="1"/>
  <c r="AE898" i="14"/>
  <c r="AF898" i="14" l="1"/>
  <c r="AE899" i="14"/>
  <c r="AE900" i="14" l="1"/>
  <c r="AF899" i="14"/>
  <c r="AF900" i="14" l="1"/>
  <c r="AE901" i="14"/>
  <c r="AF901" i="14" l="1"/>
  <c r="AE902" i="14"/>
  <c r="AE903" i="14" l="1"/>
  <c r="AF902" i="14"/>
  <c r="AF903" i="14" l="1"/>
  <c r="AE904" i="14"/>
  <c r="AE905" i="14" l="1"/>
  <c r="AF904" i="14"/>
  <c r="AF905" i="14" l="1"/>
  <c r="AE906" i="14"/>
  <c r="AE907" i="14" l="1"/>
  <c r="AF906" i="14"/>
  <c r="AF907" i="14" l="1"/>
  <c r="AE908" i="14"/>
  <c r="AE909" i="14" l="1"/>
  <c r="AF908" i="14"/>
  <c r="AF909" i="14" l="1"/>
  <c r="AE910" i="14"/>
  <c r="AE911" i="14" l="1"/>
  <c r="AF910" i="14"/>
  <c r="AF911" i="14" l="1"/>
  <c r="AE912" i="14"/>
  <c r="AE913" i="14" l="1"/>
  <c r="AF912" i="14"/>
  <c r="AF913" i="14" l="1"/>
  <c r="AE914" i="14"/>
  <c r="AE915" i="14" l="1"/>
  <c r="AF914" i="14"/>
  <c r="AF915" i="14" l="1"/>
  <c r="AE916" i="14"/>
  <c r="AE917" i="14" l="1"/>
  <c r="AF916" i="14"/>
  <c r="AF917" i="14" l="1"/>
  <c r="AE918" i="14"/>
  <c r="AE919" i="14" l="1"/>
  <c r="AF918" i="14"/>
  <c r="AF919" i="14" l="1"/>
  <c r="AE920" i="14"/>
  <c r="AE921" i="14" l="1"/>
  <c r="AF920" i="14"/>
  <c r="AF921" i="14" l="1"/>
  <c r="AE922" i="14"/>
  <c r="AE923" i="14" l="1"/>
  <c r="AF922" i="14"/>
  <c r="AF923" i="14" l="1"/>
  <c r="AE924" i="14"/>
  <c r="AE925" i="14" l="1"/>
  <c r="AF924" i="14"/>
  <c r="AF925" i="14" l="1"/>
  <c r="AE926" i="14"/>
  <c r="AE927" i="14" l="1"/>
  <c r="AF926" i="14"/>
  <c r="AF927" i="14" l="1"/>
  <c r="AE928" i="14"/>
  <c r="AE929" i="14" l="1"/>
  <c r="AF928" i="14"/>
  <c r="AF929" i="14" l="1"/>
  <c r="AE930" i="14"/>
  <c r="AE931" i="14" l="1"/>
  <c r="AF930" i="14"/>
  <c r="AF931" i="14" l="1"/>
  <c r="AE932" i="14"/>
  <c r="AE933" i="14" l="1"/>
  <c r="AF932" i="14"/>
  <c r="AF933" i="14" l="1"/>
  <c r="AE934" i="14"/>
  <c r="AE935" i="14" l="1"/>
  <c r="AF934" i="14"/>
  <c r="AF935" i="14" l="1"/>
  <c r="AE936" i="14"/>
  <c r="AE937" i="14" l="1"/>
  <c r="AF936" i="14"/>
  <c r="AF937" i="14" l="1"/>
  <c r="AE938" i="14"/>
  <c r="AE939" i="14" l="1"/>
  <c r="AF938" i="14"/>
  <c r="AF939" i="14" l="1"/>
  <c r="AE940" i="14"/>
  <c r="AE941" i="14" l="1"/>
  <c r="AF940" i="14"/>
  <c r="AF941" i="14" l="1"/>
  <c r="AE942" i="14"/>
  <c r="AE943" i="14" l="1"/>
  <c r="AF942" i="14"/>
  <c r="AF943" i="14" l="1"/>
  <c r="AE944" i="14"/>
  <c r="AE945" i="14" l="1"/>
  <c r="AF944" i="14"/>
  <c r="AF945" i="14" l="1"/>
  <c r="AE946" i="14"/>
  <c r="AE947" i="14" l="1"/>
  <c r="AF946" i="14"/>
  <c r="AF947" i="14" l="1"/>
  <c r="AE948" i="14"/>
  <c r="AE949" i="14" l="1"/>
  <c r="AF948" i="14"/>
  <c r="AF949" i="14" l="1"/>
  <c r="AE950" i="14"/>
  <c r="AE951" i="14" l="1"/>
  <c r="AF950" i="14"/>
  <c r="AF951" i="14" l="1"/>
  <c r="AE952" i="14"/>
  <c r="AE953" i="14" l="1"/>
  <c r="AF952" i="14"/>
  <c r="AF953" i="14" l="1"/>
  <c r="AE954" i="14"/>
  <c r="AE955" i="14" l="1"/>
  <c r="AF954" i="14"/>
  <c r="AF955" i="14" l="1"/>
  <c r="AE956" i="14"/>
  <c r="AE957" i="14" l="1"/>
  <c r="AF956" i="14"/>
  <c r="AF957" i="14" l="1"/>
  <c r="AE958" i="14"/>
  <c r="AE959" i="14" l="1"/>
  <c r="AF958" i="14"/>
  <c r="AF959" i="14" l="1"/>
  <c r="AE960" i="14"/>
  <c r="AE961" i="14" l="1"/>
  <c r="AF960" i="14"/>
  <c r="AF961" i="14" l="1"/>
  <c r="AE962" i="14"/>
  <c r="AE963" i="14" l="1"/>
  <c r="AF962" i="14"/>
  <c r="AF963" i="14" l="1"/>
  <c r="AE964" i="14"/>
  <c r="AE965" i="14" l="1"/>
  <c r="AF964" i="14"/>
  <c r="AF965" i="14" l="1"/>
  <c r="AE966" i="14"/>
  <c r="AE967" i="14" l="1"/>
  <c r="AF966" i="14"/>
  <c r="AF967" i="14" l="1"/>
  <c r="AE968" i="14"/>
  <c r="AE969" i="14" l="1"/>
  <c r="AF968" i="14"/>
  <c r="AF969" i="14" l="1"/>
  <c r="AE970" i="14"/>
  <c r="AE971" i="14" l="1"/>
  <c r="AF970" i="14"/>
  <c r="AF971" i="14" l="1"/>
  <c r="AE972" i="14"/>
  <c r="AE973" i="14" l="1"/>
  <c r="AF972" i="14"/>
  <c r="AF973" i="14" l="1"/>
  <c r="AE974" i="14"/>
  <c r="AE975" i="14" l="1"/>
  <c r="AF974" i="14"/>
  <c r="AF975" i="14" l="1"/>
  <c r="AE976" i="14"/>
  <c r="AE977" i="14" l="1"/>
  <c r="AF976" i="14"/>
  <c r="AF977" i="14" l="1"/>
  <c r="AE978" i="14"/>
  <c r="AE979" i="14" l="1"/>
  <c r="AF978" i="14"/>
  <c r="AF979" i="14" l="1"/>
  <c r="AE980" i="14"/>
  <c r="AE981" i="14" l="1"/>
  <c r="AF980" i="14"/>
  <c r="AF981" i="14" l="1"/>
  <c r="AE982" i="14"/>
  <c r="AE983" i="14" l="1"/>
  <c r="AF982" i="14"/>
  <c r="AF983" i="14" l="1"/>
  <c r="AE984" i="14"/>
  <c r="AE985" i="14" l="1"/>
  <c r="AF984" i="14"/>
  <c r="AF985" i="14" l="1"/>
  <c r="AE986" i="14"/>
  <c r="AE987" i="14" l="1"/>
  <c r="AF986" i="14"/>
  <c r="AF987" i="14" l="1"/>
  <c r="AE988" i="14"/>
  <c r="AE989" i="14" l="1"/>
  <c r="AF988" i="14"/>
  <c r="AF989" i="14" l="1"/>
  <c r="AE990" i="14"/>
  <c r="AE991" i="14" l="1"/>
  <c r="AF990" i="14"/>
  <c r="AF991" i="14" l="1"/>
  <c r="AE992" i="14"/>
  <c r="AE993" i="14" l="1"/>
  <c r="AF992" i="14"/>
  <c r="AF993" i="14" l="1"/>
  <c r="AE994" i="14"/>
  <c r="AE995" i="14" l="1"/>
  <c r="AF994" i="14"/>
  <c r="AF995" i="14" l="1"/>
  <c r="AE996" i="14"/>
  <c r="AE997" i="14" l="1"/>
  <c r="AF996" i="14"/>
  <c r="AF997" i="14" l="1"/>
  <c r="AE998" i="14"/>
  <c r="AE999" i="14" l="1"/>
  <c r="AF998" i="14"/>
  <c r="AF999" i="14" l="1"/>
  <c r="AE1000" i="14"/>
  <c r="AE1001" i="14" l="1"/>
  <c r="AF1000" i="14"/>
  <c r="AF1001" i="14" l="1"/>
  <c r="AE1002" i="14"/>
  <c r="AF1002" i="14" s="1"/>
  <c r="J2" i="14" s="1"/>
</calcChain>
</file>

<file path=xl/sharedStrings.xml><?xml version="1.0" encoding="utf-8"?>
<sst xmlns="http://schemas.openxmlformats.org/spreadsheetml/2006/main" count="424" uniqueCount="307">
  <si>
    <t>Firm</t>
  </si>
  <si>
    <t>Employment</t>
  </si>
  <si>
    <t>Industry</t>
  </si>
  <si>
    <t>Geography</t>
  </si>
  <si>
    <t>Index</t>
  </si>
  <si>
    <t xml:space="preserve">Scale = </t>
  </si>
  <si>
    <t>U</t>
  </si>
  <si>
    <t>Grand Total</t>
  </si>
  <si>
    <t>Sum of Employment</t>
  </si>
  <si>
    <t>Firm Size</t>
  </si>
  <si>
    <t>Sensitivity (S*):</t>
  </si>
  <si>
    <r>
      <t>Privacy Parameter (</t>
    </r>
    <r>
      <rPr>
        <sz val="11"/>
        <color theme="1"/>
        <rFont val="Symbol"/>
        <family val="1"/>
        <charset val="2"/>
      </rPr>
      <t>e</t>
    </r>
    <r>
      <rPr>
        <sz val="11"/>
        <color theme="1"/>
        <rFont val="Calibri"/>
        <family val="2"/>
        <scheme val="minor"/>
      </rPr>
      <t>):</t>
    </r>
  </si>
  <si>
    <t>Noise Factor</t>
  </si>
  <si>
    <r>
      <t>Scale (S*/</t>
    </r>
    <r>
      <rPr>
        <sz val="11"/>
        <color theme="1"/>
        <rFont val="Symbol"/>
        <family val="1"/>
        <charset val="2"/>
      </rPr>
      <t>e</t>
    </r>
    <r>
      <rPr>
        <sz val="11"/>
        <color theme="1"/>
        <rFont val="Calibri"/>
        <family val="2"/>
        <scheme val="minor"/>
      </rPr>
      <t>):</t>
    </r>
  </si>
  <si>
    <t>L1 Error</t>
  </si>
  <si>
    <t>Total Error:</t>
  </si>
  <si>
    <t>Relative Error:</t>
  </si>
  <si>
    <t>Total privacy budget:</t>
  </si>
  <si>
    <t>Group Index</t>
  </si>
  <si>
    <t>Group Minimum</t>
  </si>
  <si>
    <t>Industry Size</t>
  </si>
  <si>
    <t>Protected Counts</t>
  </si>
  <si>
    <r>
      <t>Multiplicative Factor (</t>
    </r>
    <r>
      <rPr>
        <sz val="11"/>
        <color theme="1"/>
        <rFont val="Symbol"/>
        <family val="1"/>
        <charset val="2"/>
      </rPr>
      <t>a</t>
    </r>
    <r>
      <rPr>
        <sz val="11"/>
        <color theme="1"/>
        <rFont val="Calibri"/>
        <family val="2"/>
        <scheme val="minor"/>
      </rPr>
      <t>):</t>
    </r>
  </si>
  <si>
    <t>Max Firm Employment</t>
  </si>
  <si>
    <t>Smooth Sensitivity</t>
  </si>
  <si>
    <t>Lap(1)</t>
  </si>
  <si>
    <t>s</t>
  </si>
  <si>
    <t>Protected Counts (Agg.)</t>
  </si>
  <si>
    <t>see below</t>
  </si>
  <si>
    <t>Scale</t>
  </si>
  <si>
    <t>(because we are publishing 2 tables)</t>
  </si>
  <si>
    <t>Unprotected Emp. Count</t>
  </si>
  <si>
    <t>Unprotected Firm Count</t>
  </si>
  <si>
    <t>Count of Firm</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</si>
  <si>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</si>
  <si>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</si>
  <si>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</si>
  <si>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</si>
  <si>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</si>
  <si>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</si>
  <si>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</si>
  <si>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</si>
  <si>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</si>
  <si>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</si>
  <si>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</si>
  <si>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</si>
  <si>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</si>
  <si>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</si>
  <si>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</si>
  <si>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</si>
  <si>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</si>
  <si>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</si>
  <si>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</si>
  <si>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</si>
  <si>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</si>
  <si>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</si>
  <si>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</si>
  <si>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</si>
  <si>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</si>
  <si>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</si>
  <si>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</si>
  <si>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</si>
  <si>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</si>
  <si>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</si>
  <si>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</si>
  <si>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</si>
  <si>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</si>
  <si>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</si>
  <si>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</si>
  <si>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</si>
  <si>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</si>
  <si>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</si>
  <si>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</si>
  <si>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</si>
  <si>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</si>
  <si>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</si>
  <si>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</si>
  <si>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</si>
  <si>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</si>
  <si>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</si>
  <si>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</si>
  <si>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</si>
  <si>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</si>
  <si>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</si>
  <si>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</si>
  <si>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</si>
  <si>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</si>
  <si>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</si>
  <si>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</si>
  <si>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</si>
  <si>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</si>
  <si>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</si>
  <si>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</si>
  <si>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</si>
  <si>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</si>
  <si>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</si>
  <si>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</si>
  <si>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</si>
  <si>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</si>
  <si>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</si>
  <si>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</si>
  <si>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</si>
  <si>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</si>
  <si>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</si>
  <si>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</si>
  <si>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</si>
  <si>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</si>
  <si>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</si>
  <si>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CW</t>
  </si>
  <si>
    <t>CX</t>
  </si>
  <si>
    <t>CY</t>
  </si>
  <si>
    <t>CZ</t>
  </si>
  <si>
    <t>DA</t>
  </si>
  <si>
    <t>DB</t>
  </si>
  <si>
    <t>DC</t>
  </si>
  <si>
    <t>DD</t>
  </si>
  <si>
    <t>DE</t>
  </si>
  <si>
    <t>DF</t>
  </si>
  <si>
    <t>DG</t>
  </si>
  <si>
    <t>DH</t>
  </si>
  <si>
    <t>DI</t>
  </si>
  <si>
    <t>DJ</t>
  </si>
  <si>
    <t>DK</t>
  </si>
  <si>
    <t>DL</t>
  </si>
  <si>
    <t>DM</t>
  </si>
  <si>
    <t>DN</t>
  </si>
  <si>
    <t>DO</t>
  </si>
  <si>
    <t>DP</t>
  </si>
  <si>
    <t>DQ</t>
  </si>
  <si>
    <t>DR</t>
  </si>
  <si>
    <t>DS</t>
  </si>
  <si>
    <t>DT</t>
  </si>
  <si>
    <t>DU</t>
  </si>
  <si>
    <t>DV</t>
  </si>
  <si>
    <t>DW</t>
  </si>
  <si>
    <t>DX</t>
  </si>
  <si>
    <t>DY</t>
  </si>
  <si>
    <t>DZ</t>
  </si>
  <si>
    <t>EA</t>
  </si>
  <si>
    <t>EB</t>
  </si>
  <si>
    <t>EC</t>
  </si>
  <si>
    <t>ED</t>
  </si>
  <si>
    <t>EE</t>
  </si>
  <si>
    <t>EF</t>
  </si>
  <si>
    <t>EG</t>
  </si>
  <si>
    <t>EH</t>
  </si>
  <si>
    <t>EI</t>
  </si>
  <si>
    <t>EJ</t>
  </si>
  <si>
    <t>EK</t>
  </si>
  <si>
    <t>EL</t>
  </si>
  <si>
    <t>EM</t>
  </si>
  <si>
    <t>EN</t>
  </si>
  <si>
    <t>EO</t>
  </si>
  <si>
    <t>EP</t>
  </si>
  <si>
    <t>EQ</t>
  </si>
  <si>
    <t>ER</t>
  </si>
  <si>
    <t>ES</t>
  </si>
  <si>
    <t>ET</t>
  </si>
  <si>
    <t>EU</t>
  </si>
  <si>
    <t>EV</t>
  </si>
  <si>
    <t>EW</t>
  </si>
  <si>
    <t>EX</t>
  </si>
  <si>
    <t>EY</t>
  </si>
  <si>
    <t>EZ</t>
  </si>
  <si>
    <t>FA</t>
  </si>
  <si>
    <t>FB</t>
  </si>
  <si>
    <t>FC</t>
  </si>
  <si>
    <t>FD</t>
  </si>
  <si>
    <t>FE</t>
  </si>
  <si>
    <t>FF</t>
  </si>
  <si>
    <t>FG</t>
  </si>
  <si>
    <t>FH</t>
  </si>
  <si>
    <t>FI</t>
  </si>
  <si>
    <t>FJ</t>
  </si>
  <si>
    <t>FK</t>
  </si>
  <si>
    <t>FL</t>
  </si>
  <si>
    <t>FM</t>
  </si>
  <si>
    <t>FN</t>
  </si>
  <si>
    <t>FO</t>
  </si>
  <si>
    <t>FP</t>
  </si>
  <si>
    <t>FQ</t>
  </si>
  <si>
    <t>FR</t>
  </si>
  <si>
    <t>FS</t>
  </si>
  <si>
    <t>FT</t>
  </si>
  <si>
    <t>FU</t>
  </si>
  <si>
    <t>FV</t>
  </si>
  <si>
    <t>FW</t>
  </si>
  <si>
    <t>FX</t>
  </si>
  <si>
    <t>FY</t>
  </si>
  <si>
    <t>FZ</t>
  </si>
  <si>
    <t>GA</t>
  </si>
  <si>
    <t>GB</t>
  </si>
  <si>
    <t>GC</t>
  </si>
  <si>
    <t>GD</t>
  </si>
  <si>
    <t>GE</t>
  </si>
  <si>
    <t>GF</t>
  </si>
  <si>
    <t>GG</t>
  </si>
  <si>
    <t>GH</t>
  </si>
  <si>
    <t>GI</t>
  </si>
  <si>
    <t>GJ</t>
  </si>
  <si>
    <t>GK</t>
  </si>
  <si>
    <t>GL</t>
  </si>
  <si>
    <t>GM</t>
  </si>
  <si>
    <t>GN</t>
  </si>
  <si>
    <t>GO</t>
  </si>
  <si>
    <t>GP</t>
  </si>
  <si>
    <t>GQ</t>
  </si>
  <si>
    <t>GR</t>
  </si>
  <si>
    <t>GS</t>
  </si>
  <si>
    <t>GT</t>
  </si>
  <si>
    <t>GU</t>
  </si>
  <si>
    <t>GV</t>
  </si>
  <si>
    <t>GW</t>
  </si>
  <si>
    <t>GX</t>
  </si>
  <si>
    <t>GY</t>
  </si>
  <si>
    <t>GZ</t>
  </si>
  <si>
    <t>HA</t>
  </si>
  <si>
    <t>HB</t>
  </si>
  <si>
    <t>HC</t>
  </si>
  <si>
    <t>HD</t>
  </si>
  <si>
    <t>HE</t>
  </si>
  <si>
    <t>HF</t>
  </si>
  <si>
    <t>HG</t>
  </si>
  <si>
    <t>HH</t>
  </si>
  <si>
    <t>HI</t>
  </si>
  <si>
    <t>HJ</t>
  </si>
  <si>
    <t>HK</t>
  </si>
  <si>
    <t>HL</t>
  </si>
  <si>
    <t>HM</t>
  </si>
  <si>
    <t>HN</t>
  </si>
  <si>
    <t>HO</t>
  </si>
  <si>
    <t>HP</t>
  </si>
  <si>
    <t>HQ</t>
  </si>
  <si>
    <t>HR</t>
  </si>
  <si>
    <t>HS</t>
  </si>
  <si>
    <t>HT</t>
  </si>
  <si>
    <t>HU</t>
  </si>
  <si>
    <t>HV</t>
  </si>
  <si>
    <t>HW</t>
  </si>
  <si>
    <t>HX</t>
  </si>
  <si>
    <t>HY</t>
  </si>
  <si>
    <t>HZ</t>
  </si>
  <si>
    <t>IA</t>
  </si>
  <si>
    <t>IB</t>
  </si>
  <si>
    <t>IC</t>
  </si>
  <si>
    <t>ID</t>
  </si>
  <si>
    <t>IE</t>
  </si>
  <si>
    <t>IF</t>
  </si>
  <si>
    <t>IG</t>
  </si>
  <si>
    <t>IH</t>
  </si>
  <si>
    <t>II</t>
  </si>
  <si>
    <t>IJ</t>
  </si>
  <si>
    <t>IK</t>
  </si>
  <si>
    <t>IL</t>
  </si>
  <si>
    <t>IM</t>
  </si>
  <si>
    <t>IN</t>
  </si>
  <si>
    <t>IO</t>
  </si>
  <si>
    <t>IP</t>
  </si>
  <si>
    <t>IQ</t>
  </si>
  <si>
    <t>IR</t>
  </si>
  <si>
    <t>IS</t>
  </si>
  <si>
    <t>IT</t>
  </si>
  <si>
    <t>IU</t>
  </si>
  <si>
    <t>IV</t>
  </si>
  <si>
    <t>IW</t>
  </si>
  <si>
    <t>IX</t>
  </si>
  <si>
    <t>IY</t>
  </si>
  <si>
    <t>IZ</t>
  </si>
  <si>
    <t>JA</t>
  </si>
  <si>
    <t>JB</t>
  </si>
  <si>
    <t>JC</t>
  </si>
  <si>
    <t>JD</t>
  </si>
  <si>
    <t>JE</t>
  </si>
  <si>
    <t>JF</t>
  </si>
  <si>
    <t>JG</t>
  </si>
  <si>
    <t>JH</t>
  </si>
  <si>
    <t>JI</t>
  </si>
  <si>
    <t>JJ</t>
  </si>
  <si>
    <t>JK</t>
  </si>
  <si>
    <t>JL</t>
  </si>
  <si>
    <t>JM</t>
  </si>
  <si>
    <t>JN</t>
  </si>
  <si>
    <t>JO</t>
  </si>
  <si>
    <t>JP</t>
  </si>
  <si>
    <t>Fixed Test Data - Used in Other Tabs</t>
  </si>
  <si>
    <t>Auto-Updating Test Data - Copy Values Over Table to Left to Change Underlying Data</t>
  </si>
  <si>
    <t>d</t>
  </si>
  <si>
    <t>Sensitivity</t>
  </si>
  <si>
    <t>e</t>
  </si>
  <si>
    <t>a</t>
  </si>
  <si>
    <t>N</t>
  </si>
  <si>
    <t>Relative L1 Error</t>
  </si>
  <si>
    <t>Total Relative Error:</t>
  </si>
  <si>
    <t>Random Draw</t>
  </si>
  <si>
    <t>Conf. Counts</t>
  </si>
  <si>
    <t>Random Draw (Uniform)</t>
  </si>
  <si>
    <t>Running Average of Laplace Samples</t>
  </si>
  <si>
    <t>Running Variance of Laplace Samples</t>
  </si>
  <si>
    <t>k</t>
  </si>
  <si>
    <t>Cumulative Using NegBinom.Dist</t>
  </si>
  <si>
    <t>p =</t>
  </si>
  <si>
    <t>Two Sided Geom. Draws</t>
  </si>
  <si>
    <t>Running Average of Geometric Samples</t>
  </si>
  <si>
    <t>Running Variance of Geometric Samples</t>
  </si>
  <si>
    <t>Running Variance of Two Sided Samples</t>
  </si>
  <si>
    <t>Running Average of Two Sided Samples</t>
  </si>
  <si>
    <t>p should have a value between 0 and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</si>
</sst>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000000000000000000"/>
  </numFmts>
  <fonts count="10" x14ac:knownFonts="1">
    <font>
      <sz val="11"/>
      <color theme="1"/>
      <name val="Calibri"/>
      <family val="2"/>
      <scheme val="minor"/>
    </font>
    <font>
      <b/>
      <sz val="11"/>
      <color theme="1"/>
      <name val="Calibri"/>
      <family val="2"/>
      <scheme val="minor"/>
    </font>
    <font>
      <sz val="11"/>
      <color theme="1"/>
      <name val="Calibri"/>
      <family val="2"/>
      <scheme val="minor"/>
    </font>
    <font>
      <sz val="11"/>
      <color theme="1"/>
      <name val="Symbol"/>
      <family val="1"/>
      <charset val="2"/>
    </font>
    <font>
      <sz val="11"/>
      <color theme="1"/>
      <name val="Calibri"/>
      <family val="2"/>
    </font>
    <font>
      <b/>
      <sz val="12"/>
      <color theme="1"/>
      <name val="Calibri"/>
      <family val="2"/>
      <scheme val="minor"/>
    </font>
    <font>
      <sz val="14"/>
      <color theme="1"/>
      <name val="Symbol"/>
      <family val="1"/>
      <charset val="2"/>
    </font>
    <font>
      <sz val="14"/>
      <color theme="1"/>
      <name val="Calibri"/>
      <family val="2"/>
      <scheme val="minor"/>
    </font>
    <font>
      <sz val="11"/>
      <color rgb="FF006100"/>
      <name val="Calibri"/>
      <family val="2"/>
      <scheme val="minor"/>
    </font>
    <font>
      <b/>
      <sz val="11"/>
      <color rgb="FFFF0000"/>
      <name val="Calibri"/>
      <family val="2"/>
      <scheme val="minor"/>
    </font>
  </fonts>
  <fills count="5">
    <fill>
      <patternFill patternType="none"/>
    </fill>
    <fill>
      <patternFill patternType="gray125"/>
    </fill>
    <fill>
      <patternFill patternType="solid">
        <fgColor rgb="FFFFC000"/>
        <bgColor indexed="64"/>
      </patternFill>
    </fill>
    <fill>
      <patternFill patternType="solid">
        <fgColor rgb="FF92D050"/>
        <bgColor indexed="64"/>
      </patternFill>
    </fill>
    <fill>
      <patternFill patternType="solid">
        <fgColor rgb="FFC6EFCE"/>
      </patternFill>
    </fill>
  </fills>
  <borders count="15">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9" fontId="2" fillId="0" borderId="0" applyFont="0" applyFill="0" applyBorder="0" applyAlignment="0" applyProtection="0"/>
    <xf numFmtId="0" fontId="8" fillId="4" borderId="0" applyNumberFormat="0" applyBorder="0" applyAlignment="0" applyProtection="0"/>
  </cellStyleXfs>
  <cellXfs count="79">
    <xf numFmtId="0" fontId="0" fillId="0" borderId="0" xfId="0"/>
    <xf numFmtId="0" fontId="1" fillId="0" borderId="0" xfId="0" applyFont="1"/>
    <xf numFmtId="0" fontId="0" fillId="0" borderId="0" xfId="0" applyFont="1"/>
    <xf numFmtId="0" fontId="0" fillId="0" borderId="0" xfId="0" pivotButton="1"/>
    <xf numFmtId="0" fontId="0" fillId="0" borderId="0" xfId="0" applyNumberFormat="1"/>
    <xf numFmtId="0" fontId="1" fillId="0" borderId="0" xfId="0" applyFont="1" applyBorder="1"/>
    <xf numFmtId="0" fontId="1" fillId="0" borderId="0" xfId="0" applyFont="1" applyAlignment="1">
      <alignment horizontal="right"/>
    </xf>
    <xf numFmtId="10" fontId="1" fillId="0" borderId="0" xfId="1" applyNumberFormat="1" applyFont="1"/>
    <xf numFmtId="0" fontId="0" fillId="0" borderId="2" xfId="0" applyBorder="1"/>
    <xf numFmtId="0" fontId="0" fillId="0" borderId="3" xfId="0" applyBorder="1"/>
    <xf numFmtId="0" fontId="0" fillId="0" borderId="0" xfId="0" applyBorder="1"/>
    <xf numFmtId="0" fontId="0" fillId="0" borderId="5" xfId="0" applyBorder="1"/>
    <xf numFmtId="0" fontId="0" fillId="0" borderId="4" xfId="0" applyBorder="1"/>
    <xf numFmtId="0" fontId="1" fillId="0" borderId="5" xfId="0" applyFont="1" applyBorder="1"/>
    <xf numFmtId="0" fontId="1" fillId="0" borderId="0" xfId="0" applyFont="1" applyBorder="1" applyAlignment="1">
      <alignment horizontal="right"/>
    </xf>
    <xf numFmtId="0" fontId="0" fillId="0" borderId="6" xfId="0" applyBorder="1"/>
    <xf numFmtId="0" fontId="0" fillId="0" borderId="7" xfId="0" applyBorder="1"/>
    <xf numFmtId="0" fontId="1" fillId="0" borderId="7" xfId="0" applyFont="1" applyBorder="1" applyAlignment="1">
      <alignment horizontal="right"/>
    </xf>
    <xf numFmtId="2" fontId="0" fillId="0" borderId="0" xfId="0" applyNumberFormat="1" applyBorder="1"/>
    <xf numFmtId="2" fontId="1" fillId="0" borderId="0" xfId="0" applyNumberFormat="1" applyFont="1" applyBorder="1"/>
    <xf numFmtId="10" fontId="1" fillId="0" borderId="7" xfId="1" applyNumberFormat="1" applyFont="1" applyBorder="1"/>
    <xf numFmtId="0" fontId="0" fillId="0" borderId="8" xfId="0" applyBorder="1"/>
    <xf numFmtId="0" fontId="1" fillId="0" borderId="4" xfId="0" applyFont="1" applyBorder="1"/>
    <xf numFmtId="0" fontId="0" fillId="0" borderId="0" xfId="0" applyFill="1" applyBorder="1"/>
    <xf numFmtId="2" fontId="0" fillId="0" borderId="0" xfId="0" applyNumberFormat="1"/>
    <xf numFmtId="2" fontId="1" fillId="0" borderId="0" xfId="0" applyNumberFormat="1" applyFont="1"/>
    <xf numFmtId="9" fontId="1" fillId="0" borderId="0" xfId="1" applyNumberFormat="1" applyFont="1"/>
    <xf numFmtId="0" fontId="4" fillId="0" borderId="0" xfId="0" applyFont="1"/>
    <xf numFmtId="0" fontId="0" fillId="2" borderId="0" xfId="0" applyFill="1"/>
    <xf numFmtId="0" fontId="0" fillId="3" borderId="0" xfId="0" applyFill="1" applyBorder="1"/>
    <xf numFmtId="0" fontId="0" fillId="3" borderId="2" xfId="0" applyFill="1" applyBorder="1"/>
    <xf numFmtId="0" fontId="0" fillId="0" borderId="0" xfId="0" applyNumberFormat="1" applyBorder="1"/>
    <xf numFmtId="1" fontId="0" fillId="0" borderId="0" xfId="0" applyNumberFormat="1" applyBorder="1"/>
    <xf numFmtId="0" fontId="1" fillId="3" borderId="0" xfId="0" applyFont="1" applyFill="1" applyAlignment="1">
      <alignment horizontal="center"/>
    </xf>
    <xf numFmtId="0" fontId="1" fillId="0" borderId="0" xfId="0" applyFont="1" applyFill="1" applyAlignment="1">
      <alignment horizontal="center"/>
    </xf>
    <xf numFmtId="0" fontId="0" fillId="0" borderId="0" xfId="0" applyFill="1"/>
    <xf numFmtId="0" fontId="5" fillId="0" borderId="0" xfId="0" applyFont="1" applyAlignment="1">
      <alignment horizontal="center"/>
    </xf>
    <xf numFmtId="0" fontId="1" fillId="0" borderId="0" xfId="0" applyFont="1" applyFill="1" applyBorder="1"/>
    <xf numFmtId="11" fontId="0" fillId="0" borderId="0" xfId="0" applyNumberFormat="1"/>
    <xf numFmtId="0" fontId="6" fillId="0" borderId="0" xfId="0" applyFont="1" applyAlignment="1">
      <alignment horizontal="center" vertical="center"/>
    </xf>
    <xf numFmtId="0" fontId="6" fillId="0" borderId="0" xfId="0" applyFont="1" applyAlignment="1">
      <alignment horizontal="center"/>
    </xf>
    <xf numFmtId="0" fontId="7" fillId="0" borderId="0" xfId="0" applyFont="1" applyAlignment="1">
      <alignment horizontal="center"/>
    </xf>
    <xf numFmtId="0" fontId="1" fillId="3" borderId="0" xfId="0" applyFont="1" applyFill="1"/>
    <xf numFmtId="10" fontId="0" fillId="0" borderId="0" xfId="1" applyNumberFormat="1" applyFont="1"/>
    <xf numFmtId="10" fontId="0" fillId="0" borderId="0" xfId="1" applyNumberFormat="1" applyFont="1" applyBorder="1"/>
    <xf numFmtId="10" fontId="1" fillId="0" borderId="0" xfId="1" applyNumberFormat="1" applyFont="1" applyBorder="1"/>
    <xf numFmtId="10" fontId="0" fillId="0" borderId="5" xfId="1" applyNumberFormat="1" applyFont="1" applyBorder="1"/>
    <xf numFmtId="0" fontId="0" fillId="0" borderId="0" xfId="0" applyAlignment="1">
      <alignment horizontal="left"/>
    </xf>
    <xf numFmtId="0" fontId="1" fillId="0" borderId="0" xfId="0" applyFont="1" applyAlignment="1">
      <alignment wrapText="1"/>
    </xf>
    <xf numFmtId="1" fontId="0" fillId="0" borderId="10" xfId="0" applyNumberFormat="1" applyBorder="1"/>
    <xf numFmtId="1" fontId="0" fillId="0" borderId="11" xfId="0" applyNumberFormat="1" applyBorder="1"/>
    <xf numFmtId="1" fontId="0" fillId="0" borderId="12" xfId="0" applyNumberFormat="1" applyBorder="1"/>
    <xf numFmtId="0" fontId="0" fillId="0" borderId="9" xfId="0" pivotButton="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0" xfId="0" applyNumberFormat="1" applyBorder="1"/>
    <xf numFmtId="0" fontId="0" fillId="0" borderId="11" xfId="0" applyNumberFormat="1" applyBorder="1"/>
    <xf numFmtId="0" fontId="0" fillId="0" borderId="12" xfId="0" applyNumberFormat="1" applyBorder="1"/>
    <xf numFmtId="0" fontId="0" fillId="0" borderId="10" xfId="0" applyBorder="1" applyAlignment="1">
      <alignment horizontal="left"/>
    </xf>
    <xf numFmtId="0" fontId="0" fillId="0" borderId="11" xfId="0" applyBorder="1" applyAlignment="1">
      <alignment horizontal="left"/>
    </xf>
    <xf numFmtId="0" fontId="0" fillId="0" borderId="12" xfId="0" applyBorder="1" applyAlignment="1">
      <alignment horizontal="left"/>
    </xf>
    <xf numFmtId="0" fontId="0" fillId="0" borderId="9" xfId="0" applyBorder="1" applyAlignment="1">
      <alignment horizontal="left"/>
    </xf>
    <xf numFmtId="164" fontId="0" fillId="0" borderId="0" xfId="0" applyNumberFormat="1"/>
    <xf numFmtId="0" fontId="1" fillId="0" borderId="1" xfId="0" applyFont="1" applyBorder="1" applyAlignment="1">
      <alignment horizontal="center"/>
    </xf>
    <xf numFmtId="0" fontId="1" fillId="0" borderId="3" xfId="0" applyFont="1" applyBorder="1" applyAlignment="1">
      <alignment horizontal="center"/>
    </xf>
    <xf numFmtId="0" fontId="5" fillId="0" borderId="0" xfId="0" applyFont="1" applyAlignment="1">
      <alignment horizontal="center"/>
    </xf>
    <xf numFmtId="0" fontId="0" fillId="0" borderId="4" xfId="0" applyBorder="1" applyAlignment="1">
      <alignment horizontal="right"/>
    </xf>
    <xf numFmtId="0" fontId="0" fillId="0" borderId="0" xfId="0" applyBorder="1" applyAlignment="1">
      <alignment horizontal="right"/>
    </xf>
    <xf numFmtId="0" fontId="0" fillId="0" borderId="1" xfId="0" applyBorder="1" applyAlignment="1">
      <alignment horizontal="right"/>
    </xf>
    <xf numFmtId="0" fontId="0" fillId="0" borderId="2" xfId="0" applyBorder="1" applyAlignment="1">
      <alignment horizontal="right"/>
    </xf>
    <xf numFmtId="0" fontId="0" fillId="0" borderId="0" xfId="0" applyAlignment="1">
      <alignment horizontal="left"/>
    </xf>
    <xf numFmtId="0" fontId="6" fillId="0" borderId="0" xfId="0" applyFont="1" applyAlignment="1">
      <alignment horizontal="center"/>
    </xf>
    <xf numFmtId="0" fontId="6" fillId="0" borderId="0" xfId="0" applyFont="1" applyAlignment="1">
      <alignment horizontal="center" vertical="center"/>
    </xf>
    <xf numFmtId="0" fontId="0" fillId="0" borderId="0" xfId="0" applyAlignment="1">
      <alignment horizontal="center"/>
    </xf>
    <xf numFmtId="0" fontId="9" fillId="0" borderId="0" xfId="2" applyFont="1" applyFill="1" applyAlignment="1">
      <alignment horizontal="center" wrapText="1"/>
    </xf>
  </cellXfs>
  <cellStyles count="3">
    <cellStyle name="Good" xfId="2" builtinId="26"/>
    <cellStyle name="Normal" xfId="0" builtinId="0"/>
    <cellStyle name="Percent" xfId="1" builtinId="5"/>
  </cellStyles>
  <dxfs count="175">
    <dxf>
      <font>
        <b/>
        <i val="0"/>
        <color rgb="FFC00000"/>
      </font>
      <fill>
        <patternFill>
          <bgColor rgb="FFFFCCCC"/>
        </patternFill>
      </fill>
    </dxf>
    <dxf>
      <font>
        <color auto="1"/>
      </font>
      <fill>
        <patternFill patternType="none">
          <bgColor auto="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'Laplace Distribution Ex.'!$C$1</c:f>
              <c:strCache>
                <c:ptCount val="1"/>
                <c:pt idx="0">
                  <c:v>Running Average of Laplace Samples</c:v>
                </c:pt>
              </c:strCache>
            </c:strRef>
          </c:tx>
          <c:spPr>
            <a:ln w="28575" cap="rnd">
              <a:solidFill>
                <a:schemeClr val="accent1"/>
              </a:solidFill>
              <a:round/>
            </a:ln>
            <a:effectLst/>
          </c:spPr>
          <c:marker>
            <c:symbol val="none"/>
          </c:marker>
          <c:val>
            <c:numRef>
              <c:f>'Laplace Distribution Ex.'!$C$2:$C$1001</c:f>
              <c:numCache>
                <c:formatCode>General</c:formatCode>
                <c:ptCount val="1000"/>
                <c:pt idx="0">
                  <c:v>0.55265745847287007</c:v>
                </c:pt>
                <c:pt idx="1">
                  <c:v>0.16972774417892614</c:v>
                </c:pt>
                <c:pt idx="2">
                  <c:v>0.18620681120128132</c:v>
                </c:pt>
                <c:pt idx="3">
                  <c:v>0.25607615080397794</c:v>
                </c:pt>
                <c:pt idx="4">
                  <c:v>9.4782129372855239E-2</c:v>
                </c:pt>
                <c:pt idx="5">
                  <c:v>-6.60768435465523E-2</c:v>
                </c:pt>
                <c:pt idx="6">
                  <c:v>0.15503858487259112</c:v>
                </c:pt>
                <c:pt idx="7">
                  <c:v>0.10107157265208545</c:v>
                </c:pt>
                <c:pt idx="8">
                  <c:v>0.1312083745621071</c:v>
                </c:pt>
                <c:pt idx="9">
                  <c:v>0.18090830391139939</c:v>
                </c:pt>
                <c:pt idx="10">
                  <c:v>0.17403517330712581</c:v>
                </c:pt>
                <c:pt idx="11">
                  <c:v>0.14547347316453316</c:v>
                </c:pt>
                <c:pt idx="12">
                  <c:v>0.1487124138912333</c:v>
                </c:pt>
                <c:pt idx="13">
                  <c:v>9.298102381664404E-2</c:v>
                </c:pt>
                <c:pt idx="14">
                  <c:v>7.8713195809541711E-2</c:v>
                </c:pt>
                <c:pt idx="15">
                  <c:v>-4.8992033868471369E-2</c:v>
                </c:pt>
                <c:pt idx="16">
                  <c:v>-4.2241091888513493E-2</c:v>
                </c:pt>
                <c:pt idx="17">
                  <c:v>-0.19727530872011267</c:v>
                </c:pt>
                <c:pt idx="18">
                  <c:v>-0.15578244162638236</c:v>
                </c:pt>
                <c:pt idx="19">
                  <c:v>-0.16756977820978364</c:v>
                </c:pt>
                <c:pt idx="20">
                  <c:v>-8.9592486057005497E-2</c:v>
                </c:pt>
                <c:pt idx="21">
                  <c:v>-0.12824140863281333</c:v>
                </c:pt>
                <c:pt idx="22">
                  <c:v>-0.17840107888563644</c:v>
                </c:pt>
                <c:pt idx="23">
                  <c:v>-0.12803728436044329</c:v>
                </c:pt>
                <c:pt idx="24">
                  <c:v>-0.12894631275249671</c:v>
                </c:pt>
                <c:pt idx="25">
                  <c:v>-0.17830045667770789</c:v>
                </c:pt>
                <c:pt idx="26">
                  <c:v>-0.1383533845234364</c:v>
                </c:pt>
                <c:pt idx="27">
                  <c:v>-8.9399018000777195E-2</c:v>
                </c:pt>
                <c:pt idx="28">
                  <c:v>-6.2428593368999426E-2</c:v>
                </c:pt>
                <c:pt idx="29">
                  <c:v>-0.10259726906557728</c:v>
                </c:pt>
                <c:pt idx="30">
                  <c:v>-9.9840517740964488E-2</c:v>
                </c:pt>
                <c:pt idx="31">
                  <c:v>-9.4430367892708658E-2</c:v>
                </c:pt>
                <c:pt idx="32">
                  <c:v>-9.0877695632404429E-2</c:v>
                </c:pt>
                <c:pt idx="33">
                  <c:v>-0.13604277363903383</c:v>
                </c:pt>
                <c:pt idx="34">
                  <c:v>-0.11435672796272908</c:v>
                </c:pt>
                <c:pt idx="35">
                  <c:v>-0.10925852387320228</c:v>
                </c:pt>
                <c:pt idx="36">
                  <c:v>-0.12897361731674434</c:v>
                </c:pt>
                <c:pt idx="37">
                  <c:v>-0.11163665622453853</c:v>
                </c:pt>
                <c:pt idx="38">
                  <c:v>-0.13492737354876047</c:v>
                </c:pt>
                <c:pt idx="39">
                  <c:v>-0.14972819690236763</c:v>
                </c:pt>
                <c:pt idx="40">
                  <c:v>-0.13388205920417057</c:v>
                </c:pt>
                <c:pt idx="41">
                  <c:v>-0.11487173982325072</c:v>
                </c:pt>
                <c:pt idx="42">
                  <c:v>-0.1249250346790016</c:v>
                </c:pt>
                <c:pt idx="43">
                  <c:v>-9.2362058180246412E-2</c:v>
                </c:pt>
                <c:pt idx="44">
                  <c:v>-9.8674371501174779E-2</c:v>
                </c:pt>
                <c:pt idx="45">
                  <c:v>-9.7238129980974461E-2</c:v>
                </c:pt>
                <c:pt idx="46">
                  <c:v>-5.9540997070923619E-2</c:v>
                </c:pt>
                <c:pt idx="47">
                  <c:v>-5.3777303666206644E-2</c:v>
                </c:pt>
                <c:pt idx="48">
                  <c:v>-5.118285512550174E-2</c:v>
                </c:pt>
                <c:pt idx="49">
                  <c:v>-5.6683245055197708E-2</c:v>
                </c:pt>
                <c:pt idx="50">
                  <c:v>1.1868389564985022E-2</c:v>
                </c:pt>
                <c:pt idx="51">
                  <c:v>3.1434488896988085E-2</c:v>
                </c:pt>
                <c:pt idx="52">
                  <c:v>2.0913324690701005E-3</c:v>
                </c:pt>
                <c:pt idx="53">
                  <c:v>-9.2626334539190319E-3</c:v>
                </c:pt>
                <c:pt idx="54">
                  <c:v>2.5606686838168923E-3</c:v>
                </c:pt>
                <c:pt idx="55">
                  <c:v>1.2660402282622319E-2</c:v>
                </c:pt>
                <c:pt idx="56">
                  <c:v>-9.467027141425095E-3</c:v>
                </c:pt>
                <c:pt idx="57">
                  <c:v>-3.1939644267579156E-3</c:v>
                </c:pt>
                <c:pt idx="58">
                  <c:v>4.6401832481111689E-2</c:v>
                </c:pt>
                <c:pt idx="59">
                  <c:v>5.2741569384505721E-2</c:v>
                </c:pt>
                <c:pt idx="60">
                  <c:v>5.9522114546818022E-2</c:v>
                </c:pt>
                <c:pt idx="61">
                  <c:v>5.9930008750950503E-2</c:v>
                </c:pt>
                <c:pt idx="62">
                  <c:v>5.0315180975825519E-2</c:v>
                </c:pt>
                <c:pt idx="63">
                  <c:v>1.2721617975309754E-2</c:v>
                </c:pt>
                <c:pt idx="64">
                  <c:v>-1.346679232663802E-2</c:v>
                </c:pt>
                <c:pt idx="65">
                  <c:v>-9.525725048698884E-3</c:v>
                </c:pt>
                <c:pt idx="66">
                  <c:v>4.8804321089818267E-3</c:v>
                </c:pt>
                <c:pt idx="67">
                  <c:v>8.6986165412541484E-3</c:v>
                </c:pt>
                <c:pt idx="68">
                  <c:v>5.7990352157955227E-2</c:v>
                </c:pt>
                <c:pt idx="69">
                  <c:v>6.7498102935635199E-2</c:v>
                </c:pt>
                <c:pt idx="70">
                  <c:v>8.5645198618753374E-2</c:v>
                </c:pt>
                <c:pt idx="71">
                  <c:v>7.5981899706240613E-2</c:v>
                </c:pt>
                <c:pt idx="72">
                  <c:v>8.8756783980035059E-2</c:v>
                </c:pt>
                <c:pt idx="73">
                  <c:v>0.11246087607292971</c:v>
                </c:pt>
                <c:pt idx="74">
                  <c:v>0.12418487766986862</c:v>
                </c:pt>
                <c:pt idx="75">
                  <c:v>0.16407449079983655</c:v>
                </c:pt>
                <c:pt idx="76">
                  <c:v>0.18296403454164742</c:v>
                </c:pt>
                <c:pt idx="77">
                  <c:v>0.17718718213388948</c:v>
                </c:pt>
                <c:pt idx="78">
                  <c:v>0.18050212379664268</c:v>
                </c:pt>
                <c:pt idx="79">
                  <c:v>0.20347240343206874</c:v>
                </c:pt>
                <c:pt idx="80">
                  <c:v>0.18291597169417406</c:v>
                </c:pt>
                <c:pt idx="81">
                  <c:v>0.18077353963225207</c:v>
                </c:pt>
                <c:pt idx="82">
                  <c:v>0.17914009366412639</c:v>
                </c:pt>
                <c:pt idx="83">
                  <c:v>0.19383890387656899</c:v>
                </c:pt>
                <c:pt idx="84">
                  <c:v>0.18408839748316394</c:v>
                </c:pt>
                <c:pt idx="85">
                  <c:v>0.1749439720622418</c:v>
                </c:pt>
                <c:pt idx="86">
                  <c:v>0.1893293394461763</c:v>
                </c:pt>
                <c:pt idx="87">
                  <c:v>0.21066427932972684</c:v>
                </c:pt>
                <c:pt idx="88">
                  <c:v>0.22842261735993521</c:v>
                </c:pt>
                <c:pt idx="89">
                  <c:v>0.22854778310498311</c:v>
                </c:pt>
                <c:pt idx="90">
                  <c:v>0.23903748415674533</c:v>
                </c:pt>
                <c:pt idx="91">
                  <c:v>0.19440174271906852</c:v>
                </c:pt>
                <c:pt idx="92">
                  <c:v>0.1812455979769228</c:v>
                </c:pt>
                <c:pt idx="93">
                  <c:v>0.17042519648492246</c:v>
                </c:pt>
                <c:pt idx="94">
                  <c:v>0.16990829807373972</c:v>
                </c:pt>
                <c:pt idx="95">
                  <c:v>0.16002936116720129</c:v>
                </c:pt>
                <c:pt idx="96">
                  <c:v>0.16082109646525231</c:v>
                </c:pt>
                <c:pt idx="97">
                  <c:v>0.14864663910846238</c:v>
                </c:pt>
                <c:pt idx="98">
                  <c:v>0.16671933843985592</c:v>
                </c:pt>
                <c:pt idx="99">
                  <c:v>0.19640092396975889</c:v>
                </c:pt>
                <c:pt idx="100">
                  <c:v>0.19978595625726464</c:v>
                </c:pt>
                <c:pt idx="101">
                  <c:v>0.18229620659440224</c:v>
                </c:pt>
                <c:pt idx="102">
                  <c:v>0.18622866283849077</c:v>
                </c:pt>
                <c:pt idx="103">
                  <c:v>0.18712486672532219</c:v>
                </c:pt>
                <c:pt idx="104">
                  <c:v>0.17315182174858354</c:v>
                </c:pt>
                <c:pt idx="105">
                  <c:v>0.18221342761087142</c:v>
                </c:pt>
                <c:pt idx="106">
                  <c:v>0.17924399321136364</c:v>
                </c:pt>
                <c:pt idx="107">
                  <c:v>0.1807906502981689</c:v>
                </c:pt>
                <c:pt idx="108">
                  <c:v>0.18423848916153959</c:v>
                </c:pt>
                <c:pt idx="109">
                  <c:v>0.17914965630413915</c:v>
                </c:pt>
                <c:pt idx="110">
                  <c:v>0.17485854495850367</c:v>
                </c:pt>
                <c:pt idx="111">
                  <c:v>0.1765662450661801</c:v>
                </c:pt>
                <c:pt idx="112">
                  <c:v>0.16486450354392165</c:v>
                </c:pt>
                <c:pt idx="113">
                  <c:v>0.16860811045785878</c:v>
                </c:pt>
                <c:pt idx="114">
                  <c:v>0.17048670067862631</c:v>
                </c:pt>
                <c:pt idx="115">
                  <c:v>0.16833426138342397</c:v>
                </c:pt>
                <c:pt idx="116">
                  <c:v>0.15204359229149911</c:v>
                </c:pt>
                <c:pt idx="117">
                  <c:v>0.15237343265233863</c:v>
                </c:pt>
                <c:pt idx="118">
                  <c:v>0.15155698099650938</c:v>
                </c:pt>
                <c:pt idx="119">
                  <c:v>0.15079777680930948</c:v>
                </c:pt>
                <c:pt idx="120">
                  <c:v>0.15554281113854626</c:v>
                </c:pt>
                <c:pt idx="121">
                  <c:v>0.14715281709454914</c:v>
                </c:pt>
                <c:pt idx="122">
                  <c:v>0.14106532638217933</c:v>
                </c:pt>
                <c:pt idx="123">
                  <c:v>0.13465477401956155</c:v>
                </c:pt>
                <c:pt idx="124">
                  <c:v>0.13173440355970145</c:v>
                </c:pt>
                <c:pt idx="125">
                  <c:v>0.13553149971052389</c:v>
                </c:pt>
                <c:pt idx="126">
                  <c:v>0.14878401665499857</c:v>
                </c:pt>
                <c:pt idx="127">
                  <c:v>0.14544601214092634</c:v>
                </c:pt>
                <c:pt idx="128">
                  <c:v>0.14757528350706156</c:v>
                </c:pt>
                <c:pt idx="129">
                  <c:v>0.13247678228132942</c:v>
                </c:pt>
                <c:pt idx="130">
                  <c:v>0.13427353765294886</c:v>
                </c:pt>
                <c:pt idx="131">
                  <c:v>0.12588628583249065</c:v>
                </c:pt>
                <c:pt idx="132">
                  <c:v>0.10988166102960663</c:v>
                </c:pt>
                <c:pt idx="133">
                  <c:v>0.10559113266481239</c:v>
                </c:pt>
                <c:pt idx="134">
                  <c:v>0.10364731850736152</c:v>
                </c:pt>
                <c:pt idx="135">
                  <c:v>0.10324763524668518</c:v>
                </c:pt>
                <c:pt idx="136">
                  <c:v>7.8301098674435493E-2</c:v>
                </c:pt>
                <c:pt idx="137">
                  <c:v>8.109154065569954E-2</c:v>
                </c:pt>
                <c:pt idx="138">
                  <c:v>8.4859105650553088E-2</c:v>
                </c:pt>
                <c:pt idx="139">
                  <c:v>9.1627445304985969E-2</c:v>
                </c:pt>
                <c:pt idx="140">
                  <c:v>0.11204374936492389</c:v>
                </c:pt>
                <c:pt idx="141">
                  <c:v>0.1048375379751499</c:v>
                </c:pt>
                <c:pt idx="142">
                  <c:v>0.10456272666251491</c:v>
                </c:pt>
                <c:pt idx="143">
                  <c:v>9.9841503358272743E-2</c:v>
                </c:pt>
                <c:pt idx="144">
                  <c:v>9.7815975889888773E-2</c:v>
                </c:pt>
                <c:pt idx="145">
                  <c:v>9.2799331865723075E-2</c:v>
                </c:pt>
                <c:pt idx="146">
                  <c:v>0.14415734396469518</c:v>
                </c:pt>
                <c:pt idx="147">
                  <c:v>0.14360586172157758</c:v>
                </c:pt>
                <c:pt idx="148">
                  <c:v>0.16491711235600387</c:v>
                </c:pt>
                <c:pt idx="149">
                  <c:v>0.16262719091128153</c:v>
                </c:pt>
                <c:pt idx="150">
                  <c:v>0.16269575872165798</c:v>
                </c:pt>
                <c:pt idx="151">
                  <c:v>0.16197408480691081</c:v>
                </c:pt>
                <c:pt idx="152">
                  <c:v>0.16328216845724816</c:v>
                </c:pt>
                <c:pt idx="153">
                  <c:v>0.15487248141451043</c:v>
                </c:pt>
                <c:pt idx="154">
                  <c:v>0.14595697702312083</c:v>
                </c:pt>
                <c:pt idx="155">
                  <c:v>0.15050461320153952</c:v>
                </c:pt>
                <c:pt idx="156">
                  <c:v>0.16799587643558864</c:v>
                </c:pt>
                <c:pt idx="157">
                  <c:v>0.16420894431931882</c:v>
                </c:pt>
                <c:pt idx="158">
                  <c:v>0.16667715971239397</c:v>
                </c:pt>
                <c:pt idx="159">
                  <c:v>0.16393220223149912</c:v>
                </c:pt>
                <c:pt idx="160">
                  <c:v>0.17564653321495263</c:v>
                </c:pt>
                <c:pt idx="161">
                  <c:v>0.20823737221498831</c:v>
                </c:pt>
                <c:pt idx="162">
                  <c:v>0.20206772612285478</c:v>
                </c:pt>
                <c:pt idx="163">
                  <c:v>0.19572484524390349</c:v>
                </c:pt>
                <c:pt idx="164">
                  <c:v>0.17715599407165625</c:v>
                </c:pt>
                <c:pt idx="165">
                  <c:v>0.17501242172421236</c:v>
                </c:pt>
                <c:pt idx="166">
                  <c:v>0.18197671953970518</c:v>
                </c:pt>
                <c:pt idx="167">
                  <c:v>0.18579721645841907</c:v>
                </c:pt>
                <c:pt idx="168">
                  <c:v>0.17741380363696993</c:v>
                </c:pt>
                <c:pt idx="169">
                  <c:v>0.17096259996092231</c:v>
                </c:pt>
                <c:pt idx="170">
                  <c:v>0.17008473638722915</c:v>
                </c:pt>
                <c:pt idx="171">
                  <c:v>0.15548798504636308</c:v>
                </c:pt>
                <c:pt idx="172">
                  <c:v>0.15774261235920597</c:v>
                </c:pt>
                <c:pt idx="173">
                  <c:v>0.15721690182340026</c:v>
                </c:pt>
                <c:pt idx="174">
                  <c:v>0.15470277050185838</c:v>
                </c:pt>
                <c:pt idx="175">
                  <c:v>0.14865383721351638</c:v>
                </c:pt>
                <c:pt idx="176">
                  <c:v>0.16146658770207553</c:v>
                </c:pt>
                <c:pt idx="177">
                  <c:v>0.15417059670834957</c:v>
                </c:pt>
                <c:pt idx="178">
                  <c:v>0.15409758097629578</c:v>
                </c:pt>
                <c:pt idx="179">
                  <c:v>0.1647280104738299</c:v>
                </c:pt>
                <c:pt idx="180">
                  <c:v>0.15378867214246908</c:v>
                </c:pt>
                <c:pt idx="181">
                  <c:v>0.161385235086169</c:v>
                </c:pt>
                <c:pt idx="182">
                  <c:v>0.15150427123093002</c:v>
                </c:pt>
                <c:pt idx="183">
                  <c:v>0.1434237317970237</c:v>
                </c:pt>
                <c:pt idx="184">
                  <c:v>0.14636316697190188</c:v>
                </c:pt>
                <c:pt idx="185">
                  <c:v>0.15989901594865552</c:v>
                </c:pt>
                <c:pt idx="186">
                  <c:v>0.15653612759876562</c:v>
                </c:pt>
                <c:pt idx="187">
                  <c:v>0.15629743697090262</c:v>
                </c:pt>
                <c:pt idx="188">
                  <c:v>0.16483116314852314</c:v>
                </c:pt>
                <c:pt idx="189">
                  <c:v>0.16398125269442548</c:v>
                </c:pt>
                <c:pt idx="190">
                  <c:v>0.16370115094864038</c:v>
                </c:pt>
                <c:pt idx="191">
                  <c:v>0.14930183350433329</c:v>
                </c:pt>
                <c:pt idx="192">
                  <c:v>0.1441896944004474</c:v>
                </c:pt>
                <c:pt idx="193">
                  <c:v>0.1453194231607581</c:v>
                </c:pt>
                <c:pt idx="194">
                  <c:v>0.14517435359925157</c:v>
                </c:pt>
                <c:pt idx="195">
                  <c:v>0.13831266576906917</c:v>
                </c:pt>
                <c:pt idx="196">
                  <c:v>0.13483235635547314</c:v>
                </c:pt>
                <c:pt idx="197">
                  <c:v>0.13300552315383554</c:v>
                </c:pt>
                <c:pt idx="198">
                  <c:v>0.14444719153831814</c:v>
                </c:pt>
                <c:pt idx="199">
                  <c:v>0.14406658760321178</c:v>
                </c:pt>
                <c:pt idx="200">
                  <c:v>0.14092791505239294</c:v>
                </c:pt>
                <c:pt idx="201">
                  <c:v>0.14965098663731558</c:v>
                </c:pt>
                <c:pt idx="202">
                  <c:v>0.15917812381621366</c:v>
                </c:pt>
                <c:pt idx="203">
                  <c:v>0.15980187773377966</c:v>
                </c:pt>
                <c:pt idx="204">
                  <c:v>0.16726947117461485</c:v>
                </c:pt>
                <c:pt idx="205">
                  <c:v>0.16440413039265223</c:v>
                </c:pt>
                <c:pt idx="206">
                  <c:v>0.15855628765121127</c:v>
                </c:pt>
                <c:pt idx="207">
                  <c:v>0.15652135935323533</c:v>
                </c:pt>
                <c:pt idx="208">
                  <c:v>0.15601259801317041</c:v>
                </c:pt>
                <c:pt idx="209">
                  <c:v>0.15423651756781437</c:v>
                </c:pt>
                <c:pt idx="210">
                  <c:v>0.15463646519283364</c:v>
                </c:pt>
                <c:pt idx="211">
                  <c:v>0.16267964193739992</c:v>
                </c:pt>
                <c:pt idx="212">
                  <c:v>0.16590797763257301</c:v>
                </c:pt>
                <c:pt idx="213">
                  <c:v>0.16458559090758362</c:v>
                </c:pt>
                <c:pt idx="214">
                  <c:v>0.15733164831027002</c:v>
                </c:pt>
                <c:pt idx="215">
                  <c:v>0.16004025282072207</c:v>
                </c:pt>
                <c:pt idx="216">
                  <c:v>0.15660350790235555</c:v>
                </c:pt>
                <c:pt idx="217">
                  <c:v>0.15572180494441759</c:v>
                </c:pt>
                <c:pt idx="218">
                  <c:v>0.15826672701461794</c:v>
                </c:pt>
                <c:pt idx="219">
                  <c:v>0.15434173883121363</c:v>
                </c:pt>
                <c:pt idx="220">
                  <c:v>0.16012615795218663</c:v>
                </c:pt>
                <c:pt idx="221">
                  <c:v>0.16355412777257056</c:v>
                </c:pt>
                <c:pt idx="222">
                  <c:v>0.16221401743375136</c:v>
                </c:pt>
                <c:pt idx="223">
                  <c:v>0.15527162881647585</c:v>
                </c:pt>
                <c:pt idx="224">
                  <c:v>0.1567070499879876</c:v>
                </c:pt>
                <c:pt idx="225">
                  <c:v>0.15310408976041037</c:v>
                </c:pt>
                <c:pt idx="226">
                  <c:v>0.15327273563372931</c:v>
                </c:pt>
                <c:pt idx="227">
                  <c:v>0.14866887855215752</c:v>
                </c:pt>
                <c:pt idx="228">
                  <c:v>0.14230987861910169</c:v>
                </c:pt>
                <c:pt idx="229">
                  <c:v>0.14147314768289526</c:v>
                </c:pt>
                <c:pt idx="230">
                  <c:v>0.14416577364238825</c:v>
                </c:pt>
                <c:pt idx="231">
                  <c:v>0.14311792385162939</c:v>
                </c:pt>
                <c:pt idx="232">
                  <c:v>0.14563325278763276</c:v>
                </c:pt>
                <c:pt idx="233">
                  <c:v>0.14311417041090649</c:v>
                </c:pt>
                <c:pt idx="234">
                  <c:v>0.15608326958307961</c:v>
                </c:pt>
                <c:pt idx="235">
                  <c:v>0.16550260042715834</c:v>
                </c:pt>
                <c:pt idx="236">
                  <c:v>0.16354333499195817</c:v>
                </c:pt>
                <c:pt idx="237">
                  <c:v>0.16889190319675104</c:v>
                </c:pt>
                <c:pt idx="238">
                  <c:v>0.16617810723445051</c:v>
                </c:pt>
                <c:pt idx="239">
                  <c:v>0.18305800978224401</c:v>
                </c:pt>
                <c:pt idx="240">
                  <c:v>0.18232073891673223</c:v>
                </c:pt>
                <c:pt idx="241">
                  <c:v>0.18738784884508605</c:v>
                </c:pt>
                <c:pt idx="242">
                  <c:v>0.18748626303976637</c:v>
                </c:pt>
                <c:pt idx="243">
                  <c:v>0.18618659065576471</c:v>
                </c:pt>
                <c:pt idx="244">
                  <c:v>0.18347513262468265</c:v>
                </c:pt>
                <c:pt idx="245">
                  <c:v>0.18631833679424287</c:v>
                </c:pt>
                <c:pt idx="246">
                  <c:v>0.17940754484684593</c:v>
                </c:pt>
                <c:pt idx="247">
                  <c:v>0.18255832369912525</c:v>
                </c:pt>
                <c:pt idx="248">
                  <c:v>0.18767206379566351</c:v>
                </c:pt>
                <c:pt idx="249">
                  <c:v>0.19205966213010697</c:v>
                </c:pt>
                <c:pt idx="250">
                  <c:v>0.18200506849554138</c:v>
                </c:pt>
                <c:pt idx="251">
                  <c:v>0.1804982377524616</c:v>
                </c:pt>
                <c:pt idx="252">
                  <c:v>0.17893456271404426</c:v>
                </c:pt>
                <c:pt idx="253">
                  <c:v>0.18188419539576048</c:v>
                </c:pt>
                <c:pt idx="254">
                  <c:v>0.18116033921030877</c:v>
                </c:pt>
                <c:pt idx="255">
                  <c:v>0.17723577733186197</c:v>
                </c:pt>
                <c:pt idx="256">
                  <c:v>0.18126438189363062</c:v>
                </c:pt>
                <c:pt idx="257">
                  <c:v>0.18161108517944768</c:v>
                </c:pt>
                <c:pt idx="258">
                  <c:v>0.18176926636613322</c:v>
                </c:pt>
                <c:pt idx="259">
                  <c:v>0.18353360732391041</c:v>
                </c:pt>
                <c:pt idx="260">
                  <c:v>0.18832481954263688</c:v>
                </c:pt>
                <c:pt idx="261">
                  <c:v>0.18616508114266916</c:v>
                </c:pt>
                <c:pt idx="262">
                  <c:v>0.18692377858153481</c:v>
                </c:pt>
                <c:pt idx="263">
                  <c:v>0.18471927562618509</c:v>
                </c:pt>
                <c:pt idx="264">
                  <c:v>0.18511668026473974</c:v>
                </c:pt>
                <c:pt idx="265">
                  <c:v>0.17533313933260794</c:v>
                </c:pt>
                <c:pt idx="266">
                  <c:v>0.17849250020408639</c:v>
                </c:pt>
                <c:pt idx="267">
                  <c:v>0.18110808966847061</c:v>
                </c:pt>
                <c:pt idx="268">
                  <c:v>0.17951376497321686</c:v>
                </c:pt>
                <c:pt idx="269">
                  <c:v>0.17897397128116102</c:v>
                </c:pt>
                <c:pt idx="270">
                  <c:v>0.1782723765852505</c:v>
                </c:pt>
                <c:pt idx="271">
                  <c:v>0.17856439596701856</c:v>
                </c:pt>
                <c:pt idx="272">
                  <c:v>0.18574251593304289</c:v>
                </c:pt>
                <c:pt idx="273">
                  <c:v>0.18702811050169471</c:v>
                </c:pt>
                <c:pt idx="274">
                  <c:v>0.18953257772760981</c:v>
                </c:pt>
                <c:pt idx="275">
                  <c:v>0.18837860420301181</c:v>
                </c:pt>
                <c:pt idx="276">
                  <c:v>0.18964844206911863</c:v>
                </c:pt>
                <c:pt idx="277">
                  <c:v>0.18791520061108397</c:v>
                </c:pt>
                <c:pt idx="278">
                  <c:v>0.1873378063621069</c:v>
                </c:pt>
                <c:pt idx="279">
                  <c:v>0.18216600456690749</c:v>
                </c:pt>
                <c:pt idx="280">
                  <c:v>0.18230861012281346</c:v>
                </c:pt>
                <c:pt idx="281">
                  <c:v>0.18202551838991038</c:v>
                </c:pt>
                <c:pt idx="282">
                  <c:v>0.1840399796392056</c:v>
                </c:pt>
                <c:pt idx="283">
                  <c:v>0.18561117619468084</c:v>
                </c:pt>
                <c:pt idx="284">
                  <c:v>0.17767693009458979</c:v>
                </c:pt>
                <c:pt idx="285">
                  <c:v>0.17671766979074949</c:v>
                </c:pt>
                <c:pt idx="286">
                  <c:v>0.17844833693440706</c:v>
                </c:pt>
                <c:pt idx="287">
                  <c:v>0.16599476240820255</c:v>
                </c:pt>
                <c:pt idx="288">
                  <c:v>0.1663038903302656</c:v>
                </c:pt>
                <c:pt idx="289">
                  <c:v>0.16208128973364538</c:v>
                </c:pt>
                <c:pt idx="290">
                  <c:v>0.1522433589727768</c:v>
                </c:pt>
                <c:pt idx="291">
                  <c:v>0.16209867126706776</c:v>
                </c:pt>
                <c:pt idx="292">
                  <c:v>0.16262359944809265</c:v>
                </c:pt>
                <c:pt idx="293">
                  <c:v>0.17325062034246072</c:v>
                </c:pt>
                <c:pt idx="294">
                  <c:v>0.17244878167338359</c:v>
                </c:pt>
                <c:pt idx="295">
                  <c:v>0.1728105474987621</c:v>
                </c:pt>
                <c:pt idx="296">
                  <c:v>0.17154806233637682</c:v>
                </c:pt>
                <c:pt idx="297">
                  <c:v>0.17160669054713082</c:v>
                </c:pt>
                <c:pt idx="298">
                  <c:v>0.16426802386667896</c:v>
                </c:pt>
                <c:pt idx="299">
                  <c:v>0.16255648712852497</c:v>
                </c:pt>
                <c:pt idx="300">
                  <c:v>0.16698755791043049</c:v>
                </c:pt>
                <c:pt idx="301">
                  <c:v>0.15491031137048938</c:v>
                </c:pt>
                <c:pt idx="302">
                  <c:v>0.15522643591098492</c:v>
                </c:pt>
                <c:pt idx="303">
                  <c:v>0.15996737688100895</c:v>
                </c:pt>
                <c:pt idx="304">
                  <c:v>0.14930852319942131</c:v>
                </c:pt>
                <c:pt idx="305">
                  <c:v>0.14854598376964015</c:v>
                </c:pt>
                <c:pt idx="306">
                  <c:v>0.1490022824754024</c:v>
                </c:pt>
                <c:pt idx="307">
                  <c:v>0.14601650541407329</c:v>
                </c:pt>
                <c:pt idx="308">
                  <c:v>0.14746911931008636</c:v>
                </c:pt>
                <c:pt idx="309">
                  <c:v>0.14823241400677198</c:v>
                </c:pt>
                <c:pt idx="310">
                  <c:v>0.15684573427432019</c:v>
                </c:pt>
                <c:pt idx="311">
                  <c:v>0.15371229049624555</c:v>
                </c:pt>
                <c:pt idx="312">
                  <c:v>0.14934063833934005</c:v>
                </c:pt>
                <c:pt idx="313">
                  <c:v>0.14973363904824089</c:v>
                </c:pt>
                <c:pt idx="314">
                  <c:v>0.1476023663138975</c:v>
                </c:pt>
                <c:pt idx="315">
                  <c:v>0.14676847919730343</c:v>
                </c:pt>
                <c:pt idx="316">
                  <c:v>0.14680768307955455</c:v>
                </c:pt>
                <c:pt idx="317">
                  <c:v>0.14857703027060276</c:v>
                </c:pt>
                <c:pt idx="318">
                  <c:v>0.14585030748391359</c:v>
                </c:pt>
                <c:pt idx="319">
                  <c:v>0.14795148581356335</c:v>
                </c:pt>
                <c:pt idx="320">
                  <c:v>0.14658983195043998</c:v>
                </c:pt>
                <c:pt idx="321">
                  <c:v>0.14511488399525613</c:v>
                </c:pt>
                <c:pt idx="322">
                  <c:v>0.14060023435898836</c:v>
                </c:pt>
                <c:pt idx="323">
                  <c:v>0.13909846106026888</c:v>
                </c:pt>
                <c:pt idx="324">
                  <c:v>0.13436423855543581</c:v>
                </c:pt>
                <c:pt idx="325">
                  <c:v>0.13185781160716697</c:v>
                </c:pt>
                <c:pt idx="326">
                  <c:v>0.13199920407483898</c:v>
                </c:pt>
                <c:pt idx="327">
                  <c:v>0.13050060562213578</c:v>
                </c:pt>
                <c:pt idx="328">
                  <c:v>0.13038390663100349</c:v>
                </c:pt>
                <c:pt idx="329">
                  <c:v>0.13114032664488859</c:v>
                </c:pt>
                <c:pt idx="330">
                  <c:v>0.1314110770906973</c:v>
                </c:pt>
                <c:pt idx="331">
                  <c:v>0.13841005304894152</c:v>
                </c:pt>
                <c:pt idx="332">
                  <c:v>0.13836595195449086</c:v>
                </c:pt>
                <c:pt idx="333">
                  <c:v>0.14142757534141889</c:v>
                </c:pt>
                <c:pt idx="334">
                  <c:v>0.1345650546888458</c:v>
                </c:pt>
                <c:pt idx="335">
                  <c:v>0.13272451971364366</c:v>
                </c:pt>
                <c:pt idx="336">
                  <c:v>0.13851474799249813</c:v>
                </c:pt>
                <c:pt idx="337">
                  <c:v>0.1316901527266518</c:v>
                </c:pt>
                <c:pt idx="338">
                  <c:v>0.13115280652356884</c:v>
                </c:pt>
                <c:pt idx="339">
                  <c:v>0.13070446008448888</c:v>
                </c:pt>
                <c:pt idx="340">
                  <c:v>0.13193146112420548</c:v>
                </c:pt>
                <c:pt idx="341">
                  <c:v>0.13003328909835912</c:v>
                </c:pt>
                <c:pt idx="342">
                  <c:v>0.12642436987125508</c:v>
                </c:pt>
                <c:pt idx="343">
                  <c:v>0.12578565851166965</c:v>
                </c:pt>
                <c:pt idx="344">
                  <c:v>0.12979876949139255</c:v>
                </c:pt>
                <c:pt idx="345">
                  <c:v>0.13596826858692437</c:v>
                </c:pt>
                <c:pt idx="346">
                  <c:v>0.13673419451817329</c:v>
                </c:pt>
                <c:pt idx="347">
                  <c:v>0.13616397405726863</c:v>
                </c:pt>
                <c:pt idx="348">
                  <c:v>0.13761235224054949</c:v>
                </c:pt>
                <c:pt idx="349">
                  <c:v>0.13934925676400126</c:v>
                </c:pt>
                <c:pt idx="350">
                  <c:v>0.14209961445472852</c:v>
                </c:pt>
                <c:pt idx="351">
                  <c:v>0.14201171372890509</c:v>
                </c:pt>
                <c:pt idx="352">
                  <c:v>0.14385599094775994</c:v>
                </c:pt>
                <c:pt idx="353">
                  <c:v>0.14078255806705944</c:v>
                </c:pt>
                <c:pt idx="354">
                  <c:v>0.14017106610218338</c:v>
                </c:pt>
                <c:pt idx="355">
                  <c:v>0.14527533158378605</c:v>
                </c:pt>
                <c:pt idx="356">
                  <c:v>0.15014531973162057</c:v>
                </c:pt>
                <c:pt idx="357">
                  <c:v>0.15300654803731137</c:v>
                </c:pt>
                <c:pt idx="358">
                  <c:v>0.1531735591675441</c:v>
                </c:pt>
                <c:pt idx="359">
                  <c:v>0.15398303958242707</c:v>
                </c:pt>
                <c:pt idx="360">
                  <c:v>0.15606907118278296</c:v>
                </c:pt>
                <c:pt idx="361">
                  <c:v>0.16151680795248621</c:v>
                </c:pt>
                <c:pt idx="362">
                  <c:v>0.16659595877837646</c:v>
                </c:pt>
                <c:pt idx="363">
                  <c:v>0.16674700703234666</c:v>
                </c:pt>
                <c:pt idx="364">
                  <c:v>0.16618414334890058</c:v>
                </c:pt>
                <c:pt idx="365">
                  <c:v>0.14968265548452564</c:v>
                </c:pt>
                <c:pt idx="366">
                  <c:v>0.14829020419820013</c:v>
                </c:pt>
                <c:pt idx="367">
                  <c:v>0.1480749807087656</c:v>
                </c:pt>
                <c:pt idx="368">
                  <c:v>0.15266387892699085</c:v>
                </c:pt>
                <c:pt idx="369">
                  <c:v>0.15059412419600035</c:v>
                </c:pt>
                <c:pt idx="370">
                  <c:v>0.15034390779303691</c:v>
                </c:pt>
                <c:pt idx="371">
                  <c:v>0.14905287585158478</c:v>
                </c:pt>
                <c:pt idx="372">
                  <c:v>0.1454831332460175</c:v>
                </c:pt>
                <c:pt idx="373">
                  <c:v>0.14769867335106029</c:v>
                </c:pt>
                <c:pt idx="374">
                  <c:v>0.14566453820936323</c:v>
                </c:pt>
                <c:pt idx="375">
                  <c:v>0.14698737634320608</c:v>
                </c:pt>
                <c:pt idx="376">
                  <c:v>0.14585678516979642</c:v>
                </c:pt>
                <c:pt idx="377">
                  <c:v>0.14386374965658696</c:v>
                </c:pt>
                <c:pt idx="378">
                  <c:v>0.14096812706832207</c:v>
                </c:pt>
                <c:pt idx="379">
                  <c:v>0.13720134980404397</c:v>
                </c:pt>
                <c:pt idx="380">
                  <c:v>0.13789376517223842</c:v>
                </c:pt>
                <c:pt idx="381">
                  <c:v>0.13882858810106535</c:v>
                </c:pt>
                <c:pt idx="382">
                  <c:v>0.13866695186552658</c:v>
                </c:pt>
                <c:pt idx="383">
                  <c:v>0.13578001131841916</c:v>
                </c:pt>
                <c:pt idx="384">
                  <c:v>0.13698406639157046</c:v>
                </c:pt>
                <c:pt idx="385">
                  <c:v>0.13909775081807144</c:v>
                </c:pt>
                <c:pt idx="386">
                  <c:v>0.13767164294759585</c:v>
                </c:pt>
                <c:pt idx="387">
                  <c:v>0.13850278758635956</c:v>
                </c:pt>
                <c:pt idx="388">
                  <c:v>0.1390835653652665</c:v>
                </c:pt>
                <c:pt idx="389">
                  <c:v>0.14891837807273189</c:v>
                </c:pt>
                <c:pt idx="390">
                  <c:v>0.14821683511831096</c:v>
                </c:pt>
                <c:pt idx="391">
                  <c:v>0.15065259386394858</c:v>
                </c:pt>
                <c:pt idx="392">
                  <c:v>0.15312187552459156</c:v>
                </c:pt>
                <c:pt idx="393">
                  <c:v>0.15235638250866454</c:v>
                </c:pt>
                <c:pt idx="394">
                  <c:v>0.14779440753820078</c:v>
                </c:pt>
                <c:pt idx="395">
                  <c:v>0.14879264264225359</c:v>
                </c:pt>
                <c:pt idx="396">
                  <c:v>0.14866414710190692</c:v>
                </c:pt>
                <c:pt idx="397">
                  <c:v>0.15102887379486615</c:v>
                </c:pt>
                <c:pt idx="398">
                  <c:v>0.14761421718409551</c:v>
                </c:pt>
                <c:pt idx="399">
                  <c:v>0.13430026024261796</c:v>
                </c:pt>
                <c:pt idx="400">
                  <c:v>0.13351296461827677</c:v>
                </c:pt>
                <c:pt idx="401">
                  <c:v>0.13214943546631966</c:v>
                </c:pt>
                <c:pt idx="402">
                  <c:v>0.13721499135098963</c:v>
                </c:pt>
                <c:pt idx="403">
                  <c:v>0.13632719987783623</c:v>
                </c:pt>
                <c:pt idx="404">
                  <c:v>0.13493688603338527</c:v>
                </c:pt>
                <c:pt idx="405">
                  <c:v>0.13311832949448499</c:v>
                </c:pt>
                <c:pt idx="406">
                  <c:v>0.13536377124567611</c:v>
                </c:pt>
                <c:pt idx="407">
                  <c:v>0.13365049378851671</c:v>
                </c:pt>
                <c:pt idx="408">
                  <c:v>0.1329504283184928</c:v>
                </c:pt>
                <c:pt idx="409">
                  <c:v>0.14267903056837206</c:v>
                </c:pt>
                <c:pt idx="410">
                  <c:v>0.14122256608623471</c:v>
                </c:pt>
                <c:pt idx="411">
                  <c:v>0.14366183194364995</c:v>
                </c:pt>
                <c:pt idx="412">
                  <c:v>0.13619346009776925</c:v>
                </c:pt>
                <c:pt idx="413">
                  <c:v>0.13886001227229319</c:v>
                </c:pt>
                <c:pt idx="414">
                  <c:v>0.13997118184309662</c:v>
                </c:pt>
                <c:pt idx="415">
                  <c:v>0.13532626559304672</c:v>
                </c:pt>
                <c:pt idx="416">
                  <c:v>0.13318403650273805</c:v>
                </c:pt>
                <c:pt idx="417">
                  <c:v>0.13247505600548035</c:v>
                </c:pt>
                <c:pt idx="418">
                  <c:v>0.13141822374436277</c:v>
                </c:pt>
                <c:pt idx="419">
                  <c:v>0.13097622267636957</c:v>
                </c:pt>
                <c:pt idx="420">
                  <c:v>0.12953273433616144</c:v>
                </c:pt>
                <c:pt idx="421">
                  <c:v>0.12602898414864927</c:v>
                </c:pt>
                <c:pt idx="422">
                  <c:v>0.1226492740438775</c:v>
                </c:pt>
                <c:pt idx="423">
                  <c:v>0.12213649697127681</c:v>
                </c:pt>
                <c:pt idx="424">
                  <c:v>0.12436181659232594</c:v>
                </c:pt>
                <c:pt idx="425">
                  <c:v>0.12640227507663579</c:v>
                </c:pt>
                <c:pt idx="426">
                  <c:v>0.12419475107546558</c:v>
                </c:pt>
                <c:pt idx="427">
                  <c:v>0.12339509353565288</c:v>
                </c:pt>
                <c:pt idx="428">
                  <c:v>0.12562774411128194</c:v>
                </c:pt>
                <c:pt idx="429">
                  <c:v>0.11956141731633456</c:v>
                </c:pt>
                <c:pt idx="430">
                  <c:v>0.11615159940577532</c:v>
                </c:pt>
                <c:pt idx="431">
                  <c:v>0.11683280239162948</c:v>
                </c:pt>
                <c:pt idx="432">
                  <c:v>0.11658765502069271</c:v>
                </c:pt>
                <c:pt idx="433">
                  <c:v>0.11524152116196899</c:v>
                </c:pt>
                <c:pt idx="434">
                  <c:v>0.11411753993259276</c:v>
                </c:pt>
                <c:pt idx="435">
                  <c:v>0.10816745789424152</c:v>
                </c:pt>
                <c:pt idx="436">
                  <c:v>0.10741833555198109</c:v>
                </c:pt>
                <c:pt idx="437">
                  <c:v>0.10691749088325078</c:v>
                </c:pt>
                <c:pt idx="438">
                  <c:v>0.10655842421621876</c:v>
                </c:pt>
                <c:pt idx="439">
                  <c:v>0.10727969900614691</c:v>
                </c:pt>
                <c:pt idx="440">
                  <c:v>0.10866799940347703</c:v>
                </c:pt>
                <c:pt idx="441">
                  <c:v>0.10117621066796888</c:v>
                </c:pt>
                <c:pt idx="442">
                  <c:v>0.10139877771985259</c:v>
                </c:pt>
                <c:pt idx="443">
                  <c:v>0.11088564227494488</c:v>
                </c:pt>
                <c:pt idx="444">
                  <c:v>0.11223001372828771</c:v>
                </c:pt>
                <c:pt idx="445">
                  <c:v>0.11661272958202144</c:v>
                </c:pt>
                <c:pt idx="446">
                  <c:v>0.11822570786202209</c:v>
                </c:pt>
                <c:pt idx="447">
                  <c:v>0.12104727493045617</c:v>
                </c:pt>
                <c:pt idx="448">
                  <c:v>0.12167402242644913</c:v>
                </c:pt>
                <c:pt idx="449">
                  <c:v>0.11607095046418513</c:v>
                </c:pt>
                <c:pt idx="450">
                  <c:v>0.11927837867458244</c:v>
                </c:pt>
                <c:pt idx="451">
                  <c:v>0.12615399047355005</c:v>
                </c:pt>
                <c:pt idx="452">
                  <c:v>0.12456880500110715</c:v>
                </c:pt>
                <c:pt idx="453">
                  <c:v>0.12533250418890723</c:v>
                </c:pt>
                <c:pt idx="454">
                  <c:v>0.12532355438817791</c:v>
                </c:pt>
                <c:pt idx="455">
                  <c:v>0.12502117404441199</c:v>
                </c:pt>
                <c:pt idx="456">
                  <c:v>0.12915388174135317</c:v>
                </c:pt>
                <c:pt idx="457">
                  <c:v>0.12663561024160686</c:v>
                </c:pt>
                <c:pt idx="458">
                  <c:v>0.12548566876789685</c:v>
                </c:pt>
                <c:pt idx="459">
                  <c:v>0.12560687810724785</c:v>
                </c:pt>
                <c:pt idx="460">
                  <c:v>0.12090460509892477</c:v>
                </c:pt>
                <c:pt idx="461">
                  <c:v>0.12147729409523932</c:v>
                </c:pt>
                <c:pt idx="462">
                  <c:v>0.12008751158162746</c:v>
                </c:pt>
                <c:pt idx="463">
                  <c:v>0.11815010825333508</c:v>
                </c:pt>
                <c:pt idx="464">
                  <c:v>0.12419929659150572</c:v>
                </c:pt>
                <c:pt idx="465">
                  <c:v>0.12109576481382642</c:v>
                </c:pt>
                <c:pt idx="466">
                  <c:v>0.12164445232652051</c:v>
                </c:pt>
                <c:pt idx="467">
                  <c:v>0.11768375050958489</c:v>
                </c:pt>
                <c:pt idx="468">
                  <c:v>0.12367483466145462</c:v>
                </c:pt>
                <c:pt idx="469">
                  <c:v>0.12061630437750968</c:v>
                </c:pt>
                <c:pt idx="470">
                  <c:v>0.12040624765446839</c:v>
                </c:pt>
                <c:pt idx="471">
                  <c:v>0.12147002814213671</c:v>
                </c:pt>
                <c:pt idx="472">
                  <c:v>0.11994981704970378</c:v>
                </c:pt>
                <c:pt idx="473">
                  <c:v>0.12828377117782752</c:v>
                </c:pt>
                <c:pt idx="474">
                  <c:v>0.13013852619840796</c:v>
                </c:pt>
                <c:pt idx="475">
                  <c:v>0.12802748634670755</c:v>
                </c:pt>
                <c:pt idx="476">
                  <c:v>0.12763545040787388</c:v>
                </c:pt>
                <c:pt idx="477">
                  <c:v>0.12821736445897142</c:v>
                </c:pt>
                <c:pt idx="478">
                  <c:v>0.13459895306502376</c:v>
                </c:pt>
                <c:pt idx="479">
                  <c:v>0.13865769762891789</c:v>
                </c:pt>
                <c:pt idx="480">
                  <c:v>0.13829230760778635</c:v>
                </c:pt>
                <c:pt idx="481">
                  <c:v>0.14010498405379573</c:v>
                </c:pt>
                <c:pt idx="482">
                  <c:v>0.14013377013326617</c:v>
                </c:pt>
                <c:pt idx="483">
                  <c:v>0.13958192614144102</c:v>
                </c:pt>
                <c:pt idx="484">
                  <c:v>0.13892050359613548</c:v>
                </c:pt>
                <c:pt idx="485">
                  <c:v>0.13485110627481686</c:v>
                </c:pt>
                <c:pt idx="486">
                  <c:v>0.13405142886061075</c:v>
                </c:pt>
                <c:pt idx="487">
                  <c:v>0.13526436748863499</c:v>
                </c:pt>
                <c:pt idx="488">
                  <c:v>0.13579575445238437</c:v>
                </c:pt>
                <c:pt idx="489">
                  <c:v>0.13363416215535162</c:v>
                </c:pt>
                <c:pt idx="490">
                  <c:v>0.12945823588745956</c:v>
                </c:pt>
                <c:pt idx="491">
                  <c:v>0.13031830020615273</c:v>
                </c:pt>
                <c:pt idx="492">
                  <c:v>0.13006125938803992</c:v>
                </c:pt>
                <c:pt idx="493">
                  <c:v>0.12977234498582318</c:v>
                </c:pt>
                <c:pt idx="494">
                  <c:v>0.13067331968230464</c:v>
                </c:pt>
                <c:pt idx="495">
                  <c:v>0.12748185084488758</c:v>
                </c:pt>
                <c:pt idx="496">
                  <c:v>0.12673349852247406</c:v>
                </c:pt>
                <c:pt idx="497">
                  <c:v>0.1269714420843096</c:v>
                </c:pt>
                <c:pt idx="498">
                  <c:v>0.12913013853491206</c:v>
                </c:pt>
                <c:pt idx="499">
                  <c:v>0.12809322293713096</c:v>
                </c:pt>
                <c:pt idx="500">
                  <c:v>0.12463300887645501</c:v>
                </c:pt>
                <c:pt idx="501">
                  <c:v>0.13530442140597435</c:v>
                </c:pt>
                <c:pt idx="502">
                  <c:v>0.13778054530553371</c:v>
                </c:pt>
                <c:pt idx="503">
                  <c:v>0.13733750859442845</c:v>
                </c:pt>
                <c:pt idx="504">
                  <c:v>0.1323544597942852</c:v>
                </c:pt>
                <c:pt idx="505">
                  <c:v>0.13117321120631778</c:v>
                </c:pt>
                <c:pt idx="506">
                  <c:v>0.12775444084721771</c:v>
                </c:pt>
                <c:pt idx="507">
                  <c:v>0.1279944571653483</c:v>
                </c:pt>
                <c:pt idx="508">
                  <c:v>0.1232080580489642</c:v>
                </c:pt>
                <c:pt idx="509">
                  <c:v>0.12490258913813064</c:v>
                </c:pt>
                <c:pt idx="510">
                  <c:v>0.12325732360128694</c:v>
                </c:pt>
                <c:pt idx="511">
                  <c:v>0.12341264683705135</c:v>
                </c:pt>
                <c:pt idx="512">
                  <c:v>0.12360962166562314</c:v>
                </c:pt>
                <c:pt idx="513">
                  <c:v>0.12442752211622939</c:v>
                </c:pt>
                <c:pt idx="514">
                  <c:v>0.12360891227771424</c:v>
                </c:pt>
                <c:pt idx="515">
                  <c:v>0.12453537701320434</c:v>
                </c:pt>
                <c:pt idx="516">
                  <c:v>0.12595526830230427</c:v>
                </c:pt>
                <c:pt idx="517">
                  <c:v>0.12794133217001868</c:v>
                </c:pt>
                <c:pt idx="518">
                  <c:v>0.13630234236544961</c:v>
                </c:pt>
                <c:pt idx="519">
                  <c:v>0.13727529275041539</c:v>
                </c:pt>
                <c:pt idx="520">
                  <c:v>0.13787993299643267</c:v>
                </c:pt>
                <c:pt idx="521">
                  <c:v>0.13934332023714427</c:v>
                </c:pt>
                <c:pt idx="522">
                  <c:v>0.13677799906705956</c:v>
                </c:pt>
                <c:pt idx="523">
                  <c:v>0.13725503548504542</c:v>
                </c:pt>
                <c:pt idx="524">
                  <c:v>0.13718350904305904</c:v>
                </c:pt>
                <c:pt idx="525">
                  <c:v>0.13706906457082627</c:v>
                </c:pt>
                <c:pt idx="526">
                  <c:v>0.14022467031754957</c:v>
                </c:pt>
                <c:pt idx="527">
                  <c:v>0.14108881730629674</c:v>
                </c:pt>
                <c:pt idx="528">
                  <c:v>0.14535632733470383</c:v>
                </c:pt>
                <c:pt idx="529">
                  <c:v>0.14476327086404203</c:v>
                </c:pt>
                <c:pt idx="530">
                  <c:v>0.15607841411960108</c:v>
                </c:pt>
                <c:pt idx="531">
                  <c:v>0.1566801887386079</c:v>
                </c:pt>
                <c:pt idx="532">
                  <c:v>0.15538416152938891</c:v>
                </c:pt>
                <c:pt idx="533">
                  <c:v>0.14705039394466404</c:v>
                </c:pt>
                <c:pt idx="534">
                  <c:v>0.14846017044478529</c:v>
                </c:pt>
                <c:pt idx="535">
                  <c:v>0.15060941098276656</c:v>
                </c:pt>
                <c:pt idx="536">
                  <c:v>0.15315865542292428</c:v>
                </c:pt>
                <c:pt idx="537">
                  <c:v>0.15242156577036536</c:v>
                </c:pt>
                <c:pt idx="538">
                  <c:v>0.15098673686747507</c:v>
                </c:pt>
                <c:pt idx="539">
                  <c:v>0.15087022311719001</c:v>
                </c:pt>
                <c:pt idx="540">
                  <c:v>0.15151370343709158</c:v>
                </c:pt>
                <c:pt idx="541">
                  <c:v>0.14846030814868225</c:v>
                </c:pt>
                <c:pt idx="542">
                  <c:v>0.15068624722398014</c:v>
                </c:pt>
                <c:pt idx="543">
                  <c:v>0.15163571145290808</c:v>
                </c:pt>
                <c:pt idx="544">
                  <c:v>0.15189597317499931</c:v>
                </c:pt>
                <c:pt idx="545">
                  <c:v>0.14940276251984633</c:v>
                </c:pt>
                <c:pt idx="546">
                  <c:v>0.14811651089138514</c:v>
                </c:pt>
                <c:pt idx="547">
                  <c:v>0.15027811154824811</c:v>
                </c:pt>
                <c:pt idx="548">
                  <c:v>0.1507014775492988</c:v>
                </c:pt>
                <c:pt idx="549">
                  <c:v>0.14991975151556594</c:v>
                </c:pt>
                <c:pt idx="550">
                  <c:v>0.15196418307450729</c:v>
                </c:pt>
                <c:pt idx="551">
                  <c:v>0.1550734033707597</c:v>
                </c:pt>
                <c:pt idx="552">
                  <c:v>0.15439885086577823</c:v>
                </c:pt>
                <c:pt idx="553">
                  <c:v>0.16130113227221113</c:v>
                </c:pt>
                <c:pt idx="554">
                  <c:v>0.15667913762177893</c:v>
                </c:pt>
                <c:pt idx="555">
                  <c:v>0.15590335801398231</c:v>
                </c:pt>
                <c:pt idx="556">
                  <c:v>0.15240603515537396</c:v>
                </c:pt>
                <c:pt idx="557">
                  <c:v>0.15425786095663321</c:v>
                </c:pt>
                <c:pt idx="558">
                  <c:v>0.15344741638392487</c:v>
                </c:pt>
                <c:pt idx="559">
                  <c:v>0.15448191768832431</c:v>
                </c:pt>
                <c:pt idx="560">
                  <c:v>0.1554212035007547</c:v>
                </c:pt>
                <c:pt idx="561">
                  <c:v>0.15517429693761875</c:v>
                </c:pt>
                <c:pt idx="562">
                  <c:v>0.15382997872696905</c:v>
                </c:pt>
                <c:pt idx="563">
                  <c:v>0.15361640519348796</c:v>
                </c:pt>
                <c:pt idx="564">
                  <c:v>0.15301241956184494</c:v>
                </c:pt>
                <c:pt idx="565">
                  <c:v>0.1502891560230602</c:v>
                </c:pt>
                <c:pt idx="566">
                  <c:v>0.15041460677648669</c:v>
                </c:pt>
                <c:pt idx="567">
                  <c:v>0.1490961277054399</c:v>
                </c:pt>
                <c:pt idx="568">
                  <c:v>0.14728136206960474</c:v>
                </c:pt>
                <c:pt idx="569">
                  <c:v>0.14691477753008994</c:v>
                </c:pt>
                <c:pt idx="570">
                  <c:v>0.14677831882503989</c:v>
                </c:pt>
                <c:pt idx="571">
                  <c:v>0.14786228759258707</c:v>
                </c:pt>
                <c:pt idx="572">
                  <c:v>0.14879857217162915</c:v>
                </c:pt>
                <c:pt idx="573">
                  <c:v>0.15071869124467713</c:v>
                </c:pt>
                <c:pt idx="574">
                  <c:v>0.15017932386886246</c:v>
                </c:pt>
                <c:pt idx="575">
                  <c:v>0.15322306680199638</c:v>
                </c:pt>
                <c:pt idx="576">
                  <c:v>0.15315817741136392</c:v>
                </c:pt>
                <c:pt idx="577">
                  <c:v>0.152970438117842</c:v>
                </c:pt>
                <c:pt idx="578">
                  <c:v>0.15473855523910324</c:v>
                </c:pt>
                <c:pt idx="579">
                  <c:v>0.15042507872589392</c:v>
                </c:pt>
                <c:pt idx="580">
                  <c:v>0.14961706455220225</c:v>
                </c:pt>
                <c:pt idx="581">
                  <c:v>0.14826549965089456</c:v>
                </c:pt>
                <c:pt idx="582">
                  <c:v>0.14964997802943669</c:v>
                </c:pt>
                <c:pt idx="583">
                  <c:v>0.14888580738692175</c:v>
                </c:pt>
                <c:pt idx="584">
                  <c:v>0.15291246077523069</c:v>
                </c:pt>
                <c:pt idx="585">
                  <c:v>0.15323124895959017</c:v>
                </c:pt>
                <c:pt idx="586">
                  <c:v>0.15242695414811105</c:v>
                </c:pt>
                <c:pt idx="587">
                  <c:v>0.1517139931699247</c:v>
                </c:pt>
                <c:pt idx="588">
                  <c:v>0.14946311043334429</c:v>
                </c:pt>
                <c:pt idx="589">
                  <c:v>0.14649731335732652</c:v>
                </c:pt>
                <c:pt idx="590">
                  <c:v>0.14824000218829184</c:v>
                </c:pt>
                <c:pt idx="591">
                  <c:v>0.14894704842981624</c:v>
                </c:pt>
                <c:pt idx="592">
                  <c:v>0.15030197514582302</c:v>
                </c:pt>
                <c:pt idx="593">
                  <c:v>0.14339054215563413</c:v>
                </c:pt>
                <c:pt idx="594">
                  <c:v>0.14070590561848842</c:v>
                </c:pt>
                <c:pt idx="595">
                  <c:v>0.14099856298040953</c:v>
                </c:pt>
                <c:pt idx="596">
                  <c:v>0.13693856051991493</c:v>
                </c:pt>
                <c:pt idx="597">
                  <c:v>0.12788411558183402</c:v>
                </c:pt>
                <c:pt idx="598">
                  <c:v>0.1283924417947056</c:v>
                </c:pt>
                <c:pt idx="599">
                  <c:v>0.12740435757676533</c:v>
                </c:pt>
                <c:pt idx="600">
                  <c:v>0.12406207866979461</c:v>
                </c:pt>
                <c:pt idx="601">
                  <c:v>0.1222000405081434</c:v>
                </c:pt>
                <c:pt idx="602">
                  <c:v>0.12390436421523748</c:v>
                </c:pt>
                <c:pt idx="603">
                  <c:v>0.122083851030954</c:v>
                </c:pt>
                <c:pt idx="604">
                  <c:v>0.12224967092844322</c:v>
                </c:pt>
                <c:pt idx="605">
                  <c:v>0.12044840985588917</c:v>
                </c:pt>
                <c:pt idx="606">
                  <c:v>0.11903405876831005</c:v>
                </c:pt>
                <c:pt idx="607">
                  <c:v>0.11867405633328987</c:v>
                </c:pt>
                <c:pt idx="608">
                  <c:v>0.11965942508342585</c:v>
                </c:pt>
                <c:pt idx="609">
                  <c:v>0.1191490041431799</c:v>
                </c:pt>
                <c:pt idx="610">
                  <c:v>0.11942873993602804</c:v>
                </c:pt>
                <c:pt idx="611">
                  <c:v>0.11985098653515308</c:v>
                </c:pt>
                <c:pt idx="612">
                  <c:v>0.11930322096934705</c:v>
                </c:pt>
                <c:pt idx="613">
                  <c:v>0.12088173340489246</c:v>
                </c:pt>
                <c:pt idx="614">
                  <c:v>0.12310067690077124</c:v>
                </c:pt>
                <c:pt idx="615">
                  <c:v>0.12165027591952984</c:v>
                </c:pt>
                <c:pt idx="616">
                  <c:v>0.11601121752147807</c:v>
                </c:pt>
                <c:pt idx="617">
                  <c:v>0.11719129736444811</c:v>
                </c:pt>
                <c:pt idx="618">
                  <c:v>0.11690540171810396</c:v>
                </c:pt>
                <c:pt idx="619">
                  <c:v>0.11596615791685727</c:v>
                </c:pt>
                <c:pt idx="620">
                  <c:v>0.11503497492641078</c:v>
                </c:pt>
                <c:pt idx="621">
                  <c:v>0.114536185965694</c:v>
                </c:pt>
                <c:pt idx="622">
                  <c:v>0.11465001126956674</c:v>
                </c:pt>
                <c:pt idx="623">
                  <c:v>0.11465939921358211</c:v>
                </c:pt>
                <c:pt idx="624">
                  <c:v>0.11814469686335995</c:v>
                </c:pt>
                <c:pt idx="625">
                  <c:v>0.11793573766071536</c:v>
                </c:pt>
                <c:pt idx="626">
                  <c:v>0.11714161963612844</c:v>
                </c:pt>
                <c:pt idx="627">
                  <c:v>0.11514050575897901</c:v>
                </c:pt>
                <c:pt idx="628">
                  <c:v>0.11713396445969095</c:v>
                </c:pt>
                <c:pt idx="629">
                  <c:v>0.117689614607403</c:v>
                </c:pt>
                <c:pt idx="630">
                  <c:v>0.11521138343891031</c:v>
                </c:pt>
                <c:pt idx="631">
                  <c:v>0.11511172985294289</c:v>
                </c:pt>
                <c:pt idx="632">
                  <c:v>0.11211895846655648</c:v>
                </c:pt>
                <c:pt idx="633">
                  <c:v>0.11367032301266092</c:v>
                </c:pt>
                <c:pt idx="634">
                  <c:v>0.11477058726691367</c:v>
                </c:pt>
                <c:pt idx="635">
                  <c:v>0.11438794217355852</c:v>
                </c:pt>
                <c:pt idx="636">
                  <c:v>0.11292706929377024</c:v>
                </c:pt>
                <c:pt idx="637">
                  <c:v>0.11333806618584347</c:v>
                </c:pt>
                <c:pt idx="638">
                  <c:v>0.11274193894756254</c:v>
                </c:pt>
                <c:pt idx="639">
                  <c:v>0.11566339804081276</c:v>
                </c:pt>
                <c:pt idx="640">
                  <c:v>0.11585608006045876</c:v>
                </c:pt>
                <c:pt idx="641">
                  <c:v>0.12365379982354684</c:v>
                </c:pt>
                <c:pt idx="642">
                  <c:v>0.12433455415330084</c:v>
                </c:pt>
                <c:pt idx="643">
                  <c:v>0.12325473690074544</c:v>
                </c:pt>
                <c:pt idx="644">
                  <c:v>0.12548422703968545</c:v>
                </c:pt>
                <c:pt idx="645">
                  <c:v>0.12579983965848779</c:v>
                </c:pt>
                <c:pt idx="646">
                  <c:v>0.12531753785634456</c:v>
                </c:pt>
                <c:pt idx="647">
                  <c:v>0.1251735387570041</c:v>
                </c:pt>
                <c:pt idx="648">
                  <c:v>0.1250412643259739</c:v>
                </c:pt>
                <c:pt idx="649">
                  <c:v>0.12432278381700941</c:v>
                </c:pt>
                <c:pt idx="650">
                  <c:v>0.12196948801627902</c:v>
                </c:pt>
                <c:pt idx="651">
                  <c:v>0.11904262686940274</c:v>
                </c:pt>
                <c:pt idx="652">
                  <c:v>0.1175531487581593</c:v>
                </c:pt>
                <c:pt idx="653">
                  <c:v>0.11662530660369391</c:v>
                </c:pt>
                <c:pt idx="654">
                  <c:v>0.11634273876345547</c:v>
                </c:pt>
                <c:pt idx="655">
                  <c:v>0.11521352946794471</c:v>
                </c:pt>
                <c:pt idx="656">
                  <c:v>0.1153519188331798</c:v>
                </c:pt>
                <c:pt idx="657">
                  <c:v>0.1140147373838515</c:v>
                </c:pt>
                <c:pt idx="658">
                  <c:v>0.11499081925122059</c:v>
                </c:pt>
                <c:pt idx="659">
                  <c:v>0.1138764901545178</c:v>
                </c:pt>
                <c:pt idx="660">
                  <c:v>0.11335239610137789</c:v>
                </c:pt>
                <c:pt idx="661">
                  <c:v>0.11236937198232463</c:v>
                </c:pt>
                <c:pt idx="662">
                  <c:v>0.1121303918271339</c:v>
                </c:pt>
                <c:pt idx="663">
                  <c:v>0.11191593168030012</c:v>
                </c:pt>
                <c:pt idx="664">
                  <c:v>0.10863391205786604</c:v>
                </c:pt>
                <c:pt idx="665">
                  <c:v>0.10814334576241777</c:v>
                </c:pt>
                <c:pt idx="666">
                  <c:v>0.1079490594492243</c:v>
                </c:pt>
                <c:pt idx="667">
                  <c:v>0.10418676210979851</c:v>
                </c:pt>
                <c:pt idx="668">
                  <c:v>0.10309223998511584</c:v>
                </c:pt>
                <c:pt idx="669">
                  <c:v>0.10013673256285846</c:v>
                </c:pt>
                <c:pt idx="670">
                  <c:v>0.10168705981643784</c:v>
                </c:pt>
                <c:pt idx="671">
                  <c:v>9.5092781799380841E-2</c:v>
                </c:pt>
                <c:pt idx="672">
                  <c:v>9.4515689929769428E-2</c:v>
                </c:pt>
                <c:pt idx="673">
                  <c:v>9.4799932257239747E-2</c:v>
                </c:pt>
                <c:pt idx="674">
                  <c:v>9.536582901358838E-2</c:v>
                </c:pt>
                <c:pt idx="675">
                  <c:v>9.6524661348033683E-2</c:v>
                </c:pt>
                <c:pt idx="676">
                  <c:v>9.7750084555359384E-2</c:v>
                </c:pt>
                <c:pt idx="677">
                  <c:v>9.7159506194595985E-2</c:v>
                </c:pt>
                <c:pt idx="678">
                  <c:v>9.8000628806496293E-2</c:v>
                </c:pt>
                <c:pt idx="679">
                  <c:v>9.7314565981692192E-2</c:v>
                </c:pt>
                <c:pt idx="680">
                  <c:v>0.10109184531353371</c:v>
                </c:pt>
                <c:pt idx="681">
                  <c:v>0.10265067392001916</c:v>
                </c:pt>
                <c:pt idx="682">
                  <c:v>0.10243631593926485</c:v>
                </c:pt>
                <c:pt idx="683">
                  <c:v>0.10506092412432487</c:v>
                </c:pt>
                <c:pt idx="684">
                  <c:v>0.1051310502917859</c:v>
                </c:pt>
                <c:pt idx="685">
                  <c:v>9.9839639999574875E-2</c:v>
                </c:pt>
                <c:pt idx="686">
                  <c:v>9.8692610261389244E-2</c:v>
                </c:pt>
                <c:pt idx="687">
                  <c:v>9.9747400071383704E-2</c:v>
                </c:pt>
                <c:pt idx="688">
                  <c:v>9.6457417435839451E-2</c:v>
                </c:pt>
                <c:pt idx="689">
                  <c:v>9.6367959799727482E-2</c:v>
                </c:pt>
                <c:pt idx="690">
                  <c:v>9.6535829178600666E-2</c:v>
                </c:pt>
                <c:pt idx="691">
                  <c:v>9.7261590490354363E-2</c:v>
                </c:pt>
                <c:pt idx="692">
                  <c:v>9.5010867291304563E-2</c:v>
                </c:pt>
                <c:pt idx="693">
                  <c:v>0.10056403903933513</c:v>
                </c:pt>
                <c:pt idx="694">
                  <c:v>0.10169024472918213</c:v>
                </c:pt>
                <c:pt idx="695">
                  <c:v>0.10274366096517296</c:v>
                </c:pt>
                <c:pt idx="696">
                  <c:v>0.10841133788231437</c:v>
                </c:pt>
                <c:pt idx="697">
                  <c:v>0.10851536145978695</c:v>
                </c:pt>
                <c:pt idx="698">
                  <c:v>0.10780345944015884</c:v>
                </c:pt>
                <c:pt idx="699">
                  <c:v>0.10696587636672869</c:v>
                </c:pt>
                <c:pt idx="700">
                  <c:v>0.10581290051270455</c:v>
                </c:pt>
                <c:pt idx="701">
                  <c:v>0.10579424798499472</c:v>
                </c:pt>
                <c:pt idx="702">
                  <c:v>0.10524965169741916</c:v>
                </c:pt>
                <c:pt idx="703">
                  <c:v>0.10813216122609991</c:v>
                </c:pt>
                <c:pt idx="704">
                  <c:v>0.10759467826889217</c:v>
                </c:pt>
                <c:pt idx="705">
                  <c:v>0.10818570231994087</c:v>
                </c:pt>
                <c:pt idx="706">
                  <c:v>0.11049179201046259</c:v>
                </c:pt>
                <c:pt idx="707">
                  <c:v>0.1091299951587784</c:v>
                </c:pt>
                <c:pt idx="708">
                  <c:v>0.10992701523356183</c:v>
                </c:pt>
                <c:pt idx="709">
                  <c:v>0.10822344837703433</c:v>
                </c:pt>
                <c:pt idx="710">
                  <c:v>0.10641624784262103</c:v>
                </c:pt>
                <c:pt idx="711">
                  <c:v>0.10455611460702154</c:v>
                </c:pt>
                <c:pt idx="712">
                  <c:v>0.10541970257459787</c:v>
                </c:pt>
                <c:pt idx="713">
                  <c:v>0.10635908055017416</c:v>
                </c:pt>
                <c:pt idx="714">
                  <c:v>0.10734562476181471</c:v>
                </c:pt>
                <c:pt idx="715">
                  <c:v>0.10628616698355851</c:v>
                </c:pt>
                <c:pt idx="716">
                  <c:v>0.10536000934814903</c:v>
                </c:pt>
                <c:pt idx="717">
                  <c:v>0.10596421961005607</c:v>
                </c:pt>
                <c:pt idx="718">
                  <c:v>0.10701923592022686</c:v>
                </c:pt>
                <c:pt idx="719">
                  <c:v>0.1045003610869729</c:v>
                </c:pt>
                <c:pt idx="720">
                  <c:v>0.10766580396743759</c:v>
                </c:pt>
                <c:pt idx="721">
                  <c:v>0.10698847615898137</c:v>
                </c:pt>
                <c:pt idx="722">
                  <c:v>0.10565608369758614</c:v>
                </c:pt>
                <c:pt idx="723">
                  <c:v>0.10501856076060491</c:v>
                </c:pt>
                <c:pt idx="724">
                  <c:v>0.10433611767282663</c:v>
                </c:pt>
                <c:pt idx="725">
                  <c:v>0.10520905175836207</c:v>
                </c:pt>
                <c:pt idx="726">
                  <c:v>0.1047926170872273</c:v>
                </c:pt>
                <c:pt idx="727">
                  <c:v>0.10610141264921129</c:v>
                </c:pt>
                <c:pt idx="728">
                  <c:v>0.10702135327939641</c:v>
                </c:pt>
                <c:pt idx="729">
                  <c:v>0.1066243365829057</c:v>
                </c:pt>
                <c:pt idx="730">
                  <c:v>0.10925081563926149</c:v>
                </c:pt>
                <c:pt idx="731">
                  <c:v>0.10856287399002965</c:v>
                </c:pt>
                <c:pt idx="732">
                  <c:v>0.10584091798019199</c:v>
                </c:pt>
                <c:pt idx="733">
                  <c:v>0.10486991051576436</c:v>
                </c:pt>
                <c:pt idx="734">
                  <c:v>0.10517932257744797</c:v>
                </c:pt>
                <c:pt idx="735">
                  <c:v>0.10390222635199416</c:v>
                </c:pt>
                <c:pt idx="736">
                  <c:v>0.10384968504232149</c:v>
                </c:pt>
                <c:pt idx="737">
                  <c:v>0.10347541074720405</c:v>
                </c:pt>
                <c:pt idx="738">
                  <c:v>0.10385384113606391</c:v>
                </c:pt>
                <c:pt idx="739">
                  <c:v>0.10292245136914323</c:v>
                </c:pt>
                <c:pt idx="740">
                  <c:v>0.10118453408111575</c:v>
                </c:pt>
                <c:pt idx="741">
                  <c:v>0.10107640279723532</c:v>
                </c:pt>
                <c:pt idx="742">
                  <c:v>0.10270526009971008</c:v>
                </c:pt>
                <c:pt idx="743">
                  <c:v>0.1029376549586922</c:v>
                </c:pt>
                <c:pt idx="744">
                  <c:v>0.10322640698611166</c:v>
                </c:pt>
                <c:pt idx="745">
                  <c:v>0.10300845426832243</c:v>
                </c:pt>
                <c:pt idx="746">
                  <c:v>0.1027017782036231</c:v>
                </c:pt>
                <c:pt idx="747">
                  <c:v>0.10365279373177093</c:v>
                </c:pt>
                <c:pt idx="748">
                  <c:v>0.10718750428177537</c:v>
                </c:pt>
                <c:pt idx="749">
                  <c:v>0.10926797044119479</c:v>
                </c:pt>
                <c:pt idx="750">
                  <c:v>0.11052259351747948</c:v>
                </c:pt>
                <c:pt idx="751">
                  <c:v>0.10805107802153981</c:v>
                </c:pt>
                <c:pt idx="752">
                  <c:v>0.10926618501286761</c:v>
                </c:pt>
                <c:pt idx="753">
                  <c:v>0.10905470773682341</c:v>
                </c:pt>
                <c:pt idx="754">
                  <c:v>0.11090927010785044</c:v>
                </c:pt>
                <c:pt idx="755">
                  <c:v>0.11129465536766789</c:v>
                </c:pt>
                <c:pt idx="756">
                  <c:v>0.1114071562012157</c:v>
                </c:pt>
                <c:pt idx="757">
                  <c:v>0.11088792128016835</c:v>
                </c:pt>
                <c:pt idx="758">
                  <c:v>0.11087435438423439</c:v>
                </c:pt>
                <c:pt idx="759">
                  <c:v>0.10681808441447561</c:v>
                </c:pt>
                <c:pt idx="760">
                  <c:v>0.10877866577652472</c:v>
                </c:pt>
                <c:pt idx="761">
                  <c:v>0.10985573434741651</c:v>
                </c:pt>
                <c:pt idx="762">
                  <c:v>0.10948780218333407</c:v>
                </c:pt>
                <c:pt idx="763">
                  <c:v>0.11001755106964027</c:v>
                </c:pt>
                <c:pt idx="764">
                  <c:v>0.10886816634133448</c:v>
                </c:pt>
                <c:pt idx="765">
                  <c:v>0.10799502397499361</c:v>
                </c:pt>
                <c:pt idx="766">
                  <c:v>0.10837227216868738</c:v>
                </c:pt>
                <c:pt idx="767">
                  <c:v>0.10566293476185623</c:v>
                </c:pt>
                <c:pt idx="768">
                  <c:v>0.10617387315303915</c:v>
                </c:pt>
                <c:pt idx="769">
                  <c:v>0.105224538634258</c:v>
                </c:pt>
                <c:pt idx="770">
                  <c:v>0.10283188980832943</c:v>
                </c:pt>
                <c:pt idx="771">
                  <c:v>0.10259339102672384</c:v>
                </c:pt>
                <c:pt idx="772">
                  <c:v>0.10186091862201145</c:v>
                </c:pt>
                <c:pt idx="773">
                  <c:v>0.10159785938350559</c:v>
                </c:pt>
                <c:pt idx="774">
                  <c:v>0.1022854488838645</c:v>
                </c:pt>
                <c:pt idx="775">
                  <c:v>0.10226080643331757</c:v>
                </c:pt>
                <c:pt idx="776">
                  <c:v>0.10293414429838965</c:v>
                </c:pt>
                <c:pt idx="777">
                  <c:v>0.10239027412363468</c:v>
                </c:pt>
                <c:pt idx="778">
                  <c:v>9.9635066990055893E-2</c:v>
                </c:pt>
                <c:pt idx="779">
                  <c:v>9.8803244985824337E-2</c:v>
                </c:pt>
                <c:pt idx="780">
                  <c:v>0.10119484884997718</c:v>
                </c:pt>
                <c:pt idx="781">
                  <c:v>0.10211878537476204</c:v>
                </c:pt>
                <c:pt idx="782">
                  <c:v>0.10273586952790058</c:v>
                </c:pt>
                <c:pt idx="783">
                  <c:v>0.10203835674733319</c:v>
                </c:pt>
                <c:pt idx="784">
                  <c:v>9.9947106898105154E-2</c:v>
                </c:pt>
                <c:pt idx="785">
                  <c:v>0.1003768373761813</c:v>
                </c:pt>
                <c:pt idx="786">
                  <c:v>0.10097481663565103</c:v>
                </c:pt>
                <c:pt idx="787">
                  <c:v>9.7090278528513541E-2</c:v>
                </c:pt>
                <c:pt idx="788">
                  <c:v>9.5383755419015004E-2</c:v>
                </c:pt>
                <c:pt idx="789">
                  <c:v>9.5190138774642677E-2</c:v>
                </c:pt>
                <c:pt idx="790">
                  <c:v>9.4230190019295362E-2</c:v>
                </c:pt>
                <c:pt idx="791">
                  <c:v>9.2709183409997328E-2</c:v>
                </c:pt>
                <c:pt idx="792">
                  <c:v>9.2435787887082621E-2</c:v>
                </c:pt>
                <c:pt idx="793">
                  <c:v>9.3500991369170033E-2</c:v>
                </c:pt>
                <c:pt idx="794">
                  <c:v>9.3139464184145149E-2</c:v>
                </c:pt>
                <c:pt idx="795">
                  <c:v>9.0900217427352575E-2</c:v>
                </c:pt>
                <c:pt idx="796">
                  <c:v>9.4506984339109437E-2</c:v>
                </c:pt>
                <c:pt idx="797">
                  <c:v>9.4295993874444151E-2</c:v>
                </c:pt>
                <c:pt idx="798">
                  <c:v>9.2891227392521369E-2</c:v>
                </c:pt>
                <c:pt idx="799">
                  <c:v>9.3262497717329057E-2</c:v>
                </c:pt>
                <c:pt idx="800">
                  <c:v>9.2956431812881504E-2</c:v>
                </c:pt>
                <c:pt idx="801">
                  <c:v>9.2852479998713766E-2</c:v>
                </c:pt>
                <c:pt idx="802">
                  <c:v>9.2425936989219026E-2</c:v>
                </c:pt>
                <c:pt idx="803">
                  <c:v>9.2948201199561584E-2</c:v>
                </c:pt>
                <c:pt idx="804">
                  <c:v>8.8991161423220499E-2</c:v>
                </c:pt>
                <c:pt idx="805">
                  <c:v>8.6398977536882429E-2</c:v>
                </c:pt>
                <c:pt idx="806">
                  <c:v>8.7126642812539179E-2</c:v>
                </c:pt>
                <c:pt idx="807">
                  <c:v>8.6124539750226534E-2</c:v>
                </c:pt>
                <c:pt idx="808">
                  <c:v>8.7422739106214745E-2</c:v>
                </c:pt>
                <c:pt idx="809">
                  <c:v>8.7393399152738097E-2</c:v>
                </c:pt>
                <c:pt idx="810">
                  <c:v>8.7876426153084677E-2</c:v>
                </c:pt>
                <c:pt idx="811">
                  <c:v>8.7367713895933591E-2</c:v>
                </c:pt>
                <c:pt idx="812">
                  <c:v>8.6963333478989033E-2</c:v>
                </c:pt>
                <c:pt idx="813">
                  <c:v>8.7382938401296836E-2</c:v>
                </c:pt>
                <c:pt idx="814">
                  <c:v>8.672661282197551E-2</c:v>
                </c:pt>
                <c:pt idx="815">
                  <c:v>8.7539518069974051E-2</c:v>
                </c:pt>
                <c:pt idx="816">
                  <c:v>8.4515119044397652E-2</c:v>
                </c:pt>
                <c:pt idx="817">
                  <c:v>8.5174506327601582E-2</c:v>
                </c:pt>
                <c:pt idx="818">
                  <c:v>8.4060703903950845E-2</c:v>
                </c:pt>
                <c:pt idx="819">
                  <c:v>8.1233192079683103E-2</c:v>
                </c:pt>
                <c:pt idx="820">
                  <c:v>8.1534701521039518E-2</c:v>
                </c:pt>
                <c:pt idx="821">
                  <c:v>7.9394890094078907E-2</c:v>
                </c:pt>
                <c:pt idx="822">
                  <c:v>8.1656779715046382E-2</c:v>
                </c:pt>
                <c:pt idx="823">
                  <c:v>7.7674686715919136E-2</c:v>
                </c:pt>
                <c:pt idx="824">
                  <c:v>8.0152438432959189E-2</c:v>
                </c:pt>
                <c:pt idx="825">
                  <c:v>7.8300555828664187E-2</c:v>
                </c:pt>
                <c:pt idx="826">
                  <c:v>7.3717158215667031E-2</c:v>
                </c:pt>
                <c:pt idx="827">
                  <c:v>7.2879016837005137E-2</c:v>
                </c:pt>
                <c:pt idx="828">
                  <c:v>7.2146341353455753E-2</c:v>
                </c:pt>
                <c:pt idx="829">
                  <c:v>7.3822029915737747E-2</c:v>
                </c:pt>
                <c:pt idx="830">
                  <c:v>7.360650338564978E-2</c:v>
                </c:pt>
                <c:pt idx="831">
                  <c:v>7.0680272630874175E-2</c:v>
                </c:pt>
                <c:pt idx="832">
                  <c:v>7.0592121012319653E-2</c:v>
                </c:pt>
                <c:pt idx="833">
                  <c:v>7.1572568819836938E-2</c:v>
                </c:pt>
                <c:pt idx="834">
                  <c:v>7.2166774905842321E-2</c:v>
                </c:pt>
                <c:pt idx="835">
                  <c:v>7.2130160831103018E-2</c:v>
                </c:pt>
                <c:pt idx="836">
                  <c:v>7.1309864366904077E-2</c:v>
                </c:pt>
                <c:pt idx="837">
                  <c:v>7.1650781843715344E-2</c:v>
                </c:pt>
                <c:pt idx="838">
                  <c:v>7.1404594461792301E-2</c:v>
                </c:pt>
                <c:pt idx="839">
                  <c:v>7.3086226033651946E-2</c:v>
                </c:pt>
                <c:pt idx="840">
                  <c:v>7.2462754905186985E-2</c:v>
                </c:pt>
                <c:pt idx="841">
                  <c:v>7.3213367896749884E-2</c:v>
                </c:pt>
                <c:pt idx="842">
                  <c:v>7.4489093936631862E-2</c:v>
                </c:pt>
                <c:pt idx="843">
                  <c:v>7.6993212995307758E-2</c:v>
                </c:pt>
                <c:pt idx="844">
                  <c:v>7.6058668222974468E-2</c:v>
                </c:pt>
                <c:pt idx="845">
                  <c:v>7.6064583385064749E-2</c:v>
                </c:pt>
                <c:pt idx="846">
                  <c:v>7.6425590381906397E-2</c:v>
                </c:pt>
                <c:pt idx="847">
                  <c:v>7.6991612098711609E-2</c:v>
                </c:pt>
                <c:pt idx="848">
                  <c:v>7.5407032060650969E-2</c:v>
                </c:pt>
                <c:pt idx="849">
                  <c:v>7.4014943665446309E-2</c:v>
                </c:pt>
                <c:pt idx="850">
                  <c:v>7.0815455447079526E-2</c:v>
                </c:pt>
                <c:pt idx="851">
                  <c:v>7.1117560771787686E-2</c:v>
                </c:pt>
                <c:pt idx="852">
                  <c:v>7.1018020806402044E-2</c:v>
                </c:pt>
                <c:pt idx="853">
                  <c:v>6.804145929476392E-2</c:v>
                </c:pt>
                <c:pt idx="854">
                  <c:v>6.8880425314279028E-2</c:v>
                </c:pt>
                <c:pt idx="855">
                  <c:v>6.9074700581765097E-2</c:v>
                </c:pt>
                <c:pt idx="856">
                  <c:v>7.1970981862943942E-2</c:v>
                </c:pt>
                <c:pt idx="857">
                  <c:v>7.1625804012943953E-2</c:v>
                </c:pt>
                <c:pt idx="858">
                  <c:v>6.9257760971617108E-2</c:v>
                </c:pt>
                <c:pt idx="859">
                  <c:v>6.8364680633152319E-2</c:v>
                </c:pt>
                <c:pt idx="860">
                  <c:v>6.7843783564537199E-2</c:v>
                </c:pt>
                <c:pt idx="861">
                  <c:v>6.6119080553552492E-2</c:v>
                </c:pt>
                <c:pt idx="862">
                  <c:v>6.6026449665696776E-2</c:v>
                </c:pt>
                <c:pt idx="863">
                  <c:v>6.9001383348140405E-2</c:v>
                </c:pt>
                <c:pt idx="864">
                  <c:v>6.9290946507110082E-2</c:v>
                </c:pt>
                <c:pt idx="865">
                  <c:v>7.008979356337397E-2</c:v>
                </c:pt>
                <c:pt idx="866">
                  <c:v>7.0299844587930274E-2</c:v>
                </c:pt>
                <c:pt idx="867">
                  <c:v>7.0621504043041891E-2</c:v>
                </c:pt>
                <c:pt idx="868">
                  <c:v>7.1705732596409916E-2</c:v>
                </c:pt>
                <c:pt idx="869">
                  <c:v>7.3304141898541508E-2</c:v>
                </c:pt>
                <c:pt idx="870">
                  <c:v>7.4171426615467578E-2</c:v>
                </c:pt>
                <c:pt idx="871">
                  <c:v>7.3136946055983865E-2</c:v>
                </c:pt>
                <c:pt idx="872">
                  <c:v>7.3396785804519526E-2</c:v>
                </c:pt>
                <c:pt idx="873">
                  <c:v>7.4125041664458241E-2</c:v>
                </c:pt>
                <c:pt idx="874">
                  <c:v>7.2197483359106682E-2</c:v>
                </c:pt>
                <c:pt idx="875">
                  <c:v>7.2498373253833001E-2</c:v>
                </c:pt>
                <c:pt idx="876">
                  <c:v>7.3291947904659593E-2</c:v>
                </c:pt>
                <c:pt idx="877">
                  <c:v>7.5246079823473311E-2</c:v>
                </c:pt>
                <c:pt idx="878">
                  <c:v>7.4973405676771743E-2</c:v>
                </c:pt>
                <c:pt idx="879">
                  <c:v>7.1978125723710262E-2</c:v>
                </c:pt>
                <c:pt idx="880">
                  <c:v>7.2603657549028436E-2</c:v>
                </c:pt>
                <c:pt idx="881">
                  <c:v>7.2580535695416587E-2</c:v>
                </c:pt>
                <c:pt idx="882">
                  <c:v>7.3300381729989997E-2</c:v>
                </c:pt>
                <c:pt idx="883">
                  <c:v>7.2486393071776525E-2</c:v>
                </c:pt>
                <c:pt idx="884">
                  <c:v>7.3008461539756458E-2</c:v>
                </c:pt>
                <c:pt idx="885">
                  <c:v>7.2111748910716811E-2</c:v>
                </c:pt>
                <c:pt idx="886">
                  <c:v>7.0911365184598715E-2</c:v>
                </c:pt>
                <c:pt idx="887">
                  <c:v>7.0928848898007893E-2</c:v>
                </c:pt>
                <c:pt idx="888">
                  <c:v>7.0084003703452261E-2</c:v>
                </c:pt>
                <c:pt idx="889">
                  <c:v>7.0386981232840484E-2</c:v>
                </c:pt>
                <c:pt idx="890">
                  <c:v>6.8810762557594191E-2</c:v>
                </c:pt>
                <c:pt idx="891">
                  <c:v>6.9850881865691536E-2</c:v>
                </c:pt>
                <c:pt idx="892">
                  <c:v>6.9753189386498202E-2</c:v>
                </c:pt>
                <c:pt idx="893">
                  <c:v>7.2189384619715427E-2</c:v>
                </c:pt>
                <c:pt idx="894">
                  <c:v>7.397073324979507E-2</c:v>
                </c:pt>
                <c:pt idx="895">
                  <c:v>6.8064720771498957E-2</c:v>
                </c:pt>
                <c:pt idx="896">
                  <c:v>6.729443098550017E-2</c:v>
                </c:pt>
                <c:pt idx="897">
                  <c:v>6.6426576468862436E-2</c:v>
                </c:pt>
                <c:pt idx="898">
                  <c:v>6.6625344713724374E-2</c:v>
                </c:pt>
                <c:pt idx="899">
                  <c:v>6.3891878370528177E-2</c:v>
                </c:pt>
                <c:pt idx="900">
                  <c:v>6.331492885673233E-2</c:v>
                </c:pt>
                <c:pt idx="901">
                  <c:v>6.300214749018565E-2</c:v>
                </c:pt>
                <c:pt idx="902">
                  <c:v>6.3893526043209331E-2</c:v>
                </c:pt>
                <c:pt idx="903">
                  <c:v>6.4110107694876031E-2</c:v>
                </c:pt>
                <c:pt idx="904">
                  <c:v>6.2939651753906492E-2</c:v>
                </c:pt>
                <c:pt idx="905">
                  <c:v>6.3052048705193042E-2</c:v>
                </c:pt>
                <c:pt idx="906">
                  <c:v>5.8377289998671027E-2</c:v>
                </c:pt>
                <c:pt idx="907">
                  <c:v>5.7297554992534423E-2</c:v>
                </c:pt>
                <c:pt idx="908">
                  <c:v>5.7510060818849615E-2</c:v>
                </c:pt>
                <c:pt idx="909">
                  <c:v>6.1052174571566586E-2</c:v>
                </c:pt>
                <c:pt idx="910">
                  <c:v>6.0057758703850855E-2</c:v>
                </c:pt>
                <c:pt idx="911">
                  <c:v>5.9079203868591307E-2</c:v>
                </c:pt>
                <c:pt idx="912">
                  <c:v>5.8475727992874135E-2</c:v>
                </c:pt>
                <c:pt idx="913">
                  <c:v>5.6442397085081177E-2</c:v>
                </c:pt>
                <c:pt idx="914">
                  <c:v>5.740882723876254E-2</c:v>
                </c:pt>
                <c:pt idx="915">
                  <c:v>5.6915061598792331E-2</c:v>
                </c:pt>
                <c:pt idx="916">
                  <c:v>5.8149313970407158E-2</c:v>
                </c:pt>
                <c:pt idx="917">
                  <c:v>6.1546644043354727E-2</c:v>
                </c:pt>
                <c:pt idx="918">
                  <c:v>6.221421562015466E-2</c:v>
                </c:pt>
                <c:pt idx="919">
                  <c:v>6.2401771339494962E-2</c:v>
                </c:pt>
                <c:pt idx="920">
                  <c:v>6.2412141103680097E-2</c:v>
                </c:pt>
                <c:pt idx="921">
                  <c:v>6.117094372549358E-2</c:v>
                </c:pt>
                <c:pt idx="922">
                  <c:v>6.2573395947868052E-2</c:v>
                </c:pt>
                <c:pt idx="923">
                  <c:v>6.236553786678619E-2</c:v>
                </c:pt>
                <c:pt idx="924">
                  <c:v>6.1657141312633994E-2</c:v>
                </c:pt>
                <c:pt idx="925">
                  <c:v>6.180453257586966E-2</c:v>
                </c:pt>
                <c:pt idx="926">
                  <c:v>6.2853988927041929E-2</c:v>
                </c:pt>
                <c:pt idx="927">
                  <c:v>6.2844912778886611E-2</c:v>
                </c:pt>
                <c:pt idx="928">
                  <c:v>6.3638355421548692E-2</c:v>
                </c:pt>
                <c:pt idx="929">
                  <c:v>6.327332173032818E-2</c:v>
                </c:pt>
                <c:pt idx="930">
                  <c:v>6.6536868521199832E-2</c:v>
                </c:pt>
                <c:pt idx="931">
                  <c:v>6.645420068511261E-2</c:v>
                </c:pt>
                <c:pt idx="932">
                  <c:v>6.6011079386351049E-2</c:v>
                </c:pt>
                <c:pt idx="933">
                  <c:v>6.6969794582402847E-2</c:v>
                </c:pt>
                <c:pt idx="934">
                  <c:v>6.667920651864212E-2</c:v>
                </c:pt>
                <c:pt idx="935">
                  <c:v>6.6787667426763508E-2</c:v>
                </c:pt>
                <c:pt idx="936">
                  <c:v>6.7006328878027072E-2</c:v>
                </c:pt>
                <c:pt idx="937">
                  <c:v>6.8552114813861462E-2</c:v>
                </c:pt>
                <c:pt idx="938">
                  <c:v>6.8445246889100531E-2</c:v>
                </c:pt>
                <c:pt idx="939">
                  <c:v>7.0011823689808309E-2</c:v>
                </c:pt>
                <c:pt idx="940">
                  <c:v>7.0975510799598671E-2</c:v>
                </c:pt>
                <c:pt idx="941">
                  <c:v>7.1419542155328697E-2</c:v>
                </c:pt>
                <c:pt idx="942">
                  <c:v>7.2063265029124413E-2</c:v>
                </c:pt>
                <c:pt idx="943">
                  <c:v>7.2717781913913065E-2</c:v>
                </c:pt>
                <c:pt idx="944">
                  <c:v>7.2943955699384055E-2</c:v>
                </c:pt>
                <c:pt idx="945">
                  <c:v>7.2839479468463905E-2</c:v>
                </c:pt>
                <c:pt idx="946">
                  <c:v>7.1371144821565813E-2</c:v>
                </c:pt>
                <c:pt idx="947">
                  <c:v>7.0263715297706322E-2</c:v>
                </c:pt>
                <c:pt idx="948">
                  <c:v>7.1303466590353776E-2</c:v>
                </c:pt>
                <c:pt idx="949">
                  <c:v>7.155189390296382E-2</c:v>
                </c:pt>
                <c:pt idx="950">
                  <c:v>7.2708768894700196E-2</c:v>
                </c:pt>
                <c:pt idx="951">
                  <c:v>7.3539854388302656E-2</c:v>
                </c:pt>
                <c:pt idx="952">
                  <c:v>7.370183941289106E-2</c:v>
                </c:pt>
                <c:pt idx="953">
                  <c:v>7.626317802774682E-2</c:v>
                </c:pt>
                <c:pt idx="954">
                  <c:v>7.6039894637498689E-2</c:v>
                </c:pt>
                <c:pt idx="955">
                  <c:v>7.4521314964069621E-2</c:v>
                </c:pt>
                <c:pt idx="956">
                  <c:v>7.5208796727911295E-2</c:v>
                </c:pt>
                <c:pt idx="957">
                  <c:v>7.5688691498791538E-2</c:v>
                </c:pt>
                <c:pt idx="958">
                  <c:v>7.5150515189808004E-2</c:v>
                </c:pt>
                <c:pt idx="959">
                  <c:v>7.5542052003361296E-2</c:v>
                </c:pt>
                <c:pt idx="960">
                  <c:v>7.4970543307118706E-2</c:v>
                </c:pt>
                <c:pt idx="961">
                  <c:v>7.3667600360397129E-2</c:v>
                </c:pt>
                <c:pt idx="962">
                  <c:v>7.362779222627415E-2</c:v>
                </c:pt>
                <c:pt idx="963">
                  <c:v>7.2954779693146288E-2</c:v>
                </c:pt>
                <c:pt idx="964">
                  <c:v>7.0272007054917096E-2</c:v>
                </c:pt>
                <c:pt idx="965">
                  <c:v>6.9789472709690881E-2</c:v>
                </c:pt>
                <c:pt idx="966">
                  <c:v>6.7139020425592111E-2</c:v>
                </c:pt>
                <c:pt idx="967">
                  <c:v>6.2467982733433521E-2</c:v>
                </c:pt>
                <c:pt idx="968">
                  <c:v>6.0163245501742756E-2</c:v>
                </c:pt>
                <c:pt idx="969">
                  <c:v>6.0272615723315923E-2</c:v>
                </c:pt>
                <c:pt idx="970">
                  <c:v>6.0492756566510514E-2</c:v>
                </c:pt>
                <c:pt idx="971">
                  <c:v>6.2857673085805588E-2</c:v>
                </c:pt>
                <c:pt idx="972">
                  <c:v>6.2433722327821205E-2</c:v>
                </c:pt>
                <c:pt idx="973">
                  <c:v>6.4043750350835316E-2</c:v>
                </c:pt>
                <c:pt idx="974">
                  <c:v>6.3328046038356456E-2</c:v>
                </c:pt>
                <c:pt idx="975">
                  <c:v>6.280329802172617E-2</c:v>
                </c:pt>
                <c:pt idx="976">
                  <c:v>6.1567810008423311E-2</c:v>
                </c:pt>
                <c:pt idx="977">
                  <c:v>6.260774938027619E-2</c:v>
                </c:pt>
                <c:pt idx="978">
                  <c:v>6.261654049702492E-2</c:v>
                </c:pt>
                <c:pt idx="979">
                  <c:v>6.2633379152335508E-2</c:v>
                </c:pt>
                <c:pt idx="980">
                  <c:v>6.4475925124534192E-2</c:v>
                </c:pt>
                <c:pt idx="981">
                  <c:v>6.4329465071676792E-2</c:v>
                </c:pt>
                <c:pt idx="982">
                  <c:v>6.4164273858837079E-2</c:v>
                </c:pt>
                <c:pt idx="983">
                  <c:v>6.5308933758860932E-2</c:v>
                </c:pt>
                <c:pt idx="984">
                  <c:v>6.5308558987755963E-2</c:v>
                </c:pt>
                <c:pt idx="985">
                  <c:v>6.8082871922797467E-2</c:v>
                </c:pt>
                <c:pt idx="986">
                  <c:v>6.7880800473604286E-2</c:v>
                </c:pt>
                <c:pt idx="987">
                  <c:v>6.8720353891897276E-2</c:v>
                </c:pt>
                <c:pt idx="988">
                  <c:v>6.9102518357974901E-2</c:v>
                </c:pt>
                <c:pt idx="989">
                  <c:v>6.9268821046236398E-2</c:v>
                </c:pt>
                <c:pt idx="990">
                  <c:v>6.7548563202166623E-2</c:v>
                </c:pt>
                <c:pt idx="991">
                  <c:v>6.8026331724705805E-2</c:v>
                </c:pt>
                <c:pt idx="992">
                  <c:v>6.9787878021050229E-2</c:v>
                </c:pt>
                <c:pt idx="993">
                  <c:v>6.9964961630431019E-2</c:v>
                </c:pt>
                <c:pt idx="994">
                  <c:v>6.8572593885784669E-2</c:v>
                </c:pt>
                <c:pt idx="995">
                  <c:v>6.9640520601375308E-2</c:v>
                </c:pt>
                <c:pt idx="996">
                  <c:v>6.7875023776211185E-2</c:v>
                </c:pt>
                <c:pt idx="997">
                  <c:v>6.6051303143712325E-2</c:v>
                </c:pt>
                <c:pt idx="998">
                  <c:v>6.5648929996201949E-2</c:v>
                </c:pt>
                <c:pt idx="999">
                  <c:v>6.3419406866800407E-2</c:v>
                </c:pt>
              </c:numCache>
            </c:numRef>
          </c:val>
          <c:smooth val="0"/>
          <c:extLst>
            <c:ext xmlns:c16="http://schemas.microsoft.com/office/drawing/2014/chart" uri="{C3380CC4-5D6E-409C-BE32-E72D297353CC}">
              <c16:uniqueId val="{00000000-F13B-44C0-B2FE-F96918182FC3}"/>
            </c:ext>
          </c:extLst>
        </c:ser>
        <c:dLbls>
          <c:showLegendKey val="0"/>
          <c:showVal val="0"/>
          <c:showCatName val="0"/>
          <c:showSerName val="0"/>
          <c:showPercent val="0"/>
          <c:showBubbleSize val="0"/>
        </c:dLbls>
        <c:smooth val="0"/>
        <c:axId val="363110904"/>
        <c:axId val="363109920"/>
      </c:lineChart>
      <c:catAx>
        <c:axId val="363110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109920"/>
        <c:crosses val="autoZero"/>
        <c:auto val="1"/>
        <c:lblAlgn val="ctr"/>
        <c:lblOffset val="100"/>
        <c:noMultiLvlLbl val="0"/>
      </c:catAx>
      <c:valAx>
        <c:axId val="363109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110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Running Variance of Laplace Samples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'Laplace Distribution Ex.'!$D$1</c:f>
              <c:strCache>
                <c:ptCount val="1"/>
                <c:pt idx="0">
                  <c:v>Running Variance of Laplace Samples</c:v>
                </c:pt>
              </c:strCache>
            </c:strRef>
          </c:tx>
          <c:spPr>
            <a:ln w="28575" cap="rnd">
              <a:solidFill>
                <a:schemeClr val="accent2"/>
              </a:solidFill>
              <a:round/>
            </a:ln>
            <a:effectLst/>
          </c:spPr>
          <c:marker>
            <c:symbol val="none"/>
          </c:marker>
          <c:val>
            <c:numRef>
              <c:f>'Laplace Distribution Ex.'!$D$2:$D$1001</c:f>
              <c:numCache>
                <c:formatCode>General</c:formatCode>
                <c:ptCount val="1000"/>
                <c:pt idx="0">
                  <c:v>0</c:v>
                </c:pt>
                <c:pt idx="1">
                  <c:v>0.14663516608924154</c:v>
                </c:pt>
                <c:pt idx="2">
                  <c:v>9.8299896692682229E-2</c:v>
                </c:pt>
                <c:pt idx="3">
                  <c:v>8.8370096369062498E-2</c:v>
                </c:pt>
                <c:pt idx="4">
                  <c:v>0.1747591224929439</c:v>
                </c:pt>
                <c:pt idx="5">
                  <c:v>0.2750106479208867</c:v>
                </c:pt>
                <c:pt idx="6">
                  <c:v>0.52907560861350522</c:v>
                </c:pt>
                <c:pt idx="7">
                  <c:v>0.48332822639287454</c:v>
                </c:pt>
                <c:pt idx="8">
                  <c:v>0.43689090476191073</c:v>
                </c:pt>
                <c:pt idx="9">
                  <c:v>0.41543256108164145</c:v>
                </c:pt>
                <c:pt idx="10">
                  <c:v>0.37813836386270805</c:v>
                </c:pt>
                <c:pt idx="11">
                  <c:v>0.35560031140620485</c:v>
                </c:pt>
                <c:pt idx="12">
                  <c:v>0.32837233014240813</c:v>
                </c:pt>
                <c:pt idx="13">
                  <c:v>0.34529500561906307</c:v>
                </c:pt>
                <c:pt idx="14">
                  <c:v>0.32512533140235578</c:v>
                </c:pt>
                <c:pt idx="15">
                  <c:v>0.54943438349641971</c:v>
                </c:pt>
                <c:pt idx="16">
                  <c:v>0.51784391736085134</c:v>
                </c:pt>
                <c:pt idx="17">
                  <c:v>0.89768015344678831</c:v>
                </c:pt>
                <c:pt idx="18">
                  <c:v>0.88142367393501131</c:v>
                </c:pt>
                <c:pt idx="19">
                  <c:v>0.83999237500913826</c:v>
                </c:pt>
                <c:pt idx="20">
                  <c:v>0.92160189993353536</c:v>
                </c:pt>
                <c:pt idx="21">
                  <c:v>0.91107942802369757</c:v>
                </c:pt>
                <c:pt idx="22">
                  <c:v>0.92681911441637188</c:v>
                </c:pt>
                <c:pt idx="23">
                  <c:v>0.94654142269213493</c:v>
                </c:pt>
                <c:pt idx="24">
                  <c:v>0.90869959776727105</c:v>
                </c:pt>
                <c:pt idx="25">
                  <c:v>0.93464540130252216</c:v>
                </c:pt>
                <c:pt idx="26">
                  <c:v>0.94151888787414695</c:v>
                </c:pt>
                <c:pt idx="27">
                  <c:v>0.97259952335135436</c:v>
                </c:pt>
                <c:pt idx="28">
                  <c:v>0.95942891528794705</c:v>
                </c:pt>
                <c:pt idx="29">
                  <c:v>0.97424010415430407</c:v>
                </c:pt>
                <c:pt idx="30">
                  <c:v>0.94304099435626676</c:v>
                </c:pt>
                <c:pt idx="31">
                  <c:v>0.91447832464543155</c:v>
                </c:pt>
                <c:pt idx="32">
                  <c:v>0.88717074762828896</c:v>
                </c:pt>
                <c:pt idx="33">
                  <c:v>0.92839367129948636</c:v>
                </c:pt>
                <c:pt idx="34">
                  <c:v>0.91785781345432915</c:v>
                </c:pt>
                <c:pt idx="35">
                  <c:v>0.89327147205344415</c:v>
                </c:pt>
                <c:pt idx="36">
                  <c:v>0.88312165657733688</c:v>
                </c:pt>
                <c:pt idx="37">
                  <c:v>0.87100271111996475</c:v>
                </c:pt>
                <c:pt idx="38">
                  <c:v>0.86928269378285383</c:v>
                </c:pt>
                <c:pt idx="39">
                  <c:v>0.85609413694412528</c:v>
                </c:pt>
                <c:pt idx="40">
                  <c:v>0.84525779533861889</c:v>
                </c:pt>
                <c:pt idx="41">
                  <c:v>0.83994969169686606</c:v>
                </c:pt>
                <c:pt idx="42">
                  <c:v>0.82466086490965396</c:v>
                </c:pt>
                <c:pt idx="43">
                  <c:v>0.85151351237905837</c:v>
                </c:pt>
                <c:pt idx="44">
                  <c:v>0.83434418305805491</c:v>
                </c:pt>
                <c:pt idx="45">
                  <c:v>0.8162990915717494</c:v>
                </c:pt>
                <c:pt idx="46">
                  <c:v>0.86430042195697698</c:v>
                </c:pt>
                <c:pt idx="47">
                  <c:v>0.84785551076439469</c:v>
                </c:pt>
                <c:pt idx="48">
                  <c:v>0.83087543291038302</c:v>
                </c:pt>
                <c:pt idx="49">
                  <c:v>0.81574038443173169</c:v>
                </c:pt>
                <c:pt idx="50">
                  <c:v>1.034711805388022</c:v>
                </c:pt>
                <c:pt idx="51">
                  <c:v>1.0343379458348128</c:v>
                </c:pt>
                <c:pt idx="52">
                  <c:v>1.0595952186520123</c:v>
                </c:pt>
                <c:pt idx="53">
                  <c:v>1.0468054497088324</c:v>
                </c:pt>
                <c:pt idx="54">
                  <c:v>1.0353213089162603</c:v>
                </c:pt>
                <c:pt idx="55">
                  <c:v>1.0224436824320746</c:v>
                </c:pt>
                <c:pt idx="56">
                  <c:v>1.0319249694116612</c:v>
                </c:pt>
                <c:pt idx="57">
                  <c:v>1.0163761845960813</c:v>
                </c:pt>
                <c:pt idx="58">
                  <c:v>1.1418145677166729</c:v>
                </c:pt>
                <c:pt idx="59">
                  <c:v>1.1251556684976463</c:v>
                </c:pt>
                <c:pt idx="60">
                  <c:v>1.1094690411661314</c:v>
                </c:pt>
                <c:pt idx="61">
                  <c:v>1.0915845282504266</c:v>
                </c:pt>
                <c:pt idx="62">
                  <c:v>1.0799893743217788</c:v>
                </c:pt>
                <c:pt idx="63">
                  <c:v>1.1521509270296473</c:v>
                </c:pt>
                <c:pt idx="64">
                  <c:v>1.1783188295374307</c:v>
                </c:pt>
                <c:pt idx="65">
                  <c:v>1.1614750946721795</c:v>
                </c:pt>
                <c:pt idx="66">
                  <c:v>1.1578371115253865</c:v>
                </c:pt>
                <c:pt idx="67">
                  <c:v>1.1417868568474676</c:v>
                </c:pt>
                <c:pt idx="68">
                  <c:v>1.2904571348482421</c:v>
                </c:pt>
                <c:pt idx="69">
                  <c:v>1.2782594483365215</c:v>
                </c:pt>
                <c:pt idx="70">
                  <c:v>1.2833079898558559</c:v>
                </c:pt>
                <c:pt idx="71">
                  <c:v>1.272114201331477</c:v>
                </c:pt>
                <c:pt idx="72">
                  <c:v>1.2664382115064661</c:v>
                </c:pt>
                <c:pt idx="73">
                  <c:v>1.2903417123034788</c:v>
                </c:pt>
                <c:pt idx="74">
                  <c:v>1.2833086199343646</c:v>
                </c:pt>
                <c:pt idx="75">
                  <c:v>1.3857615728727743</c:v>
                </c:pt>
                <c:pt idx="76">
                  <c:v>1.3948825988997797</c:v>
                </c:pt>
                <c:pt idx="77">
                  <c:v>1.3795691344855334</c:v>
                </c:pt>
                <c:pt idx="78">
                  <c:v>1.3629633634307494</c:v>
                </c:pt>
                <c:pt idx="79">
                  <c:v>1.387609387363709</c:v>
                </c:pt>
                <c:pt idx="80">
                  <c:v>1.404283758136377</c:v>
                </c:pt>
                <c:pt idx="81">
                  <c:v>1.3875301376781228</c:v>
                </c:pt>
                <c:pt idx="82">
                  <c:v>1.3710316950536121</c:v>
                </c:pt>
                <c:pt idx="83">
                  <c:v>1.3726424559580135</c:v>
                </c:pt>
                <c:pt idx="84">
                  <c:v>1.3644798006759749</c:v>
                </c:pt>
                <c:pt idx="85">
                  <c:v>1.3557215003657668</c:v>
                </c:pt>
                <c:pt idx="86">
                  <c:v>1.3579352309647221</c:v>
                </c:pt>
                <c:pt idx="87">
                  <c:v>1.3821047792002885</c:v>
                </c:pt>
                <c:pt idx="88">
                  <c:v>1.3943270661426357</c:v>
                </c:pt>
                <c:pt idx="89">
                  <c:v>1.3788359375007673</c:v>
                </c:pt>
                <c:pt idx="90">
                  <c:v>1.3735869387655086</c:v>
                </c:pt>
                <c:pt idx="91">
                  <c:v>1.5399604425987337</c:v>
                </c:pt>
                <c:pt idx="92">
                  <c:v>1.5393254694540066</c:v>
                </c:pt>
                <c:pt idx="93">
                  <c:v>1.5338382078131463</c:v>
                </c:pt>
                <c:pt idx="94">
                  <c:v>1.5177176577606881</c:v>
                </c:pt>
                <c:pt idx="95">
                  <c:v>1.5111794712940008</c:v>
                </c:pt>
                <c:pt idx="96">
                  <c:v>1.4956604785859353</c:v>
                </c:pt>
                <c:pt idx="97">
                  <c:v>1.4947757259251444</c:v>
                </c:pt>
                <c:pt idx="98">
                  <c:v>1.5116859824088793</c:v>
                </c:pt>
                <c:pt idx="99">
                  <c:v>1.5837877780221159</c:v>
                </c:pt>
                <c:pt idx="100">
                  <c:v>1.5692525552717316</c:v>
                </c:pt>
                <c:pt idx="101">
                  <c:v>1.5847627519687086</c:v>
                </c:pt>
                <c:pt idx="102">
                  <c:v>1.5709540554684804</c:v>
                </c:pt>
                <c:pt idx="103">
                  <c:v>1.5559314556969501</c:v>
                </c:pt>
                <c:pt idx="104">
                  <c:v>1.5614186434166728</c:v>
                </c:pt>
                <c:pt idx="105">
                  <c:v>1.5553101124405007</c:v>
                </c:pt>
                <c:pt idx="106">
                  <c:v>1.5417091632222351</c:v>
                </c:pt>
                <c:pt idx="107">
                  <c:v>1.5276900382290106</c:v>
                </c:pt>
                <c:pt idx="108">
                  <c:v>1.5149583933165289</c:v>
                </c:pt>
                <c:pt idx="109">
                  <c:v>1.5040087322500892</c:v>
                </c:pt>
                <c:pt idx="110">
                  <c:v>1.4924846040554911</c:v>
                </c:pt>
                <c:pt idx="111">
                  <c:v>1.4794825512641494</c:v>
                </c:pt>
                <c:pt idx="112">
                  <c:v>1.4817260298449788</c:v>
                </c:pt>
                <c:pt idx="113">
                  <c:v>1.4703120820699991</c:v>
                </c:pt>
                <c:pt idx="114">
                  <c:v>1.4579290771560192</c:v>
                </c:pt>
                <c:pt idx="115">
                  <c:v>1.4458935174583509</c:v>
                </c:pt>
                <c:pt idx="116">
                  <c:v>1.4643202175442314</c:v>
                </c:pt>
                <c:pt idx="117">
                  <c:v>1.451923453150858</c:v>
                </c:pt>
                <c:pt idx="118">
                  <c:v>1.4398010737395666</c:v>
                </c:pt>
                <c:pt idx="119">
                  <c:v>1.4278713219871491</c:v>
                </c:pt>
                <c:pt idx="120">
                  <c:v>1.4187725746435147</c:v>
                </c:pt>
                <c:pt idx="121">
                  <c:v>1.4156607232518525</c:v>
                </c:pt>
                <c:pt idx="122">
                  <c:v>1.4086723067445766</c:v>
                </c:pt>
                <c:pt idx="123">
                  <c:v>1.4023667535423592</c:v>
                </c:pt>
                <c:pt idx="124">
                  <c:v>1.3922053614032501</c:v>
                </c:pt>
                <c:pt idx="125">
                  <c:v>1.3829583549005484</c:v>
                </c:pt>
                <c:pt idx="126">
                  <c:v>1.3941981989110017</c:v>
                </c:pt>
                <c:pt idx="127">
                  <c:v>1.3847210942972774</c:v>
                </c:pt>
                <c:pt idx="128">
                  <c:v>1.3745671482069435</c:v>
                </c:pt>
                <c:pt idx="129">
                  <c:v>1.3934010061241811</c:v>
                </c:pt>
                <c:pt idx="130">
                  <c:v>1.3831840401049775</c:v>
                </c:pt>
                <c:pt idx="131">
                  <c:v>1.3819206982305563</c:v>
                </c:pt>
                <c:pt idx="132">
                  <c:v>1.4053418550315568</c:v>
                </c:pt>
                <c:pt idx="133">
                  <c:v>1.3973025775230701</c:v>
                </c:pt>
                <c:pt idx="134">
                  <c:v>1.3874584954660827</c:v>
                </c:pt>
                <c:pt idx="135">
                  <c:v>1.3772781605698232</c:v>
                </c:pt>
                <c:pt idx="136">
                  <c:v>1.4518618727354697</c:v>
                </c:pt>
                <c:pt idx="137">
                  <c:v>1.4424078941310015</c:v>
                </c:pt>
                <c:pt idx="138">
                  <c:v>1.4339897062681075</c:v>
                </c:pt>
                <c:pt idx="139">
                  <c:v>1.4301145712651167</c:v>
                </c:pt>
                <c:pt idx="140">
                  <c:v>1.4783274807368185</c:v>
                </c:pt>
                <c:pt idx="141">
                  <c:v>1.4752387808759904</c:v>
                </c:pt>
                <c:pt idx="142">
                  <c:v>1.4649331497835421</c:v>
                </c:pt>
                <c:pt idx="143">
                  <c:v>1.4579474656869034</c:v>
                </c:pt>
                <c:pt idx="144">
                  <c:v>1.4484834532383435</c:v>
                </c:pt>
                <c:pt idx="145">
                  <c:v>1.4422115076990689</c:v>
                </c:pt>
                <c:pt idx="146">
                  <c:v>1.8174967744483519</c:v>
                </c:pt>
                <c:pt idx="147">
                  <c:v>1.8052610983388921</c:v>
                </c:pt>
                <c:pt idx="148">
                  <c:v>1.8603623237746092</c:v>
                </c:pt>
                <c:pt idx="149">
                  <c:v>1.8487412255760052</c:v>
                </c:pt>
                <c:pt idx="150">
                  <c:v>1.8364986114330228</c:v>
                </c:pt>
                <c:pt idx="151">
                  <c:v>1.8244950265253497</c:v>
                </c:pt>
                <c:pt idx="152">
                  <c:v>1.8128303070215273</c:v>
                </c:pt>
                <c:pt idx="153">
                  <c:v>1.8118792755832467</c:v>
                </c:pt>
                <c:pt idx="154">
                  <c:v>1.8124306095269509</c:v>
                </c:pt>
                <c:pt idx="155">
                  <c:v>1.8040180187898316</c:v>
                </c:pt>
                <c:pt idx="156">
                  <c:v>1.8402547673261536</c:v>
                </c:pt>
                <c:pt idx="157">
                  <c:v>1.8308590994664269</c:v>
                </c:pt>
                <c:pt idx="158">
                  <c:v>1.8203068121446693</c:v>
                </c:pt>
                <c:pt idx="159">
                  <c:v>1.8101279264287005</c:v>
                </c:pt>
                <c:pt idx="160">
                  <c:v>1.8208409838921484</c:v>
                </c:pt>
                <c:pt idx="161">
                  <c:v>1.9806094333952455</c:v>
                </c:pt>
                <c:pt idx="162">
                  <c:v>1.9746249096064092</c:v>
                </c:pt>
                <c:pt idx="163">
                  <c:v>1.9691423522847906</c:v>
                </c:pt>
                <c:pt idx="164">
                  <c:v>2.0137557225628964</c:v>
                </c:pt>
                <c:pt idx="165">
                  <c:v>2.0023828228906799</c:v>
                </c:pt>
                <c:pt idx="166">
                  <c:v>1.9984437463003832</c:v>
                </c:pt>
                <c:pt idx="167">
                  <c:v>1.9889858126603859</c:v>
                </c:pt>
                <c:pt idx="168">
                  <c:v>1.9890239764097628</c:v>
                </c:pt>
                <c:pt idx="169">
                  <c:v>1.9843572822510633</c:v>
                </c:pt>
                <c:pt idx="170">
                  <c:v>1.9728838632570702</c:v>
                </c:pt>
                <c:pt idx="171">
                  <c:v>1.9978477488380439</c:v>
                </c:pt>
                <c:pt idx="172">
                  <c:v>1.9871738311775955</c:v>
                </c:pt>
                <c:pt idx="173">
                  <c:v>1.9758011041991239</c:v>
                </c:pt>
                <c:pt idx="174">
                  <c:v>1.9656106411716698</c:v>
                </c:pt>
                <c:pt idx="175">
                  <c:v>1.9608455778294773</c:v>
                </c:pt>
                <c:pt idx="176">
                  <c:v>1.9786606714403656</c:v>
                </c:pt>
                <c:pt idx="177">
                  <c:v>1.9769665730232522</c:v>
                </c:pt>
                <c:pt idx="178">
                  <c:v>1.9659230159995973</c:v>
                </c:pt>
                <c:pt idx="179">
                  <c:v>1.9752293010693318</c:v>
                </c:pt>
                <c:pt idx="180">
                  <c:v>1.9858568741656872</c:v>
                </c:pt>
                <c:pt idx="181">
                  <c:v>1.9853906787682072</c:v>
                </c:pt>
                <c:pt idx="182">
                  <c:v>1.9923108366769851</c:v>
                </c:pt>
                <c:pt idx="183">
                  <c:v>1.9934320669010508</c:v>
                </c:pt>
                <c:pt idx="184">
                  <c:v>1.9842465697944203</c:v>
                </c:pt>
                <c:pt idx="185">
                  <c:v>2.0074741308751718</c:v>
                </c:pt>
                <c:pt idx="186">
                  <c:v>1.9988424524531025</c:v>
                </c:pt>
                <c:pt idx="187">
                  <c:v>1.988220965739925</c:v>
                </c:pt>
                <c:pt idx="188">
                  <c:v>1.9913922807957334</c:v>
                </c:pt>
                <c:pt idx="189">
                  <c:v>1.9810477925219621</c:v>
                </c:pt>
                <c:pt idx="190">
                  <c:v>1.9706907213783618</c:v>
                </c:pt>
                <c:pt idx="191">
                  <c:v>2.0000287126911442</c:v>
                </c:pt>
                <c:pt idx="192">
                  <c:v>1.9946835911339613</c:v>
                </c:pt>
                <c:pt idx="193">
                  <c:v>1.9846480403577298</c:v>
                </c:pt>
                <c:pt idx="194">
                  <c:v>1.9744744408639543</c:v>
                </c:pt>
                <c:pt idx="195">
                  <c:v>1.9735817298522531</c:v>
                </c:pt>
                <c:pt idx="196">
                  <c:v>1.9659376089908602</c:v>
                </c:pt>
                <c:pt idx="197">
                  <c:v>1.9566660831183555</c:v>
                </c:pt>
                <c:pt idx="198">
                  <c:v>1.972754121771616</c:v>
                </c:pt>
                <c:pt idx="199">
                  <c:v>1.9629191781744864</c:v>
                </c:pt>
                <c:pt idx="200">
                  <c:v>1.9551236641951446</c:v>
                </c:pt>
                <c:pt idx="201">
                  <c:v>1.9607393217273894</c:v>
                </c:pt>
                <c:pt idx="202">
                  <c:v>1.9694153085854031</c:v>
                </c:pt>
                <c:pt idx="203">
                  <c:v>1.9598402929714753</c:v>
                </c:pt>
                <c:pt idx="204">
                  <c:v>1.9616561465871063</c:v>
                </c:pt>
                <c:pt idx="205">
                  <c:v>1.9538166303821103</c:v>
                </c:pt>
                <c:pt idx="206">
                  <c:v>1.9514225392332014</c:v>
                </c:pt>
                <c:pt idx="207">
                  <c:v>1.9428978732700988</c:v>
                </c:pt>
                <c:pt idx="208">
                  <c:v>1.9336555495220744</c:v>
                </c:pt>
                <c:pt idx="209">
                  <c:v>1.9251069484583321</c:v>
                </c:pt>
                <c:pt idx="210">
                  <c:v>1.9160168100463646</c:v>
                </c:pt>
                <c:pt idx="211">
                  <c:v>1.9206291529470907</c:v>
                </c:pt>
                <c:pt idx="212">
                  <c:v>1.9138216107588182</c:v>
                </c:pt>
                <c:pt idx="213">
                  <c:v>1.9052509936362994</c:v>
                </c:pt>
                <c:pt idx="214">
                  <c:v>1.9076499733136545</c:v>
                </c:pt>
                <c:pt idx="215">
                  <c:v>1.9003956162289579</c:v>
                </c:pt>
                <c:pt idx="216">
                  <c:v>1.8941892553209583</c:v>
                </c:pt>
                <c:pt idx="217">
                  <c:v>1.8856690096057986</c:v>
                </c:pt>
                <c:pt idx="218">
                  <c:v>1.8784705538102024</c:v>
                </c:pt>
                <c:pt idx="219">
                  <c:v>1.8733058628534136</c:v>
                </c:pt>
                <c:pt idx="220">
                  <c:v>1.8721904567411867</c:v>
                </c:pt>
                <c:pt idx="221">
                  <c:v>1.8663541323322774</c:v>
                </c:pt>
                <c:pt idx="222">
                  <c:v>1.8583835201403154</c:v>
                </c:pt>
                <c:pt idx="223">
                  <c:v>1.8608350425557496</c:v>
                </c:pt>
                <c:pt idx="224">
                  <c:v>1.8530262017913111</c:v>
                </c:pt>
                <c:pt idx="225">
                  <c:v>1.8477477683502717</c:v>
                </c:pt>
                <c:pt idx="226">
                  <c:v>1.8396143381032311</c:v>
                </c:pt>
                <c:pt idx="227">
                  <c:v>1.8363572326704332</c:v>
                </c:pt>
                <c:pt idx="228">
                  <c:v>1.8375578141274129</c:v>
                </c:pt>
                <c:pt idx="229">
                  <c:v>1.8297287594999085</c:v>
                </c:pt>
                <c:pt idx="230">
                  <c:v>1.8234754097274088</c:v>
                </c:pt>
                <c:pt idx="231">
                  <c:v>1.8158692374283625</c:v>
                </c:pt>
                <c:pt idx="232">
                  <c:v>1.8095436433050676</c:v>
                </c:pt>
                <c:pt idx="233">
                  <c:v>1.8032891166251417</c:v>
                </c:pt>
                <c:pt idx="234">
                  <c:v>1.8349737687171113</c:v>
                </c:pt>
                <c:pt idx="235">
                  <c:v>1.8480485476221014</c:v>
                </c:pt>
                <c:pt idx="236">
                  <c:v>1.8411568125921383</c:v>
                </c:pt>
                <c:pt idx="237">
                  <c:v>1.8402007616944467</c:v>
                </c:pt>
                <c:pt idx="238">
                  <c:v>1.8342539727864324</c:v>
                </c:pt>
                <c:pt idx="239">
                  <c:v>1.8947097831953208</c:v>
                </c:pt>
                <c:pt idx="240">
                  <c:v>1.8869783732740002</c:v>
                </c:pt>
                <c:pt idx="241">
                  <c:v>1.8853687623087507</c:v>
                </c:pt>
                <c:pt idx="242">
                  <c:v>1.8776123869778938</c:v>
                </c:pt>
                <c:pt idx="243">
                  <c:v>1.870327717282672</c:v>
                </c:pt>
                <c:pt idx="244">
                  <c:v>1.8644876157355394</c:v>
                </c:pt>
                <c:pt idx="245">
                  <c:v>1.858888931223097</c:v>
                </c:pt>
                <c:pt idx="246">
                  <c:v>1.8631117902584757</c:v>
                </c:pt>
                <c:pt idx="247">
                  <c:v>1.8580513123389757</c:v>
                </c:pt>
                <c:pt idx="248">
                  <c:v>1.857074542643953</c:v>
                </c:pt>
                <c:pt idx="249">
                  <c:v>1.8544397482403354</c:v>
                </c:pt>
                <c:pt idx="250">
                  <c:v>1.8723252553611092</c:v>
                </c:pt>
                <c:pt idx="251">
                  <c:v>1.865465298497621</c:v>
                </c:pt>
                <c:pt idx="252">
                  <c:v>1.8587080779368421</c:v>
                </c:pt>
                <c:pt idx="253">
                  <c:v>1.8535915138366412</c:v>
                </c:pt>
                <c:pt idx="254">
                  <c:v>1.846455615323283</c:v>
                </c:pt>
                <c:pt idx="255">
                  <c:v>1.843170455490055</c:v>
                </c:pt>
                <c:pt idx="256">
                  <c:v>1.8401533776205063</c:v>
                </c:pt>
                <c:pt idx="257">
                  <c:v>1.8330518924021464</c:v>
                </c:pt>
                <c:pt idx="258">
                  <c:v>1.8259809274604191</c:v>
                </c:pt>
                <c:pt idx="259">
                  <c:v>1.8197641647382239</c:v>
                </c:pt>
                <c:pt idx="260">
                  <c:v>1.8187603740214413</c:v>
                </c:pt>
                <c:pt idx="261">
                  <c:v>1.8130359671914031</c:v>
                </c:pt>
                <c:pt idx="262">
                  <c:v>1.8062931072249284</c:v>
                </c:pt>
                <c:pt idx="263">
                  <c:v>1.8007292240320578</c:v>
                </c:pt>
                <c:pt idx="264">
                  <c:v>1.7939757130510099</c:v>
                </c:pt>
                <c:pt idx="265">
                  <c:v>1.8125966268433087</c:v>
                </c:pt>
                <c:pt idx="266">
                  <c:v>1.8084629706888273</c:v>
                </c:pt>
                <c:pt idx="267">
                  <c:v>1.8035416038312757</c:v>
                </c:pt>
                <c:pt idx="268">
                  <c:v>1.7975182096943341</c:v>
                </c:pt>
                <c:pt idx="269">
                  <c:v>1.7909391153184799</c:v>
                </c:pt>
                <c:pt idx="270">
                  <c:v>1.7844633873783193</c:v>
                </c:pt>
                <c:pt idx="271">
                  <c:v>1.7779259698303782</c:v>
                </c:pt>
                <c:pt idx="272">
                  <c:v>1.7854283309894252</c:v>
                </c:pt>
                <c:pt idx="273">
                  <c:v>1.7793633708743137</c:v>
                </c:pt>
                <c:pt idx="274">
                  <c:v>1.7746115841840664</c:v>
                </c:pt>
                <c:pt idx="275">
                  <c:v>1.7685480371637119</c:v>
                </c:pt>
                <c:pt idx="276">
                  <c:v>1.7626084339549635</c:v>
                </c:pt>
                <c:pt idx="277">
                  <c:v>1.7571002587358742</c:v>
                </c:pt>
                <c:pt idx="278">
                  <c:v>1.750895089131153</c:v>
                </c:pt>
                <c:pt idx="279">
                  <c:v>1.7521044543169191</c:v>
                </c:pt>
                <c:pt idx="280">
                  <c:v>1.7458749013250121</c:v>
                </c:pt>
                <c:pt idx="281">
                  <c:v>1.7397063751767488</c:v>
                </c:pt>
                <c:pt idx="282">
                  <c:v>1.7347033740895261</c:v>
                </c:pt>
                <c:pt idx="283">
                  <c:v>1.7292938940056899</c:v>
                </c:pt>
                <c:pt idx="284">
                  <c:v>1.7411046383062001</c:v>
                </c:pt>
                <c:pt idx="285">
                  <c:v>1.7352791112447834</c:v>
                </c:pt>
                <c:pt idx="286">
                  <c:v>1.7300894722704585</c:v>
                </c:pt>
                <c:pt idx="287">
                  <c:v>1.7685934829620911</c:v>
                </c:pt>
                <c:pt idx="288">
                  <c:v>1.7625013036297976</c:v>
                </c:pt>
                <c:pt idx="289">
                  <c:v>1.7615766857534148</c:v>
                </c:pt>
                <c:pt idx="290">
                  <c:v>1.7835907733038143</c:v>
                </c:pt>
                <c:pt idx="291">
                  <c:v>1.8057465952256457</c:v>
                </c:pt>
                <c:pt idx="292">
                  <c:v>1.7996640980445682</c:v>
                </c:pt>
                <c:pt idx="293">
                  <c:v>1.8266323285038095</c:v>
                </c:pt>
                <c:pt idx="294">
                  <c:v>1.8206293804127425</c:v>
                </c:pt>
                <c:pt idx="295">
                  <c:v>1.8145172134600771</c:v>
                </c:pt>
                <c:pt idx="296">
                  <c:v>1.8088795130533035</c:v>
                </c:pt>
                <c:pt idx="297">
                  <c:v>1.8028104684415867</c:v>
                </c:pt>
                <c:pt idx="298">
                  <c:v>1.8128300985286878</c:v>
                </c:pt>
                <c:pt idx="299">
                  <c:v>1.8076632095774015</c:v>
                </c:pt>
                <c:pt idx="300">
                  <c:v>1.8075480004464648</c:v>
                </c:pt>
                <c:pt idx="301">
                  <c:v>1.8454665672467832</c:v>
                </c:pt>
                <c:pt idx="302">
                  <c:v>1.8394060987969763</c:v>
                </c:pt>
                <c:pt idx="303">
                  <c:v>1.8401658067886271</c:v>
                </c:pt>
                <c:pt idx="304">
                  <c:v>1.8686702694634358</c:v>
                </c:pt>
                <c:pt idx="305">
                  <c:v>1.8627408511234556</c:v>
                </c:pt>
                <c:pt idx="306">
                  <c:v>1.8567370031515265</c:v>
                </c:pt>
                <c:pt idx="307">
                  <c:v>1.8534454997087848</c:v>
                </c:pt>
                <c:pt idx="308">
                  <c:v>1.8480972010444234</c:v>
                </c:pt>
                <c:pt idx="309">
                  <c:v>1.8423156263774287</c:v>
                </c:pt>
                <c:pt idx="310">
                  <c:v>1.8593904605893439</c:v>
                </c:pt>
                <c:pt idx="311">
                  <c:v>1.8564844199218833</c:v>
                </c:pt>
                <c:pt idx="312">
                  <c:v>1.8565158986796018</c:v>
                </c:pt>
                <c:pt idx="313">
                  <c:v>1.850651770376101</c:v>
                </c:pt>
                <c:pt idx="314">
                  <c:v>1.8462029749597808</c:v>
                </c:pt>
                <c:pt idx="315">
                  <c:v>1.8405796013148747</c:v>
                </c:pt>
                <c:pt idx="316">
                  <c:v>1.8347738421901991</c:v>
                </c:pt>
                <c:pt idx="317">
                  <c:v>1.829996509992651</c:v>
                </c:pt>
                <c:pt idx="318">
                  <c:v>1.8266241792725584</c:v>
                </c:pt>
                <c:pt idx="319">
                  <c:v>1.8223243478813151</c:v>
                </c:pt>
                <c:pt idx="320">
                  <c:v>1.8172406373884664</c:v>
                </c:pt>
                <c:pt idx="321">
                  <c:v>1.8122953592665574</c:v>
                </c:pt>
                <c:pt idx="322">
                  <c:v>1.8132475614717585</c:v>
                </c:pt>
                <c:pt idx="323">
                  <c:v>1.8083795877229571</c:v>
                </c:pt>
                <c:pt idx="324">
                  <c:v>1.8100771103606421</c:v>
                </c:pt>
                <c:pt idx="325">
                  <c:v>1.8065664338018077</c:v>
                </c:pt>
                <c:pt idx="326">
                  <c:v>1.8010482831450823</c:v>
                </c:pt>
                <c:pt idx="327">
                  <c:v>1.7962916580062747</c:v>
                </c:pt>
                <c:pt idx="328">
                  <c:v>1.7908362718611117</c:v>
                </c:pt>
                <c:pt idx="329">
                  <c:v>1.785597739616821</c:v>
                </c:pt>
                <c:pt idx="330">
                  <c:v>1.7802273754275273</c:v>
                </c:pt>
                <c:pt idx="331">
                  <c:v>1.7910794997162602</c:v>
                </c:pt>
                <c:pt idx="332">
                  <c:v>1.7857015283089634</c:v>
                </c:pt>
                <c:pt idx="333">
                  <c:v>1.783476504622767</c:v>
                </c:pt>
                <c:pt idx="334">
                  <c:v>1.7938821535233418</c:v>
                </c:pt>
                <c:pt idx="335">
                  <c:v>1.7896780541559232</c:v>
                </c:pt>
                <c:pt idx="336">
                  <c:v>1.7956324226076796</c:v>
                </c:pt>
                <c:pt idx="337">
                  <c:v>1.8060157095301619</c:v>
                </c:pt>
                <c:pt idx="338">
                  <c:v>1.8007858239994314</c:v>
                </c:pt>
                <c:pt idx="339">
                  <c:v>1.7955575390307938</c:v>
                </c:pt>
                <c:pt idx="340">
                  <c:v>1.7908038551277037</c:v>
                </c:pt>
                <c:pt idx="341">
                  <c:v>1.7867962289959984</c:v>
                </c:pt>
                <c:pt idx="342">
                  <c:v>1.7860412204559295</c:v>
                </c:pt>
                <c:pt idx="343">
                  <c:v>1.7809891677688026</c:v>
                </c:pt>
                <c:pt idx="344">
                  <c:v>1.7813670208750314</c:v>
                </c:pt>
                <c:pt idx="345">
                  <c:v>1.7893501993630967</c:v>
                </c:pt>
                <c:pt idx="346">
                  <c:v>1.7843965488626157</c:v>
                </c:pt>
                <c:pt idx="347">
                  <c:v>1.7793818000995705</c:v>
                </c:pt>
                <c:pt idx="348">
                  <c:v>1.7750133190909465</c:v>
                </c:pt>
                <c:pt idx="349">
                  <c:v>1.7709947286909042</c:v>
                </c:pt>
                <c:pt idx="350">
                  <c:v>1.7685967232627244</c:v>
                </c:pt>
                <c:pt idx="351">
                  <c:v>1.7635750127681533</c:v>
                </c:pt>
                <c:pt idx="352">
                  <c:v>1.7597763277370937</c:v>
                </c:pt>
                <c:pt idx="353">
                  <c:v>1.7581396425214912</c:v>
                </c:pt>
                <c:pt idx="354">
                  <c:v>1.7533195050239998</c:v>
                </c:pt>
                <c:pt idx="355">
                  <c:v>1.7576434520024782</c:v>
                </c:pt>
                <c:pt idx="356">
                  <c:v>1.7611632562918431</c:v>
                </c:pt>
                <c:pt idx="357">
                  <c:v>1.7591664318432447</c:v>
                </c:pt>
                <c:pt idx="358">
                  <c:v>1.754276232389236</c:v>
                </c:pt>
                <c:pt idx="359">
                  <c:v>1.749638480671428</c:v>
                </c:pt>
                <c:pt idx="360">
                  <c:v>1.7463583867022141</c:v>
                </c:pt>
                <c:pt idx="361">
                  <c:v>1.7522478910280339</c:v>
                </c:pt>
                <c:pt idx="362">
                  <c:v>1.7567595557182436</c:v>
                </c:pt>
                <c:pt idx="363">
                  <c:v>1.7519415752562688</c:v>
                </c:pt>
                <c:pt idx="364">
                  <c:v>1.7472570561755758</c:v>
                </c:pt>
                <c:pt idx="365">
                  <c:v>1.8418723019269938</c:v>
                </c:pt>
                <c:pt idx="366">
                  <c:v>1.8375632212426969</c:v>
                </c:pt>
                <c:pt idx="367">
                  <c:v>1.8325868427863012</c:v>
                </c:pt>
                <c:pt idx="368">
                  <c:v>1.8353698219422114</c:v>
                </c:pt>
                <c:pt idx="369">
                  <c:v>1.8319901163985319</c:v>
                </c:pt>
                <c:pt idx="370">
                  <c:v>1.8270753027000071</c:v>
                </c:pt>
                <c:pt idx="371">
                  <c:v>1.8227821791996117</c:v>
                </c:pt>
                <c:pt idx="372">
                  <c:v>1.8226357828702198</c:v>
                </c:pt>
                <c:pt idx="373">
                  <c:v>1.8195933396599917</c:v>
                </c:pt>
                <c:pt idx="374">
                  <c:v>1.8162885927139649</c:v>
                </c:pt>
                <c:pt idx="375">
                  <c:v>1.8121142507192392</c:v>
                </c:pt>
                <c:pt idx="376">
                  <c:v>1.8077881985061115</c:v>
                </c:pt>
                <c:pt idx="377">
                  <c:v>1.8045032058844117</c:v>
                </c:pt>
                <c:pt idx="378">
                  <c:v>1.8029113739109444</c:v>
                </c:pt>
                <c:pt idx="379">
                  <c:v>1.8035443538487297</c:v>
                </c:pt>
                <c:pt idx="380">
                  <c:v>1.7989928284699064</c:v>
                </c:pt>
                <c:pt idx="381">
                  <c:v>1.7946163767388232</c:v>
                </c:pt>
                <c:pt idx="382">
                  <c:v>1.7899406745291779</c:v>
                </c:pt>
                <c:pt idx="383">
                  <c:v>1.7884714557409882</c:v>
                </c:pt>
                <c:pt idx="384">
                  <c:v>1.7843827788062321</c:v>
                </c:pt>
                <c:pt idx="385">
                  <c:v>1.7814800753073732</c:v>
                </c:pt>
                <c:pt idx="386">
                  <c:v>1.777661808111318</c:v>
                </c:pt>
                <c:pt idx="387">
                  <c:v>1.7733475456589742</c:v>
                </c:pt>
                <c:pt idx="388">
                  <c:v>1.7689196851058842</c:v>
                </c:pt>
                <c:pt idx="389">
                  <c:v>1.8020094510510818</c:v>
                </c:pt>
                <c:pt idx="390">
                  <c:v>1.7975926746090118</c:v>
                </c:pt>
                <c:pt idx="391">
                  <c:v>1.7953267509912969</c:v>
                </c:pt>
                <c:pt idx="392">
                  <c:v>1.793148651490871</c:v>
                </c:pt>
                <c:pt idx="393">
                  <c:v>1.7888278027475746</c:v>
                </c:pt>
                <c:pt idx="394">
                  <c:v>1.7924989013246035</c:v>
                </c:pt>
                <c:pt idx="395">
                  <c:v>1.7883659959100917</c:v>
                </c:pt>
                <c:pt idx="396">
                  <c:v>1.7838678340656444</c:v>
                </c:pt>
                <c:pt idx="397">
                  <c:v>1.7816057512165153</c:v>
                </c:pt>
                <c:pt idx="398">
                  <c:v>1.7817812060434237</c:v>
                </c:pt>
                <c:pt idx="399">
                  <c:v>1.8480540713546831</c:v>
                </c:pt>
                <c:pt idx="400">
                  <c:v>1.8436933914704492</c:v>
                </c:pt>
                <c:pt idx="401">
                  <c:v>1.8398526334126606</c:v>
                </c:pt>
                <c:pt idx="402">
                  <c:v>1.8456025045438806</c:v>
                </c:pt>
                <c:pt idx="403">
                  <c:v>1.8413518155138524</c:v>
                </c:pt>
                <c:pt idx="404">
                  <c:v>1.8375861887459985</c:v>
                </c:pt>
                <c:pt idx="405">
                  <c:v>1.8343995092829781</c:v>
                </c:pt>
                <c:pt idx="406">
                  <c:v>1.8319394406966902</c:v>
                </c:pt>
                <c:pt idx="407">
                  <c:v>1.8286440681435252</c:v>
                </c:pt>
                <c:pt idx="408">
                  <c:v>1.8243730131502027</c:v>
                </c:pt>
                <c:pt idx="409">
                  <c:v>1.8586334148843957</c:v>
                </c:pt>
                <c:pt idx="410">
                  <c:v>1.8549809208667207</c:v>
                </c:pt>
                <c:pt idx="411">
                  <c:v>1.8529239973572462</c:v>
                </c:pt>
                <c:pt idx="412">
                  <c:v>1.8714174487219761</c:v>
                </c:pt>
                <c:pt idx="413">
                  <c:v>1.869833753426509</c:v>
                </c:pt>
                <c:pt idx="414">
                  <c:v>1.8658392948197193</c:v>
                </c:pt>
                <c:pt idx="415">
                  <c:v>1.8703078316997126</c:v>
                </c:pt>
                <c:pt idx="416">
                  <c:v>1.8677317655419254</c:v>
                </c:pt>
                <c:pt idx="417">
                  <c:v>1.8634731141746943</c:v>
                </c:pt>
                <c:pt idx="418">
                  <c:v>1.8594925461788909</c:v>
                </c:pt>
                <c:pt idx="419">
                  <c:v>1.8551470408852839</c:v>
                </c:pt>
                <c:pt idx="420">
                  <c:v>1.8516156524546445</c:v>
                </c:pt>
                <c:pt idx="421">
                  <c:v>1.8523962453619043</c:v>
                </c:pt>
                <c:pt idx="422">
                  <c:v>1.8528373278661723</c:v>
                </c:pt>
                <c:pt idx="423">
                  <c:v>1.8485786522659735</c:v>
                </c:pt>
                <c:pt idx="424">
                  <c:v>1.846328723541423</c:v>
                </c:pt>
                <c:pt idx="425">
                  <c:v>1.8437640936577158</c:v>
                </c:pt>
                <c:pt idx="426">
                  <c:v>1.8415221120645311</c:v>
                </c:pt>
                <c:pt idx="427">
                  <c:v>1.8374925363886494</c:v>
                </c:pt>
                <c:pt idx="428">
                  <c:v>1.8353428008408708</c:v>
                </c:pt>
                <c:pt idx="429">
                  <c:v>1.846861899385096</c:v>
                </c:pt>
                <c:pt idx="430">
                  <c:v>1.8475763859922931</c:v>
                </c:pt>
                <c:pt idx="431">
                  <c:v>1.8434995889684169</c:v>
                </c:pt>
                <c:pt idx="432">
                  <c:v>1.839268046148872</c:v>
                </c:pt>
                <c:pt idx="433">
                  <c:v>1.8358147304083829</c:v>
                </c:pt>
                <c:pt idx="434">
                  <c:v>1.8321427535312493</c:v>
                </c:pt>
                <c:pt idx="435">
                  <c:v>1.8433411034269604</c:v>
                </c:pt>
                <c:pt idx="436">
                  <c:v>1.8393676079132535</c:v>
                </c:pt>
                <c:pt idx="437">
                  <c:v>1.8352777579208137</c:v>
                </c:pt>
                <c:pt idx="438">
                  <c:v>1.8311536416185918</c:v>
                </c:pt>
                <c:pt idx="439">
                  <c:v>1.8272203129813462</c:v>
                </c:pt>
                <c:pt idx="440">
                  <c:v>1.8239250025795877</c:v>
                </c:pt>
                <c:pt idx="441">
                  <c:v>1.8445504376441821</c:v>
                </c:pt>
                <c:pt idx="442">
                  <c:v>1.840408561857501</c:v>
                </c:pt>
                <c:pt idx="443">
                  <c:v>1.8761337629243866</c:v>
                </c:pt>
                <c:pt idx="444">
                  <c:v>1.8727201885608928</c:v>
                </c:pt>
                <c:pt idx="445">
                  <c:v>1.8770689125945776</c:v>
                </c:pt>
                <c:pt idx="446">
                  <c:v>1.8740300110058477</c:v>
                </c:pt>
                <c:pt idx="447">
                  <c:v>1.8734055829052969</c:v>
                </c:pt>
                <c:pt idx="448">
                  <c:v>1.8694091673635451</c:v>
                </c:pt>
                <c:pt idx="449">
                  <c:v>1.8793510172904291</c:v>
                </c:pt>
                <c:pt idx="450">
                  <c:v>1.879813359940248</c:v>
                </c:pt>
                <c:pt idx="451">
                  <c:v>1.8969750717874925</c:v>
                </c:pt>
                <c:pt idx="452">
                  <c:v>1.893923280315448</c:v>
                </c:pt>
                <c:pt idx="453">
                  <c:v>1.8900158492457357</c:v>
                </c:pt>
                <c:pt idx="454">
                  <c:v>1.8858620046232979</c:v>
                </c:pt>
                <c:pt idx="455">
                  <c:v>1.8817679447443523</c:v>
                </c:pt>
                <c:pt idx="456">
                  <c:v>1.885438439044514</c:v>
                </c:pt>
                <c:pt idx="457">
                  <c:v>1.8842199141753269</c:v>
                </c:pt>
                <c:pt idx="458">
                  <c:v>1.880720503246053</c:v>
                </c:pt>
                <c:pt idx="459">
                  <c:v>1.8766387239050204</c:v>
                </c:pt>
                <c:pt idx="460">
                  <c:v>1.882739154934695</c:v>
                </c:pt>
                <c:pt idx="461">
                  <c:v>1.8788151573671223</c:v>
                </c:pt>
                <c:pt idx="462">
                  <c:v>1.875649592151533</c:v>
                </c:pt>
                <c:pt idx="463">
                  <c:v>1.8733451290495355</c:v>
                </c:pt>
                <c:pt idx="464">
                  <c:v>1.8862954331587845</c:v>
                </c:pt>
                <c:pt idx="465">
                  <c:v>1.8867264267968249</c:v>
                </c:pt>
                <c:pt idx="466">
                  <c:v>1.8828266204035915</c:v>
                </c:pt>
                <c:pt idx="467">
                  <c:v>1.8861293897975202</c:v>
                </c:pt>
                <c:pt idx="468">
                  <c:v>1.8989057577507893</c:v>
                </c:pt>
                <c:pt idx="469">
                  <c:v>1.8992528436507707</c:v>
                </c:pt>
                <c:pt idx="470">
                  <c:v>1.8952411978926154</c:v>
                </c:pt>
                <c:pt idx="471">
                  <c:v>1.8917588535957761</c:v>
                </c:pt>
                <c:pt idx="472">
                  <c:v>1.8888501751323834</c:v>
                </c:pt>
                <c:pt idx="473">
                  <c:v>1.9177173754878656</c:v>
                </c:pt>
                <c:pt idx="474">
                  <c:v>1.915310690822335</c:v>
                </c:pt>
                <c:pt idx="475">
                  <c:v>1.9134037612631727</c:v>
                </c:pt>
                <c:pt idx="476">
                  <c:v>1.9094655900996205</c:v>
                </c:pt>
                <c:pt idx="477">
                  <c:v>1.9056324158426696</c:v>
                </c:pt>
                <c:pt idx="478">
                  <c:v>1.9211204538279043</c:v>
                </c:pt>
                <c:pt idx="479">
                  <c:v>1.9250088817104325</c:v>
                </c:pt>
                <c:pt idx="480">
                  <c:v>1.9210708689796789</c:v>
                </c:pt>
                <c:pt idx="481">
                  <c:v>1.9186657125970761</c:v>
                </c:pt>
                <c:pt idx="482">
                  <c:v>1.9146937192210669</c:v>
                </c:pt>
                <c:pt idx="483">
                  <c:v>1.91088482931755</c:v>
                </c:pt>
                <c:pt idx="484">
                  <c:v>1.9071566008124918</c:v>
                </c:pt>
                <c:pt idx="485">
                  <c:v>1.9112640076368366</c:v>
                </c:pt>
                <c:pt idx="486">
                  <c:v>1.9076502300939031</c:v>
                </c:pt>
                <c:pt idx="487">
                  <c:v>1.9044575949661171</c:v>
                </c:pt>
                <c:pt idx="488">
                  <c:v>1.9007007962447513</c:v>
                </c:pt>
                <c:pt idx="489">
                  <c:v>1.8991066583633767</c:v>
                </c:pt>
                <c:pt idx="490">
                  <c:v>1.9037836205241112</c:v>
                </c:pt>
                <c:pt idx="491">
                  <c:v>1.9002773395410608</c:v>
                </c:pt>
                <c:pt idx="492">
                  <c:v>1.8964553280421879</c:v>
                </c:pt>
                <c:pt idx="493">
                  <c:v>1.8926575011105227</c:v>
                </c:pt>
                <c:pt idx="494">
                  <c:v>1.8892349577726566</c:v>
                </c:pt>
                <c:pt idx="495">
                  <c:v>1.8904678256289353</c:v>
                </c:pt>
                <c:pt idx="496">
                  <c:v>1.8869418429029117</c:v>
                </c:pt>
                <c:pt idx="497">
                  <c:v>1.8831809417756189</c:v>
                </c:pt>
                <c:pt idx="498">
                  <c:v>1.8817276973148522</c:v>
                </c:pt>
                <c:pt idx="499">
                  <c:v>1.8785007637047262</c:v>
                </c:pt>
                <c:pt idx="500">
                  <c:v>1.8807378018552114</c:v>
                </c:pt>
                <c:pt idx="501">
                  <c:v>1.9340447139430472</c:v>
                </c:pt>
                <c:pt idx="502">
                  <c:v>1.93327755179315</c:v>
                </c:pt>
                <c:pt idx="503">
                  <c:v>1.929540413243106</c:v>
                </c:pt>
                <c:pt idx="504">
                  <c:v>1.9382342519113569</c:v>
                </c:pt>
                <c:pt idx="505">
                  <c:v>1.9351084002916441</c:v>
                </c:pt>
                <c:pt idx="506">
                  <c:v>1.9372057417657658</c:v>
                </c:pt>
                <c:pt idx="507">
                  <c:v>1.9334215518076205</c:v>
                </c:pt>
                <c:pt idx="508">
                  <c:v>1.9412611663580577</c:v>
                </c:pt>
                <c:pt idx="509">
                  <c:v>1.9389163326408032</c:v>
                </c:pt>
                <c:pt idx="510">
                  <c:v>1.9365024941556892</c:v>
                </c:pt>
                <c:pt idx="511">
                  <c:v>1.9327325907539588</c:v>
                </c:pt>
                <c:pt idx="512">
                  <c:v>1.9289849459610044</c:v>
                </c:pt>
                <c:pt idx="513">
                  <c:v>1.9255752340295433</c:v>
                </c:pt>
                <c:pt idx="514">
                  <c:v>1.9221806957353977</c:v>
                </c:pt>
                <c:pt idx="515">
                  <c:v>1.9188975828549586</c:v>
                </c:pt>
                <c:pt idx="516">
                  <c:v>1.9162262852112233</c:v>
                </c:pt>
                <c:pt idx="517">
                  <c:v>1.914566287156338</c:v>
                </c:pt>
                <c:pt idx="518">
                  <c:v>1.9470888973634428</c:v>
                </c:pt>
                <c:pt idx="519">
                  <c:v>1.9438357978801268</c:v>
                </c:pt>
                <c:pt idx="520">
                  <c:v>1.9402949337689535</c:v>
                </c:pt>
                <c:pt idx="521">
                  <c:v>1.9376936163206289</c:v>
                </c:pt>
                <c:pt idx="522">
                  <c:v>1.9374238727595723</c:v>
                </c:pt>
                <c:pt idx="523">
                  <c:v>1.9338455147947522</c:v>
                </c:pt>
                <c:pt idx="524">
                  <c:v>1.9301646803291936</c:v>
                </c:pt>
                <c:pt idx="525">
                  <c:v>1.9265020419348504</c:v>
                </c:pt>
                <c:pt idx="526">
                  <c:v>1.928084268189975</c:v>
                </c:pt>
                <c:pt idx="527">
                  <c:v>1.9248261306991858</c:v>
                </c:pt>
                <c:pt idx="528">
                  <c:v>1.9308032648686164</c:v>
                </c:pt>
                <c:pt idx="529">
                  <c:v>1.9273462975926039</c:v>
                </c:pt>
                <c:pt idx="530">
                  <c:v>1.9915738510018994</c:v>
                </c:pt>
                <c:pt idx="531">
                  <c:v>1.9880225835910903</c:v>
                </c:pt>
                <c:pt idx="532">
                  <c:v>1.9851863033082933</c:v>
                </c:pt>
                <c:pt idx="533">
                  <c:v>2.0184864725505345</c:v>
                </c:pt>
                <c:pt idx="534">
                  <c:v>2.0157749095019017</c:v>
                </c:pt>
                <c:pt idx="535">
                  <c:v>2.014485426083215</c:v>
                </c:pt>
                <c:pt idx="536">
                  <c:v>2.014217331482282</c:v>
                </c:pt>
                <c:pt idx="537">
                  <c:v>2.0107651858173505</c:v>
                </c:pt>
                <c:pt idx="538">
                  <c:v>2.0081422370443192</c:v>
                </c:pt>
                <c:pt idx="539">
                  <c:v>2.0044307722935755</c:v>
                </c:pt>
                <c:pt idx="540">
                  <c:v>2.0009493207932594</c:v>
                </c:pt>
                <c:pt idx="541">
                  <c:v>2.00230139590643</c:v>
                </c:pt>
                <c:pt idx="542">
                  <c:v>2.0012994205396382</c:v>
                </c:pt>
                <c:pt idx="543">
                  <c:v>1.9981100662115585</c:v>
                </c:pt>
                <c:pt idx="544">
                  <c:v>1.9944806576825438</c:v>
                </c:pt>
                <c:pt idx="545">
                  <c:v>1.9942155368622809</c:v>
                </c:pt>
                <c:pt idx="546">
                  <c:v>1.9914731306348272</c:v>
                </c:pt>
                <c:pt idx="547">
                  <c:v>1.9903949225965878</c:v>
                </c:pt>
                <c:pt idx="548">
                  <c:v>1.9868676537807226</c:v>
                </c:pt>
                <c:pt idx="549">
                  <c:v>1.9835906586173915</c:v>
                </c:pt>
                <c:pt idx="550">
                  <c:v>1.9822895107904563</c:v>
                </c:pt>
                <c:pt idx="551">
                  <c:v>1.9840250618229378</c:v>
                </c:pt>
                <c:pt idx="552">
                  <c:v>1.980688484704632</c:v>
                </c:pt>
                <c:pt idx="553">
                  <c:v>2.0034589779355563</c:v>
                </c:pt>
                <c:pt idx="554">
                  <c:v>2.0116841522792135</c:v>
                </c:pt>
                <c:pt idx="555">
                  <c:v>2.0084000331846124</c:v>
                </c:pt>
                <c:pt idx="556">
                  <c:v>2.0115948726128017</c:v>
                </c:pt>
                <c:pt idx="557">
                  <c:v>2.0098999610311234</c:v>
                </c:pt>
                <c:pt idx="558">
                  <c:v>2.0066709391589805</c:v>
                </c:pt>
                <c:pt idx="559">
                  <c:v>2.0036858360545784</c:v>
                </c:pt>
                <c:pt idx="560">
                  <c:v>2.0006082679372041</c:v>
                </c:pt>
                <c:pt idx="561">
                  <c:v>1.9970826669080703</c:v>
                </c:pt>
                <c:pt idx="562">
                  <c:v>1.9945510923991721</c:v>
                </c:pt>
                <c:pt idx="563">
                  <c:v>1.9910403347793977</c:v>
                </c:pt>
                <c:pt idx="564">
                  <c:v>1.9877221160198806</c:v>
                </c:pt>
                <c:pt idx="565">
                  <c:v>1.9884003723202559</c:v>
                </c:pt>
                <c:pt idx="566">
                  <c:v>1.9849024010033371</c:v>
                </c:pt>
                <c:pt idx="567">
                  <c:v>1.9823935199861644</c:v>
                </c:pt>
                <c:pt idx="568">
                  <c:v>1.9807801609545015</c:v>
                </c:pt>
                <c:pt idx="569">
                  <c:v>1.97738157266435</c:v>
                </c:pt>
                <c:pt idx="570">
                  <c:v>1.9739291716084921</c:v>
                </c:pt>
                <c:pt idx="571">
                  <c:v>1.9711491647963317</c:v>
                </c:pt>
                <c:pt idx="572">
                  <c:v>1.9682105455789174</c:v>
                </c:pt>
                <c:pt idx="573">
                  <c:v>1.9668941765531345</c:v>
                </c:pt>
                <c:pt idx="574">
                  <c:v>1.963640477482032</c:v>
                </c:pt>
                <c:pt idx="575">
                  <c:v>1.9655583927805742</c:v>
                </c:pt>
                <c:pt idx="576">
                  <c:v>1.9621543044261958</c:v>
                </c:pt>
                <c:pt idx="577">
                  <c:v>1.9587799107621264</c:v>
                </c:pt>
                <c:pt idx="578">
                  <c:v>1.9572038368458884</c:v>
                </c:pt>
                <c:pt idx="579">
                  <c:v>1.9646022675777912</c:v>
                </c:pt>
                <c:pt idx="580">
                  <c:v>1.9615995267200133</c:v>
                </c:pt>
                <c:pt idx="581">
                  <c:v>1.9592904095813155</c:v>
                </c:pt>
                <c:pt idx="582">
                  <c:v>1.9570452718013085</c:v>
                </c:pt>
                <c:pt idx="583">
                  <c:v>1.9540346136812645</c:v>
                </c:pt>
                <c:pt idx="584">
                  <c:v>1.9601633230780025</c:v>
                </c:pt>
                <c:pt idx="585">
                  <c:v>1.956877785627362</c:v>
                </c:pt>
                <c:pt idx="586">
                  <c:v>1.9539231702607658</c:v>
                </c:pt>
                <c:pt idx="587">
                  <c:v>1.9508985516121031</c:v>
                </c:pt>
                <c:pt idx="588">
                  <c:v>1.9505654161416826</c:v>
                </c:pt>
                <c:pt idx="589">
                  <c:v>1.9524401889658882</c:v>
                </c:pt>
                <c:pt idx="590">
                  <c:v>1.9509283766380885</c:v>
                </c:pt>
                <c:pt idx="591">
                  <c:v>1.9479283389184925</c:v>
                </c:pt>
                <c:pt idx="592">
                  <c:v>1.9457302774273935</c:v>
                </c:pt>
                <c:pt idx="593">
                  <c:v>1.970781005474582</c:v>
                </c:pt>
                <c:pt idx="594">
                  <c:v>1.971749888852518</c:v>
                </c:pt>
                <c:pt idx="595">
                  <c:v>1.968492544427114</c:v>
                </c:pt>
                <c:pt idx="596">
                  <c:v>1.9750194744901288</c:v>
                </c:pt>
                <c:pt idx="597">
                  <c:v>2.0206606013014405</c:v>
                </c:pt>
                <c:pt idx="598">
                  <c:v>2.0174417318481006</c:v>
                </c:pt>
                <c:pt idx="599">
                  <c:v>2.0146641389043105</c:v>
                </c:pt>
                <c:pt idx="600">
                  <c:v>2.0180144492923047</c:v>
                </c:pt>
                <c:pt idx="601">
                  <c:v>2.0167460446771015</c:v>
                </c:pt>
                <c:pt idx="602">
                  <c:v>2.0151501648910606</c:v>
                </c:pt>
                <c:pt idx="603">
                  <c:v>2.0138123273157116</c:v>
                </c:pt>
                <c:pt idx="604">
                  <c:v>2.0105003196266567</c:v>
                </c:pt>
                <c:pt idx="605">
                  <c:v>2.0091456099117</c:v>
                </c:pt>
                <c:pt idx="606">
                  <c:v>2.0070478858264198</c:v>
                </c:pt>
                <c:pt idx="607">
                  <c:v>2.0038254884889359</c:v>
                </c:pt>
                <c:pt idx="608">
                  <c:v>2.0011254732058896</c:v>
                </c:pt>
                <c:pt idx="609">
                  <c:v>1.9980036021308285</c:v>
                </c:pt>
                <c:pt idx="610">
                  <c:v>1.9947812809249423</c:v>
                </c:pt>
                <c:pt idx="611">
                  <c:v>1.991630770915862</c:v>
                </c:pt>
                <c:pt idx="612">
                  <c:v>1.988565409911931</c:v>
                </c:pt>
                <c:pt idx="613">
                  <c:v>1.9868541170577176</c:v>
                </c:pt>
                <c:pt idx="614">
                  <c:v>1.9866466180428832</c:v>
                </c:pt>
                <c:pt idx="615">
                  <c:v>1.9847152951131697</c:v>
                </c:pt>
                <c:pt idx="616">
                  <c:v>2.0010867480884396</c:v>
                </c:pt>
                <c:pt idx="617">
                  <c:v>1.9987079707065734</c:v>
                </c:pt>
                <c:pt idx="618">
                  <c:v>1.9955295532669095</c:v>
                </c:pt>
                <c:pt idx="619">
                  <c:v>1.9928570259636065</c:v>
                </c:pt>
                <c:pt idx="620">
                  <c:v>1.9901855195132439</c:v>
                </c:pt>
                <c:pt idx="621">
                  <c:v>1.9871403631925515</c:v>
                </c:pt>
                <c:pt idx="622">
                  <c:v>1.9839587905472349</c:v>
                </c:pt>
                <c:pt idx="623">
                  <c:v>1.9807794243157033</c:v>
                </c:pt>
                <c:pt idx="624">
                  <c:v>1.9851900922543078</c:v>
                </c:pt>
                <c:pt idx="625">
                  <c:v>1.9820461520427188</c:v>
                </c:pt>
                <c:pt idx="626">
                  <c:v>1.979279764177035</c:v>
                </c:pt>
                <c:pt idx="627">
                  <c:v>1.9786388391891498</c:v>
                </c:pt>
                <c:pt idx="628">
                  <c:v>1.9779887445881363</c:v>
                </c:pt>
                <c:pt idx="629">
                  <c:v>1.9750432818316912</c:v>
                </c:pt>
                <c:pt idx="630">
                  <c:v>1.9757824875092576</c:v>
                </c:pt>
                <c:pt idx="631">
                  <c:v>1.9726625157543805</c:v>
                </c:pt>
                <c:pt idx="632">
                  <c:v>1.9752067673923379</c:v>
                </c:pt>
                <c:pt idx="633">
                  <c:v>1.9736147606324261</c:v>
                </c:pt>
                <c:pt idx="634">
                  <c:v>1.9712742145173765</c:v>
                </c:pt>
                <c:pt idx="635">
                  <c:v>1.9682677017235441</c:v>
                </c:pt>
                <c:pt idx="636">
                  <c:v>1.9665351186501296</c:v>
                </c:pt>
                <c:pt idx="637">
                  <c:v>1.9635603762536216</c:v>
                </c:pt>
                <c:pt idx="638">
                  <c:v>1.9607142363975727</c:v>
                </c:pt>
                <c:pt idx="639">
                  <c:v>1.9631044363494299</c:v>
                </c:pt>
                <c:pt idx="640">
                  <c:v>1.9600656317969525</c:v>
                </c:pt>
                <c:pt idx="641">
                  <c:v>1.9959882119410239</c:v>
                </c:pt>
                <c:pt idx="642">
                  <c:v>1.9931815509927582</c:v>
                </c:pt>
                <c:pt idx="643">
                  <c:v>1.9908362899915872</c:v>
                </c:pt>
                <c:pt idx="644">
                  <c:v>1.99095080542421</c:v>
                </c:pt>
                <c:pt idx="645">
                  <c:v>1.9879330875378707</c:v>
                </c:pt>
                <c:pt idx="646">
                  <c:v>1.9850108172982128</c:v>
                </c:pt>
                <c:pt idx="647">
                  <c:v>1.9819609450240887</c:v>
                </c:pt>
                <c:pt idx="648">
                  <c:v>1.9789184138277893</c:v>
                </c:pt>
                <c:pt idx="649">
                  <c:v>1.9762089470032651</c:v>
                </c:pt>
                <c:pt idx="650">
                  <c:v>1.9767729965107179</c:v>
                </c:pt>
                <c:pt idx="651">
                  <c:v>1.9793179381153059</c:v>
                </c:pt>
                <c:pt idx="652">
                  <c:v>1.9777333147241636</c:v>
                </c:pt>
                <c:pt idx="653">
                  <c:v>1.9752714195325431</c:v>
                </c:pt>
                <c:pt idx="654">
                  <c:v>1.9723079563341612</c:v>
                </c:pt>
                <c:pt idx="655">
                  <c:v>1.9701365887572138</c:v>
                </c:pt>
                <c:pt idx="656">
                  <c:v>1.9671504663899422</c:v>
                </c:pt>
                <c:pt idx="657">
                  <c:v>1.9653356276435663</c:v>
                </c:pt>
                <c:pt idx="658">
                  <c:v>1.9629802279175328</c:v>
                </c:pt>
                <c:pt idx="659">
                  <c:v>1.9608243150832554</c:v>
                </c:pt>
                <c:pt idx="660">
                  <c:v>1.9580391489950206</c:v>
                </c:pt>
                <c:pt idx="661">
                  <c:v>1.9557201343027946</c:v>
                </c:pt>
                <c:pt idx="662">
                  <c:v>1.9528081380013063</c:v>
                </c:pt>
                <c:pt idx="663">
                  <c:v>1.9498976553513452</c:v>
                </c:pt>
                <c:pt idx="664">
                  <c:v>1.9541178558865608</c:v>
                </c:pt>
                <c:pt idx="665">
                  <c:v>1.9513437807598388</c:v>
                </c:pt>
                <c:pt idx="666">
                  <c:v>1.9484433674813617</c:v>
                </c:pt>
                <c:pt idx="667">
                  <c:v>1.9549678419001735</c:v>
                </c:pt>
                <c:pt idx="668">
                  <c:v>1.9528458676804379</c:v>
                </c:pt>
                <c:pt idx="669">
                  <c:v>1.955774903493841</c:v>
                </c:pt>
                <c:pt idx="670">
                  <c:v>1.9544705415745669</c:v>
                </c:pt>
                <c:pt idx="671">
                  <c:v>1.9807402044906004</c:v>
                </c:pt>
                <c:pt idx="672">
                  <c:v>1.9780208536499093</c:v>
                </c:pt>
                <c:pt idx="673">
                  <c:v>1.9751404787694744</c:v>
                </c:pt>
                <c:pt idx="674">
                  <c:v>1.9724301859064353</c:v>
                </c:pt>
                <c:pt idx="675">
                  <c:v>1.970418842129503</c:v>
                </c:pt>
                <c:pt idx="676">
                  <c:v>1.9685234503901405</c:v>
                </c:pt>
                <c:pt idx="677">
                  <c:v>1.9658561494278979</c:v>
                </c:pt>
                <c:pt idx="678">
                  <c:v>1.963440603176279</c:v>
                </c:pt>
                <c:pt idx="679">
                  <c:v>1.9608727837380631</c:v>
                </c:pt>
                <c:pt idx="680">
                  <c:v>1.9676955123286572</c:v>
                </c:pt>
                <c:pt idx="681">
                  <c:v>1.9664651219441991</c:v>
                </c:pt>
                <c:pt idx="682">
                  <c:v>1.963617301092291</c:v>
                </c:pt>
                <c:pt idx="683">
                  <c:v>1.9654514075938108</c:v>
                </c:pt>
                <c:pt idx="684">
                  <c:v>1.9625854991586205</c:v>
                </c:pt>
                <c:pt idx="685">
                  <c:v>1.9789039180254206</c:v>
                </c:pt>
                <c:pt idx="686">
                  <c:v>1.9769259719900547</c:v>
                </c:pt>
                <c:pt idx="687">
                  <c:v>1.9748168765975036</c:v>
                </c:pt>
                <c:pt idx="688">
                  <c:v>1.9793975714200593</c:v>
                </c:pt>
                <c:pt idx="689">
                  <c:v>1.9765343931262727</c:v>
                </c:pt>
                <c:pt idx="690">
                  <c:v>1.9736934403191466</c:v>
                </c:pt>
                <c:pt idx="691">
                  <c:v>1.9712052522402088</c:v>
                </c:pt>
                <c:pt idx="692">
                  <c:v>1.971866302620543</c:v>
                </c:pt>
                <c:pt idx="693">
                  <c:v>1.9903955342179316</c:v>
                </c:pt>
                <c:pt idx="694">
                  <c:v>1.9884118831949866</c:v>
                </c:pt>
                <c:pt idx="695">
                  <c:v>1.9863262011772496</c:v>
                </c:pt>
                <c:pt idx="696">
                  <c:v>2.0058336816933444</c:v>
                </c:pt>
                <c:pt idx="697">
                  <c:v>2.0029675366408433</c:v>
                </c:pt>
                <c:pt idx="698">
                  <c:v>2.0004558104397963</c:v>
                </c:pt>
                <c:pt idx="699">
                  <c:v>1.9980883966629051</c:v>
                </c:pt>
                <c:pt idx="700">
                  <c:v>1.9961686039060473</c:v>
                </c:pt>
                <c:pt idx="701">
                  <c:v>1.9933253027759081</c:v>
                </c:pt>
                <c:pt idx="702">
                  <c:v>1.9906980499049245</c:v>
                </c:pt>
                <c:pt idx="703">
                  <c:v>1.993711483222913</c:v>
                </c:pt>
                <c:pt idx="704">
                  <c:v>1.9910869007744614</c:v>
                </c:pt>
                <c:pt idx="705">
                  <c:v>1.9885129275184852</c:v>
                </c:pt>
                <c:pt idx="706">
                  <c:v>1.9894548638922305</c:v>
                </c:pt>
                <c:pt idx="707">
                  <c:v>1.9879560242955441</c:v>
                </c:pt>
                <c:pt idx="708">
                  <c:v>1.9856018877239778</c:v>
                </c:pt>
                <c:pt idx="709">
                  <c:v>1.9848628826314751</c:v>
                </c:pt>
                <c:pt idx="710">
                  <c:v>1.9843900743853451</c:v>
                </c:pt>
                <c:pt idx="711">
                  <c:v>1.9840631376842532</c:v>
                </c:pt>
                <c:pt idx="712">
                  <c:v>1.981811438771002</c:v>
                </c:pt>
                <c:pt idx="713">
                  <c:v>1.9796649657876648</c:v>
                </c:pt>
                <c:pt idx="714">
                  <c:v>1.9775911180075585</c:v>
                </c:pt>
                <c:pt idx="715">
                  <c:v>1.9756316715498852</c:v>
                </c:pt>
                <c:pt idx="716">
                  <c:v>1.9734904196454224</c:v>
                </c:pt>
                <c:pt idx="717">
                  <c:v>1.9710035809653006</c:v>
                </c:pt>
                <c:pt idx="718">
                  <c:v>1.9690614452732447</c:v>
                </c:pt>
                <c:pt idx="719">
                  <c:v>1.970888498886372</c:v>
                </c:pt>
                <c:pt idx="720">
                  <c:v>1.975369370957456</c:v>
                </c:pt>
                <c:pt idx="721">
                  <c:v>1.9729641776038582</c:v>
                </c:pt>
                <c:pt idx="722">
                  <c:v>1.9715170645227675</c:v>
                </c:pt>
                <c:pt idx="723">
                  <c:v>1.9690878275176551</c:v>
                </c:pt>
                <c:pt idx="724">
                  <c:v>1.9667090317905587</c:v>
                </c:pt>
                <c:pt idx="725">
                  <c:v>1.9645525262723569</c:v>
                </c:pt>
                <c:pt idx="726">
                  <c:v>1.9619761545447736</c:v>
                </c:pt>
                <c:pt idx="727">
                  <c:v>1.960526443967836</c:v>
                </c:pt>
                <c:pt idx="728">
                  <c:v>1.9584532069575205</c:v>
                </c:pt>
                <c:pt idx="729">
                  <c:v>1.9558853009708161</c:v>
                </c:pt>
                <c:pt idx="730">
                  <c:v>1.9582454976145627</c:v>
                </c:pt>
                <c:pt idx="731">
                  <c:v>1.9559162546213484</c:v>
                </c:pt>
                <c:pt idx="732">
                  <c:v>1.9586713037844845</c:v>
                </c:pt>
                <c:pt idx="733">
                  <c:v>1.9566939273483406</c:v>
                </c:pt>
                <c:pt idx="734">
                  <c:v>1.9541020288344575</c:v>
                </c:pt>
                <c:pt idx="735">
                  <c:v>1.9526457653592411</c:v>
                </c:pt>
                <c:pt idx="736">
                  <c:v>1.9499983456395313</c:v>
                </c:pt>
                <c:pt idx="737">
                  <c:v>1.9474593113382133</c:v>
                </c:pt>
                <c:pt idx="738">
                  <c:v>1.9449297370547007</c:v>
                </c:pt>
                <c:pt idx="739">
                  <c:v>1.9429425264438149</c:v>
                </c:pt>
                <c:pt idx="740">
                  <c:v>1.9425555355622761</c:v>
                </c:pt>
                <c:pt idx="741">
                  <c:v>1.9399462002377477</c:v>
                </c:pt>
                <c:pt idx="742">
                  <c:v>1.9393038929823885</c:v>
                </c:pt>
                <c:pt idx="743">
                  <c:v>1.9367374292046475</c:v>
                </c:pt>
                <c:pt idx="744">
                  <c:v>1.9341998146822719</c:v>
                </c:pt>
                <c:pt idx="745">
                  <c:v>1.9316424435600432</c:v>
                </c:pt>
                <c:pt idx="746">
                  <c:v>1.9291267382907229</c:v>
                </c:pt>
                <c:pt idx="747">
                  <c:v>1.9272233014586375</c:v>
                </c:pt>
                <c:pt idx="748">
                  <c:v>1.9339958852878254</c:v>
                </c:pt>
                <c:pt idx="749">
                  <c:v>1.9346591503483681</c:v>
                </c:pt>
                <c:pt idx="750">
                  <c:v>1.9332635989265228</c:v>
                </c:pt>
                <c:pt idx="751">
                  <c:v>1.9352801696964805</c:v>
                </c:pt>
                <c:pt idx="752">
                  <c:v>1.9338203932299134</c:v>
                </c:pt>
                <c:pt idx="753">
                  <c:v>1.9312893208444053</c:v>
                </c:pt>
                <c:pt idx="754">
                  <c:v>1.9313246305413236</c:v>
                </c:pt>
                <c:pt idx="755">
                  <c:v>1.9288821022894689</c:v>
                </c:pt>
                <c:pt idx="756">
                  <c:v>1.9263436096549484</c:v>
                </c:pt>
                <c:pt idx="757">
                  <c:v>1.9240063501581814</c:v>
                </c:pt>
                <c:pt idx="758">
                  <c:v>1.9214715669486846</c:v>
                </c:pt>
                <c:pt idx="759">
                  <c:v>1.9314313893721935</c:v>
                </c:pt>
                <c:pt idx="760">
                  <c:v>1.9318147200284315</c:v>
                </c:pt>
                <c:pt idx="761">
                  <c:v>1.9301623484807071</c:v>
                </c:pt>
                <c:pt idx="762">
                  <c:v>1.9277358018913817</c:v>
                </c:pt>
                <c:pt idx="763">
                  <c:v>1.9254267111433803</c:v>
                </c:pt>
                <c:pt idx="764">
                  <c:v>1.9239191226155532</c:v>
                </c:pt>
                <c:pt idx="765">
                  <c:v>1.9219906977101502</c:v>
                </c:pt>
                <c:pt idx="766">
                  <c:v>1.9195938570328854</c:v>
                </c:pt>
                <c:pt idx="767">
                  <c:v>1.9227245564090438</c:v>
                </c:pt>
                <c:pt idx="768">
                  <c:v>1.9204247569725093</c:v>
                </c:pt>
                <c:pt idx="769">
                  <c:v>1.9186237493525256</c:v>
                </c:pt>
                <c:pt idx="770">
                  <c:v>1.9205433336705271</c:v>
                </c:pt>
                <c:pt idx="771">
                  <c:v>1.9180994390049773</c:v>
                </c:pt>
                <c:pt idx="772">
                  <c:v>1.9160322586658596</c:v>
                </c:pt>
                <c:pt idx="773">
                  <c:v>1.9136102565175852</c:v>
                </c:pt>
                <c:pt idx="774">
                  <c:v>1.9115070131875036</c:v>
                </c:pt>
                <c:pt idx="775">
                  <c:v>1.9090442015730507</c:v>
                </c:pt>
                <c:pt idx="776">
                  <c:v>1.9069390851199823</c:v>
                </c:pt>
                <c:pt idx="777">
                  <c:v>1.9047178391383539</c:v>
                </c:pt>
                <c:pt idx="778">
                  <c:v>1.9081786858914001</c:v>
                </c:pt>
                <c:pt idx="779">
                  <c:v>1.9062713147533679</c:v>
                </c:pt>
                <c:pt idx="780">
                  <c:v>1.9082919262653784</c:v>
                </c:pt>
                <c:pt idx="781">
                  <c:v>1.9065183627060545</c:v>
                </c:pt>
                <c:pt idx="782">
                  <c:v>1.9043812533642459</c:v>
                </c:pt>
                <c:pt idx="783">
                  <c:v>1.9023331439970181</c:v>
                </c:pt>
                <c:pt idx="784">
                  <c:v>1.9033384772040616</c:v>
                </c:pt>
                <c:pt idx="785">
                  <c:v>1.9010618915813846</c:v>
                </c:pt>
                <c:pt idx="786">
                  <c:v>1.8989273682800751</c:v>
                </c:pt>
                <c:pt idx="787">
                  <c:v>1.9083931057478181</c:v>
                </c:pt>
                <c:pt idx="788">
                  <c:v>1.9082691868094837</c:v>
                </c:pt>
                <c:pt idx="789">
                  <c:v>1.9058832337557969</c:v>
                </c:pt>
                <c:pt idx="790">
                  <c:v>1.9042017595574718</c:v>
                </c:pt>
                <c:pt idx="791">
                  <c:v>1.903627412140988</c:v>
                </c:pt>
                <c:pt idx="792">
                  <c:v>1.9012860712883899</c:v>
                </c:pt>
                <c:pt idx="793">
                  <c:v>1.8997912886053692</c:v>
                </c:pt>
                <c:pt idx="794">
                  <c:v>1.8975053913414834</c:v>
                </c:pt>
                <c:pt idx="795">
                  <c:v>1.899107900298648</c:v>
                </c:pt>
                <c:pt idx="796">
                  <c:v>1.9070800588209518</c:v>
                </c:pt>
                <c:pt idx="797">
                  <c:v>1.9047257142158529</c:v>
                </c:pt>
                <c:pt idx="798">
                  <c:v>1.9039165755715808</c:v>
                </c:pt>
                <c:pt idx="799">
                  <c:v>1.9016468153337287</c:v>
                </c:pt>
                <c:pt idx="800">
                  <c:v>1.8993476654984858</c:v>
                </c:pt>
                <c:pt idx="801">
                  <c:v>1.8969880571661324</c:v>
                </c:pt>
                <c:pt idx="802">
                  <c:v>1.8947715960343146</c:v>
                </c:pt>
                <c:pt idx="803">
                  <c:v>1.8926339411487596</c:v>
                </c:pt>
                <c:pt idx="804">
                  <c:v>1.9028720067736233</c:v>
                </c:pt>
                <c:pt idx="805">
                  <c:v>1.9059202543175053</c:v>
                </c:pt>
                <c:pt idx="806">
                  <c:v>1.9039852935652812</c:v>
                </c:pt>
                <c:pt idx="807">
                  <c:v>1.9024392740345795</c:v>
                </c:pt>
                <c:pt idx="808">
                  <c:v>1.9014494201976075</c:v>
                </c:pt>
                <c:pt idx="809">
                  <c:v>1.8991026481914028</c:v>
                </c:pt>
                <c:pt idx="810">
                  <c:v>1.8969499532012968</c:v>
                </c:pt>
                <c:pt idx="811">
                  <c:v>1.8948236851369602</c:v>
                </c:pt>
                <c:pt idx="812">
                  <c:v>1.8926258097972233</c:v>
                </c:pt>
                <c:pt idx="813">
                  <c:v>1.8904438601852347</c:v>
                </c:pt>
                <c:pt idx="814">
                  <c:v>1.8884749384651851</c:v>
                </c:pt>
                <c:pt idx="815">
                  <c:v>1.8866991951204684</c:v>
                </c:pt>
                <c:pt idx="816">
                  <c:v>1.8918538371842319</c:v>
                </c:pt>
                <c:pt idx="817">
                  <c:v>1.8898962821605911</c:v>
                </c:pt>
                <c:pt idx="818">
                  <c:v>1.8886034911687524</c:v>
                </c:pt>
                <c:pt idx="819">
                  <c:v>1.8928480763118321</c:v>
                </c:pt>
                <c:pt idx="820">
                  <c:v>1.8906170811464575</c:v>
                </c:pt>
                <c:pt idx="821">
                  <c:v>1.8920762493726369</c:v>
                </c:pt>
                <c:pt idx="822">
                  <c:v>1.8939827211931155</c:v>
                </c:pt>
                <c:pt idx="823">
                  <c:v>1.9047345626832144</c:v>
                </c:pt>
                <c:pt idx="824">
                  <c:v>1.9074845384590724</c:v>
                </c:pt>
                <c:pt idx="825">
                  <c:v>1.9080045472173213</c:v>
                </c:pt>
                <c:pt idx="826">
                  <c:v>1.9230496303175117</c:v>
                </c:pt>
                <c:pt idx="827">
                  <c:v>1.9213080583721056</c:v>
                </c:pt>
                <c:pt idx="828">
                  <c:v>1.919434918536848</c:v>
                </c:pt>
                <c:pt idx="829">
                  <c:v>1.919450122104625</c:v>
                </c:pt>
                <c:pt idx="830">
                  <c:v>1.9171788693954899</c:v>
                </c:pt>
                <c:pt idx="831">
                  <c:v>1.9219902766332662</c:v>
                </c:pt>
                <c:pt idx="832">
                  <c:v>1.9196894306057379</c:v>
                </c:pt>
                <c:pt idx="833">
                  <c:v>1.918188389211142</c:v>
                </c:pt>
                <c:pt idx="834">
                  <c:v>1.9161856270550828</c:v>
                </c:pt>
                <c:pt idx="835">
                  <c:v>1.9138946583774843</c:v>
                </c:pt>
                <c:pt idx="836">
                  <c:v>1.9121705788201619</c:v>
                </c:pt>
                <c:pt idx="837">
                  <c:v>1.9099860324494471</c:v>
                </c:pt>
                <c:pt idx="838">
                  <c:v>1.9077603191252743</c:v>
                </c:pt>
                <c:pt idx="839">
                  <c:v>1.9078617711879962</c:v>
                </c:pt>
                <c:pt idx="840">
                  <c:v>1.9059197294936678</c:v>
                </c:pt>
                <c:pt idx="841">
                  <c:v>1.9041300029744359</c:v>
                </c:pt>
                <c:pt idx="842">
                  <c:v>1.9032415840965862</c:v>
                </c:pt>
                <c:pt idx="843">
                  <c:v>1.9062726846582121</c:v>
                </c:pt>
                <c:pt idx="844">
                  <c:v>1.9047538682508813</c:v>
                </c:pt>
                <c:pt idx="845">
                  <c:v>1.9025024157029355</c:v>
                </c:pt>
                <c:pt idx="846">
                  <c:v>1.9003665057626811</c:v>
                </c:pt>
                <c:pt idx="847">
                  <c:v>1.8983968698793126</c:v>
                </c:pt>
                <c:pt idx="848">
                  <c:v>1.8982900691879914</c:v>
                </c:pt>
                <c:pt idx="849">
                  <c:v>1.897702072428606</c:v>
                </c:pt>
                <c:pt idx="850">
                  <c:v>1.9041733213765117</c:v>
                </c:pt>
                <c:pt idx="851">
                  <c:v>1.9020160449143899</c:v>
                </c:pt>
                <c:pt idx="852">
                  <c:v>1.8997946906380796</c:v>
                </c:pt>
                <c:pt idx="853">
                  <c:v>1.9051276171141747</c:v>
                </c:pt>
                <c:pt idx="854">
                  <c:v>1.9035004975194969</c:v>
                </c:pt>
                <c:pt idx="855">
                  <c:v>1.9013090521470326</c:v>
                </c:pt>
                <c:pt idx="856">
                  <c:v>1.9062709976345606</c:v>
                </c:pt>
                <c:pt idx="857">
                  <c:v>1.9041513461852049</c:v>
                </c:pt>
                <c:pt idx="858">
                  <c:v>1.9067459838380769</c:v>
                </c:pt>
                <c:pt idx="859">
                  <c:v>1.9052139692949703</c:v>
                </c:pt>
                <c:pt idx="860">
                  <c:v>1.9032345242586646</c:v>
                </c:pt>
                <c:pt idx="861">
                  <c:v>1.9035877265861516</c:v>
                </c:pt>
                <c:pt idx="862">
                  <c:v>1.9013893434401483</c:v>
                </c:pt>
                <c:pt idx="863">
                  <c:v>1.9068264101777761</c:v>
                </c:pt>
                <c:pt idx="864">
                  <c:v>1.904694430237295</c:v>
                </c:pt>
                <c:pt idx="865">
                  <c:v>1.9030470195117932</c:v>
                </c:pt>
                <c:pt idx="866">
                  <c:v>1.9008902494114401</c:v>
                </c:pt>
                <c:pt idx="867">
                  <c:v>1.8987899876723011</c:v>
                </c:pt>
                <c:pt idx="868">
                  <c:v>1.8976253376683421</c:v>
                </c:pt>
                <c:pt idx="869">
                  <c:v>1.8976643779055136</c:v>
                </c:pt>
                <c:pt idx="870">
                  <c:v>1.8961400577763021</c:v>
                </c:pt>
                <c:pt idx="871">
                  <c:v>1.8948976859073252</c:v>
                </c:pt>
                <c:pt idx="872">
                  <c:v>1.892786001833098</c:v>
                </c:pt>
                <c:pt idx="873">
                  <c:v>1.8910833441017474</c:v>
                </c:pt>
                <c:pt idx="874">
                  <c:v>1.8921694364061457</c:v>
                </c:pt>
                <c:pt idx="875">
                  <c:v>1.8900886435216475</c:v>
                </c:pt>
                <c:pt idx="876">
                  <c:v>1.8884851387258472</c:v>
                </c:pt>
                <c:pt idx="877">
                  <c:v>1.8896831843651194</c:v>
                </c:pt>
                <c:pt idx="878">
                  <c:v>1.8875986544890642</c:v>
                </c:pt>
                <c:pt idx="879">
                  <c:v>1.8933397820736029</c:v>
                </c:pt>
                <c:pt idx="880">
                  <c:v>1.8915350369874748</c:v>
                </c:pt>
                <c:pt idx="881">
                  <c:v>1.8893909104401907</c:v>
                </c:pt>
                <c:pt idx="882">
                  <c:v>1.887708203157265</c:v>
                </c:pt>
                <c:pt idx="883">
                  <c:v>1.8861578426018795</c:v>
                </c:pt>
                <c:pt idx="884">
                  <c:v>1.8842675298512983</c:v>
                </c:pt>
                <c:pt idx="885">
                  <c:v>1.8828524398457405</c:v>
                </c:pt>
                <c:pt idx="886">
                  <c:v>1.8820063761570711</c:v>
                </c:pt>
                <c:pt idx="887">
                  <c:v>1.8798872707457126</c:v>
                </c:pt>
                <c:pt idx="888">
                  <c:v>1.878406483793885</c:v>
                </c:pt>
                <c:pt idx="889">
                  <c:v>1.8763775208067368</c:v>
                </c:pt>
                <c:pt idx="890">
                  <c:v>1.8764827717911481</c:v>
                </c:pt>
                <c:pt idx="891">
                  <c:v>1.8753430182777082</c:v>
                </c:pt>
                <c:pt idx="892">
                  <c:v>1.8732514831928224</c:v>
                </c:pt>
                <c:pt idx="893">
                  <c:v>1.8764561207543504</c:v>
                </c:pt>
                <c:pt idx="894">
                  <c:v>1.8771963651667944</c:v>
                </c:pt>
                <c:pt idx="895">
                  <c:v>1.9063197600752553</c:v>
                </c:pt>
                <c:pt idx="896">
                  <c:v>1.9047261812849803</c:v>
                </c:pt>
                <c:pt idx="897">
                  <c:v>1.9032807001607308</c:v>
                </c:pt>
                <c:pt idx="898">
                  <c:v>1.9011990704002637</c:v>
                </c:pt>
                <c:pt idx="899">
                  <c:v>1.9058038095749064</c:v>
                </c:pt>
                <c:pt idx="900">
                  <c:v>1.9039881836866517</c:v>
                </c:pt>
                <c:pt idx="901">
                  <c:v>1.9019654788388827</c:v>
                </c:pt>
                <c:pt idx="902">
                  <c:v>1.9005758940396991</c:v>
                </c:pt>
                <c:pt idx="903">
                  <c:v>1.8985158446507562</c:v>
                </c:pt>
                <c:pt idx="904">
                  <c:v>1.897656487354821</c:v>
                </c:pt>
                <c:pt idx="905">
                  <c:v>1.89557337670311</c:v>
                </c:pt>
                <c:pt idx="906">
                  <c:v>1.913282591413892</c:v>
                </c:pt>
                <c:pt idx="907">
                  <c:v>1.9122328577049486</c:v>
                </c:pt>
                <c:pt idx="908">
                  <c:v>1.9101701953182284</c:v>
                </c:pt>
                <c:pt idx="909">
                  <c:v>1.9194759391735077</c:v>
                </c:pt>
                <c:pt idx="910">
                  <c:v>1.9182688055933195</c:v>
                </c:pt>
                <c:pt idx="911">
                  <c:v>1.9170377865491763</c:v>
                </c:pt>
                <c:pt idx="912">
                  <c:v>1.915270208765919</c:v>
                </c:pt>
                <c:pt idx="913">
                  <c:v>1.9169494659091471</c:v>
                </c:pt>
                <c:pt idx="914">
                  <c:v>1.9157081035095862</c:v>
                </c:pt>
                <c:pt idx="915">
                  <c:v>1.9138398002412103</c:v>
                </c:pt>
                <c:pt idx="916">
                  <c:v>1.9131481490256073</c:v>
                </c:pt>
                <c:pt idx="917">
                  <c:v>1.9216479875872998</c:v>
                </c:pt>
                <c:pt idx="918">
                  <c:v>1.9199660752878789</c:v>
                </c:pt>
                <c:pt idx="919">
                  <c:v>1.9179114834397075</c:v>
                </c:pt>
                <c:pt idx="920">
                  <c:v>1.9158291594772565</c:v>
                </c:pt>
                <c:pt idx="921">
                  <c:v>1.9151701194923936</c:v>
                </c:pt>
                <c:pt idx="922">
                  <c:v>1.9149086351528637</c:v>
                </c:pt>
                <c:pt idx="923">
                  <c:v>1.9128761014083244</c:v>
                </c:pt>
                <c:pt idx="924">
                  <c:v>1.9112718141710514</c:v>
                </c:pt>
                <c:pt idx="925">
                  <c:v>1.9092279006030644</c:v>
                </c:pt>
                <c:pt idx="926">
                  <c:v>1.9081881816739328</c:v>
                </c:pt>
                <c:pt idx="927">
                  <c:v>1.9061320207721812</c:v>
                </c:pt>
                <c:pt idx="928">
                  <c:v>1.9046644337396805</c:v>
                </c:pt>
                <c:pt idx="929">
                  <c:v>1.9027401963412718</c:v>
                </c:pt>
                <c:pt idx="930">
                  <c:v>1.9106016227521565</c:v>
                </c:pt>
                <c:pt idx="931">
                  <c:v>1.9085579834381219</c:v>
                </c:pt>
                <c:pt idx="932">
                  <c:v>1.9066953735523711</c:v>
                </c:pt>
                <c:pt idx="933">
                  <c:v>1.905511496609956</c:v>
                </c:pt>
                <c:pt idx="934">
                  <c:v>1.9035523846885734</c:v>
                </c:pt>
                <c:pt idx="935">
                  <c:v>1.9015296739995038</c:v>
                </c:pt>
                <c:pt idx="936">
                  <c:v>1.8995450461533532</c:v>
                </c:pt>
                <c:pt idx="937">
                  <c:v>1.8997588633722111</c:v>
                </c:pt>
                <c:pt idx="938">
                  <c:v>1.8977464036603886</c:v>
                </c:pt>
                <c:pt idx="939">
                  <c:v>1.8980319834448507</c:v>
                </c:pt>
                <c:pt idx="940">
                  <c:v>1.8968879175428113</c:v>
                </c:pt>
                <c:pt idx="941">
                  <c:v>1.8950597672797069</c:v>
                </c:pt>
                <c:pt idx="942">
                  <c:v>1.8934405050395169</c:v>
                </c:pt>
                <c:pt idx="943">
                  <c:v>1.8918387157810355</c:v>
                </c:pt>
                <c:pt idx="944">
                  <c:v>1.8898850599747354</c:v>
                </c:pt>
                <c:pt idx="945">
                  <c:v>1.8878976105829957</c:v>
                </c:pt>
                <c:pt idx="946">
                  <c:v>1.8879436367769911</c:v>
                </c:pt>
                <c:pt idx="947">
                  <c:v>1.887113535992782</c:v>
                </c:pt>
                <c:pt idx="948">
                  <c:v>1.8861498739513864</c:v>
                </c:pt>
                <c:pt idx="949">
                  <c:v>1.8842230216384759</c:v>
                </c:pt>
                <c:pt idx="950">
                  <c:v>1.8835131563296872</c:v>
                </c:pt>
                <c:pt idx="951">
                  <c:v>1.8821915347693485</c:v>
                </c:pt>
                <c:pt idx="952">
                  <c:v>1.8802414970881962</c:v>
                </c:pt>
                <c:pt idx="953">
                  <c:v>1.8845227081428697</c:v>
                </c:pt>
                <c:pt idx="954">
                  <c:v>1.8825969480560225</c:v>
                </c:pt>
                <c:pt idx="955">
                  <c:v>1.8828300148209549</c:v>
                </c:pt>
                <c:pt idx="956">
                  <c:v>1.881314420742271</c:v>
                </c:pt>
                <c:pt idx="957">
                  <c:v>1.8795710231181675</c:v>
                </c:pt>
                <c:pt idx="958">
                  <c:v>1.8778885641664989</c:v>
                </c:pt>
                <c:pt idx="959">
                  <c:v>1.8760794459777286</c:v>
                </c:pt>
                <c:pt idx="960">
                  <c:v>1.8744407874153131</c:v>
                </c:pt>
                <c:pt idx="961">
                  <c:v>1.8741237558381494</c:v>
                </c:pt>
                <c:pt idx="962">
                  <c:v>1.8721791497199867</c:v>
                </c:pt>
                <c:pt idx="963">
                  <c:v>1.8706732420389016</c:v>
                </c:pt>
                <c:pt idx="964">
                  <c:v>1.8756728878879685</c:v>
                </c:pt>
                <c:pt idx="965">
                  <c:v>1.8739558875433575</c:v>
                </c:pt>
                <c:pt idx="966">
                  <c:v>1.8788040315327412</c:v>
                </c:pt>
                <c:pt idx="967">
                  <c:v>1.8979616978255804</c:v>
                </c:pt>
                <c:pt idx="968">
                  <c:v>1.9011448526913837</c:v>
                </c:pt>
                <c:pt idx="969">
                  <c:v>1.89919650057244</c:v>
                </c:pt>
                <c:pt idx="970">
                  <c:v>1.8972875905773234</c:v>
                </c:pt>
                <c:pt idx="971">
                  <c:v>1.90076628668079</c:v>
                </c:pt>
                <c:pt idx="972">
                  <c:v>1.8989874772811173</c:v>
                </c:pt>
                <c:pt idx="973">
                  <c:v>1.8995599992448804</c:v>
                </c:pt>
                <c:pt idx="974">
                  <c:v>1.8981106471926537</c:v>
                </c:pt>
                <c:pt idx="975">
                  <c:v>1.8964343381624145</c:v>
                </c:pt>
                <c:pt idx="976">
                  <c:v>1.8959830552994699</c:v>
                </c:pt>
                <c:pt idx="977">
                  <c:v>1.8951010223160867</c:v>
                </c:pt>
                <c:pt idx="978">
                  <c:v>1.8931653460892452</c:v>
                </c:pt>
                <c:pt idx="979">
                  <c:v>1.8912338223016512</c:v>
                </c:pt>
                <c:pt idx="980">
                  <c:v>1.8926330352245744</c:v>
                </c:pt>
                <c:pt idx="981">
                  <c:v>1.8907267533281418</c:v>
                </c:pt>
                <c:pt idx="982">
                  <c:v>1.8888301253005255</c:v>
                </c:pt>
                <c:pt idx="983">
                  <c:v>1.8881985545901092</c:v>
                </c:pt>
                <c:pt idx="984">
                  <c:v>1.886281601881016</c:v>
                </c:pt>
                <c:pt idx="985">
                  <c:v>1.891949897453681</c:v>
                </c:pt>
                <c:pt idx="986">
                  <c:v>1.8900732894670571</c:v>
                </c:pt>
                <c:pt idx="987">
                  <c:v>1.8888559467147665</c:v>
                </c:pt>
                <c:pt idx="988">
                  <c:v>1.887090379342022</c:v>
                </c:pt>
                <c:pt idx="989">
                  <c:v>1.8852115798053943</c:v>
                </c:pt>
                <c:pt idx="990">
                  <c:v>1.8862389414120146</c:v>
                </c:pt>
                <c:pt idx="991">
                  <c:v>1.8845636992625157</c:v>
                </c:pt>
                <c:pt idx="992">
                  <c:v>1.8857440716141063</c:v>
                </c:pt>
                <c:pt idx="993">
                  <c:v>1.883878083875975</c:v>
                </c:pt>
                <c:pt idx="994">
                  <c:v>1.8839117948767727</c:v>
                </c:pt>
                <c:pt idx="995">
                  <c:v>1.8831550823035961</c:v>
                </c:pt>
                <c:pt idx="996">
                  <c:v>1.8843707718801577</c:v>
                </c:pt>
                <c:pt idx="997">
                  <c:v>1.8857986038887111</c:v>
                </c:pt>
                <c:pt idx="998">
                  <c:v>1.88407249794007</c:v>
                </c:pt>
                <c:pt idx="999">
                  <c:v>1.8871542280532818</c:v>
                </c:pt>
              </c:numCache>
            </c:numRef>
          </c:val>
          <c:smooth val="0"/>
          <c:extLst>
            <c:ext xmlns:c16="http://schemas.microsoft.com/office/drawing/2014/chart" uri="{C3380CC4-5D6E-409C-BE32-E72D297353CC}">
              <c16:uniqueId val="{00000001-E705-4A89-B87C-9F8C59C45110}"/>
            </c:ext>
          </c:extLst>
        </c:ser>
        <c:dLbls>
          <c:showLegendKey val="0"/>
          <c:showVal val="0"/>
          <c:showCatName val="0"/>
          <c:showSerName val="0"/>
          <c:showPercent val="0"/>
          <c:showBubbleSize val="0"/>
        </c:dLbls>
        <c:smooth val="0"/>
        <c:axId val="363110904"/>
        <c:axId val="363109920"/>
      </c:lineChart>
      <c:catAx>
        <c:axId val="363110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109920"/>
        <c:crosses val="autoZero"/>
        <c:auto val="1"/>
        <c:lblAlgn val="ctr"/>
        <c:lblOffset val="100"/>
        <c:noMultiLvlLbl val="0"/>
      </c:catAx>
      <c:valAx>
        <c:axId val="363109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3110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[OldPrivacyDemo.xlsm]Unprotected Summary!PivotTable3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Geography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'Unprotected Summary'!$B$35</c:f>
              <c:strCache>
                <c:ptCount val="1"/>
                <c:pt idx="0">
                  <c:v>Total</c:v>
                </c:pt>
              </c:strCache>
            </c:strRef>
          </c:tx>
          <c:spPr>
            <a:solidFill>
              <a:schemeClr val="accent1"/>
            </a:solidFill>
            <a:ln>
              <a:noFill/>
            </a:ln>
            <a:effectLst/>
          </c:spPr>
          <c:invertIfNegative val="0"/>
          <c:cat>
            <c:strRef>
              <c:f>'Unprotected Summary'!$A$36:$A$56</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'Unprotected Summary'!$B$36:$B$56</c:f>
              <c:numCache>
                <c:formatCode>General</c:formatCode>
                <c:ptCount val="20"/>
                <c:pt idx="0">
                  <c:v>154137</c:v>
                </c:pt>
                <c:pt idx="1">
                  <c:v>64458</c:v>
                </c:pt>
                <c:pt idx="2">
                  <c:v>58191</c:v>
                </c:pt>
                <c:pt idx="3">
                  <c:v>55989</c:v>
                </c:pt>
                <c:pt idx="4">
                  <c:v>25367</c:v>
                </c:pt>
                <c:pt idx="5">
                  <c:v>14152</c:v>
                </c:pt>
                <c:pt idx="6">
                  <c:v>18554</c:v>
                </c:pt>
                <c:pt idx="7">
                  <c:v>47871</c:v>
                </c:pt>
                <c:pt idx="8">
                  <c:v>7640</c:v>
                </c:pt>
                <c:pt idx="9">
                  <c:v>22480</c:v>
                </c:pt>
                <c:pt idx="10">
                  <c:v>32954</c:v>
                </c:pt>
                <c:pt idx="11">
                  <c:v>33785</c:v>
                </c:pt>
                <c:pt idx="12">
                  <c:v>35042</c:v>
                </c:pt>
                <c:pt idx="13">
                  <c:v>26851</c:v>
                </c:pt>
                <c:pt idx="14">
                  <c:v>4098</c:v>
                </c:pt>
                <c:pt idx="15">
                  <c:v>54711</c:v>
                </c:pt>
                <c:pt idx="16">
                  <c:v>25463</c:v>
                </c:pt>
                <c:pt idx="17">
                  <c:v>24897</c:v>
                </c:pt>
                <c:pt idx="18">
                  <c:v>22856</c:v>
                </c:pt>
                <c:pt idx="19">
                  <c:v>3537</c:v>
                </c:pt>
              </c:numCache>
            </c:numRef>
          </c:val>
          <c:extLst>
            <c:ext xmlns:c16="http://schemas.microsoft.com/office/drawing/2014/chart" uri="{C3380CC4-5D6E-409C-BE32-E72D297353CC}">
              <c16:uniqueId val="{00000000-8A9B-498A-9030-ACB1AF83BA3C}"/>
            </c:ext>
          </c:extLst>
        </c:ser>
        <c:dLbls>
          <c:showLegendKey val="0"/>
          <c:showVal val="0"/>
          <c:showCatName val="0"/>
          <c:showSerName val="0"/>
          <c:showPercent val="0"/>
          <c:showBubbleSize val="0"/>
        </c:dLbls>
        <c:gapWidth val="219"/>
        <c:overlap val="-27"/>
        <c:axId val="340714536"/>
        <c:axId val="340713880"/>
      </c:barChart>
      <c:catAx>
        <c:axId val="340714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713880"/>
        <c:crosses val="autoZero"/>
        <c:auto val="1"/>
        <c:lblAlgn val="ctr"/>
        <c:lblOffset val="100"/>
        <c:noMultiLvlLbl val="0"/>
      </c:catAx>
      <c:valAx>
        <c:axId val="340713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07145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[OldPrivacyDemo.xlsm]Unprotected Summary!PivotTable6</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Firm Size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'Unprotected Summary'!$B$20</c:f>
              <c:strCache>
                <c:ptCount val="1"/>
                <c:pt idx="0">
                  <c:v>Total</c:v>
                </c:pt>
              </c:strCache>
            </c:strRef>
          </c:tx>
          <c:spPr>
            <a:solidFill>
              <a:schemeClr val="accent1"/>
            </a:solidFill>
            <a:ln>
              <a:noFill/>
            </a:ln>
            <a:effectLst/>
          </c:spPr>
          <c:invertIfNegative val="0"/>
          <c:cat>
            <c:strRef>
              <c:f>'Unprotected Summary'!$A$21:$A$29</c:f>
              <c:strCache>
                <c:ptCount val="8"/>
                <c:pt idx="0">
                  <c:v>1</c:v>
                </c:pt>
                <c:pt idx="1">
                  <c:v>2</c:v>
                </c:pt>
                <c:pt idx="2">
                  <c:v>3</c:v>
                </c:pt>
                <c:pt idx="3">
                  <c:v>4</c:v>
                </c:pt>
                <c:pt idx="4">
                  <c:v>5</c:v>
                </c:pt>
                <c:pt idx="5">
                  <c:v>6</c:v>
                </c:pt>
                <c:pt idx="6">
                  <c:v>7</c:v>
                </c:pt>
                <c:pt idx="7">
                  <c:v>8</c:v>
                </c:pt>
              </c:strCache>
            </c:strRef>
          </c:cat>
          <c:val>
            <c:numRef>
              <c:f>'Unprotected Summary'!$B$21:$B$29</c:f>
              <c:numCache>
                <c:formatCode>General</c:formatCode>
                <c:ptCount val="8"/>
                <c:pt idx="0">
                  <c:v>248</c:v>
                </c:pt>
                <c:pt idx="1">
                  <c:v>678</c:v>
                </c:pt>
                <c:pt idx="2">
                  <c:v>1280</c:v>
                </c:pt>
                <c:pt idx="3">
                  <c:v>7157</c:v>
                </c:pt>
                <c:pt idx="4">
                  <c:v>11077</c:v>
                </c:pt>
                <c:pt idx="5">
                  <c:v>90372</c:v>
                </c:pt>
                <c:pt idx="6">
                  <c:v>191757</c:v>
                </c:pt>
                <c:pt idx="7">
                  <c:v>430464</c:v>
                </c:pt>
              </c:numCache>
            </c:numRef>
          </c:val>
          <c:extLst>
            <c:ext xmlns:c16="http://schemas.microsoft.com/office/drawing/2014/chart" uri="{C3380CC4-5D6E-409C-BE32-E72D297353CC}">
              <c16:uniqueId val="{00000000-8FE8-453A-8744-A8CB3CB7ECBA}"/>
            </c:ext>
          </c:extLst>
        </c:ser>
        <c:dLbls>
          <c:showLegendKey val="0"/>
          <c:showVal val="0"/>
          <c:showCatName val="0"/>
          <c:showSerName val="0"/>
          <c:showPercent val="0"/>
          <c:showBubbleSize val="0"/>
        </c:dLbls>
        <c:gapWidth val="219"/>
        <c:overlap val="-27"/>
        <c:axId val="453979256"/>
        <c:axId val="453983192"/>
      </c:barChart>
      <c:catAx>
        <c:axId val="453979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983192"/>
        <c:crosses val="autoZero"/>
        <c:auto val="1"/>
        <c:lblAlgn val="ctr"/>
        <c:lblOffset val="100"/>
        <c:noMultiLvlLbl val="0"/>
      </c:catAx>
      <c:valAx>
        <c:axId val="4539831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97925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[OldPrivacyDemo.xlsm]Unprotected Summary!PivotTable1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Industry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'Unprotected Summary'!$B$3</c:f>
              <c:strCache>
                <c:ptCount val="1"/>
                <c:pt idx="0">
                  <c:v>Total</c:v>
                </c:pt>
              </c:strCache>
            </c:strRef>
          </c:tx>
          <c:spPr>
            <a:solidFill>
              <a:schemeClr val="accent1"/>
            </a:solidFill>
            <a:ln>
              <a:noFill/>
            </a:ln>
            <a:effectLst/>
          </c:spPr>
          <c:invertIfNegative val="0"/>
          <c:cat>
            <c:strRef>
              <c:f>'Unprotected Summary'!$A$4:$A$9</c:f>
              <c:strCache>
                <c:ptCount val="5"/>
                <c:pt idx="0">
                  <c:v>1</c:v>
                </c:pt>
                <c:pt idx="1">
                  <c:v>2</c:v>
                </c:pt>
                <c:pt idx="2">
                  <c:v>3</c:v>
                </c:pt>
                <c:pt idx="3">
                  <c:v>4</c:v>
                </c:pt>
                <c:pt idx="4">
                  <c:v>5</c:v>
                </c:pt>
              </c:strCache>
            </c:strRef>
          </c:cat>
          <c:val>
            <c:numRef>
              <c:f>'Unprotected Summary'!$B$4:$B$9</c:f>
              <c:numCache>
                <c:formatCode>General</c:formatCode>
                <c:ptCount val="5"/>
                <c:pt idx="0">
                  <c:v>54070</c:v>
                </c:pt>
                <c:pt idx="1">
                  <c:v>60284</c:v>
                </c:pt>
                <c:pt idx="2">
                  <c:v>114758</c:v>
                </c:pt>
                <c:pt idx="3">
                  <c:v>219249</c:v>
                </c:pt>
                <c:pt idx="4">
                  <c:v>284672</c:v>
                </c:pt>
              </c:numCache>
            </c:numRef>
          </c:val>
          <c:extLst>
            <c:ext xmlns:c16="http://schemas.microsoft.com/office/drawing/2014/chart" uri="{C3380CC4-5D6E-409C-BE32-E72D297353CC}">
              <c16:uniqueId val="{00000000-D4F0-475E-A075-2DFE1C2CA916}"/>
            </c:ext>
          </c:extLst>
        </c:ser>
        <c:dLbls>
          <c:showLegendKey val="0"/>
          <c:showVal val="0"/>
          <c:showCatName val="0"/>
          <c:showSerName val="0"/>
          <c:showPercent val="0"/>
          <c:showBubbleSize val="0"/>
        </c:dLbls>
        <c:gapWidth val="219"/>
        <c:overlap val="-27"/>
        <c:axId val="479951520"/>
        <c:axId val="479948568"/>
      </c:barChart>
      <c:catAx>
        <c:axId val="479951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48568"/>
        <c:crosses val="autoZero"/>
        <c:auto val="1"/>
        <c:lblAlgn val="ctr"/>
        <c:lblOffset val="100"/>
        <c:noMultiLvlLbl val="0"/>
      </c:catAx>
      <c:valAx>
        <c:axId val="4799485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5152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[OldPrivacyDemo.xlsm]Unprotected Summary!PivotTable2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Industry</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'Unprotected Summary'!$D$3</c:f>
              <c:strCache>
                <c:ptCount val="1"/>
                <c:pt idx="0">
                  <c:v>Total</c:v>
                </c:pt>
              </c:strCache>
            </c:strRef>
          </c:tx>
          <c:spPr>
            <a:solidFill>
              <a:schemeClr val="accent1"/>
            </a:solidFill>
            <a:ln>
              <a:noFill/>
            </a:ln>
            <a:effectLst/>
          </c:spPr>
          <c:invertIfNegative val="0"/>
          <c:cat>
            <c:strRef>
              <c:f>'Unprotected Summary'!$C$4:$C$9</c:f>
              <c:strCache>
                <c:ptCount val="5"/>
                <c:pt idx="0">
                  <c:v>1</c:v>
                </c:pt>
                <c:pt idx="1">
                  <c:v>2</c:v>
                </c:pt>
                <c:pt idx="2">
                  <c:v>3</c:v>
                </c:pt>
                <c:pt idx="3">
                  <c:v>4</c:v>
                </c:pt>
                <c:pt idx="4">
                  <c:v>5</c:v>
                </c:pt>
              </c:strCache>
            </c:strRef>
          </c:cat>
          <c:val>
            <c:numRef>
              <c:f>'Unprotected Summary'!$D$4:$D$9</c:f>
              <c:numCache>
                <c:formatCode>General</c:formatCode>
                <c:ptCount val="5"/>
                <c:pt idx="0">
                  <c:v>16</c:v>
                </c:pt>
                <c:pt idx="1">
                  <c:v>31</c:v>
                </c:pt>
                <c:pt idx="2">
                  <c:v>45</c:v>
                </c:pt>
                <c:pt idx="3">
                  <c:v>72</c:v>
                </c:pt>
                <c:pt idx="4">
                  <c:v>86</c:v>
                </c:pt>
              </c:numCache>
            </c:numRef>
          </c:val>
          <c:extLst>
            <c:ext xmlns:c16="http://schemas.microsoft.com/office/drawing/2014/chart" uri="{C3380CC4-5D6E-409C-BE32-E72D297353CC}">
              <c16:uniqueId val="{00000000-5E61-4DE6-BA59-B51AE6CAD6DD}"/>
            </c:ext>
          </c:extLst>
        </c:ser>
        <c:dLbls>
          <c:showLegendKey val="0"/>
          <c:showVal val="0"/>
          <c:showCatName val="0"/>
          <c:showSerName val="0"/>
          <c:showPercent val="0"/>
          <c:showBubbleSize val="0"/>
        </c:dLbls>
        <c:gapWidth val="219"/>
        <c:overlap val="-27"/>
        <c:axId val="479954144"/>
        <c:axId val="479952832"/>
      </c:barChart>
      <c:catAx>
        <c:axId val="47995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52832"/>
        <c:crosses val="autoZero"/>
        <c:auto val="1"/>
        <c:lblAlgn val="ctr"/>
        <c:lblOffset val="100"/>
        <c:noMultiLvlLbl val="0"/>
      </c:catAx>
      <c:valAx>
        <c:axId val="479952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9954144"/>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[OldPrivacyDemo.xlsm]Unprotected Summary!PivotTable4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Firm Size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'Unprotected Summary'!$D$20</c:f>
              <c:strCache>
                <c:ptCount val="1"/>
                <c:pt idx="0">
                  <c:v>Total</c:v>
                </c:pt>
              </c:strCache>
            </c:strRef>
          </c:tx>
          <c:spPr>
            <a:solidFill>
              <a:schemeClr val="accent1"/>
            </a:solidFill>
            <a:ln>
              <a:noFill/>
            </a:ln>
            <a:effectLst/>
          </c:spPr>
          <c:invertIfNegative val="0"/>
          <c:cat>
            <c:strRef>
              <c:f>'Unprotected Summary'!$C$21:$C$29</c:f>
              <c:strCache>
                <c:ptCount val="8"/>
                <c:pt idx="0">
                  <c:v>1</c:v>
                </c:pt>
                <c:pt idx="1">
                  <c:v>2</c:v>
                </c:pt>
                <c:pt idx="2">
                  <c:v>3</c:v>
                </c:pt>
                <c:pt idx="3">
                  <c:v>4</c:v>
                </c:pt>
                <c:pt idx="4">
                  <c:v>5</c:v>
                </c:pt>
                <c:pt idx="5">
                  <c:v>6</c:v>
                </c:pt>
                <c:pt idx="6">
                  <c:v>7</c:v>
                </c:pt>
                <c:pt idx="7">
                  <c:v>8</c:v>
                </c:pt>
              </c:strCache>
            </c:strRef>
          </c:cat>
          <c:val>
            <c:numRef>
              <c:f>'Unprotected Summary'!$D$21:$D$29</c:f>
              <c:numCache>
                <c:formatCode>General</c:formatCode>
                <c:ptCount val="8"/>
                <c:pt idx="0">
                  <c:v>71</c:v>
                </c:pt>
                <c:pt idx="1">
                  <c:v>28</c:v>
                </c:pt>
                <c:pt idx="2">
                  <c:v>18</c:v>
                </c:pt>
                <c:pt idx="3">
                  <c:v>29</c:v>
                </c:pt>
                <c:pt idx="4">
                  <c:v>16</c:v>
                </c:pt>
                <c:pt idx="5">
                  <c:v>35</c:v>
                </c:pt>
                <c:pt idx="6">
                  <c:v>26</c:v>
                </c:pt>
                <c:pt idx="7">
                  <c:v>27</c:v>
                </c:pt>
              </c:numCache>
            </c:numRef>
          </c:val>
          <c:extLst>
            <c:ext xmlns:c16="http://schemas.microsoft.com/office/drawing/2014/chart" uri="{C3380CC4-5D6E-409C-BE32-E72D297353CC}">
              <c16:uniqueId val="{00000000-5EFF-447F-9AA3-85D2B297FC2F}"/>
            </c:ext>
          </c:extLst>
        </c:ser>
        <c:dLbls>
          <c:showLegendKey val="0"/>
          <c:showVal val="0"/>
          <c:showCatName val="0"/>
          <c:showSerName val="0"/>
          <c:showPercent val="0"/>
          <c:showBubbleSize val="0"/>
        </c:dLbls>
        <c:gapWidth val="219"/>
        <c:overlap val="-27"/>
        <c:axId val="395322928"/>
        <c:axId val="395325552"/>
      </c:barChart>
      <c:catAx>
        <c:axId val="39532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25552"/>
        <c:crosses val="autoZero"/>
        <c:auto val="1"/>
        <c:lblAlgn val="ctr"/>
        <c:lblOffset val="100"/>
        <c:noMultiLvlLbl val="0"/>
      </c:catAx>
      <c:valAx>
        <c:axId val="395325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5322928"/>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[OldPrivacyDemo.xlsm]Unprotected Summary!PivotTable5</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Geography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'Unprotected Summary'!$D$35</c:f>
              <c:strCache>
                <c:ptCount val="1"/>
                <c:pt idx="0">
                  <c:v>Total</c:v>
                </c:pt>
              </c:strCache>
            </c:strRef>
          </c:tx>
          <c:spPr>
            <a:solidFill>
              <a:schemeClr val="accent1"/>
            </a:solidFill>
            <a:ln>
              <a:noFill/>
            </a:ln>
            <a:effectLst/>
          </c:spPr>
          <c:invertIfNegative val="0"/>
          <c:cat>
            <c:strRef>
              <c:f>'Unprotected Summary'!$C$36:$C$56</c:f>
              <c:strCache>
                <c:ptCount val="2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strCache>
            </c:strRef>
          </c:cat>
          <c:val>
            <c:numRef>
              <c:f>'Unprotected Summary'!$D$36:$D$56</c:f>
              <c:numCache>
                <c:formatCode>General</c:formatCode>
                <c:ptCount val="20"/>
                <c:pt idx="0">
                  <c:v>70</c:v>
                </c:pt>
                <c:pt idx="1">
                  <c:v>16</c:v>
                </c:pt>
                <c:pt idx="2">
                  <c:v>23</c:v>
                </c:pt>
                <c:pt idx="3">
                  <c:v>16</c:v>
                </c:pt>
                <c:pt idx="4">
                  <c:v>10</c:v>
                </c:pt>
                <c:pt idx="5">
                  <c:v>11</c:v>
                </c:pt>
                <c:pt idx="6">
                  <c:v>10</c:v>
                </c:pt>
                <c:pt idx="7">
                  <c:v>7</c:v>
                </c:pt>
                <c:pt idx="8">
                  <c:v>4</c:v>
                </c:pt>
                <c:pt idx="9">
                  <c:v>11</c:v>
                </c:pt>
                <c:pt idx="10">
                  <c:v>12</c:v>
                </c:pt>
                <c:pt idx="11">
                  <c:v>10</c:v>
                </c:pt>
                <c:pt idx="12">
                  <c:v>7</c:v>
                </c:pt>
                <c:pt idx="13">
                  <c:v>4</c:v>
                </c:pt>
                <c:pt idx="14">
                  <c:v>3</c:v>
                </c:pt>
                <c:pt idx="15">
                  <c:v>5</c:v>
                </c:pt>
                <c:pt idx="16">
                  <c:v>10</c:v>
                </c:pt>
                <c:pt idx="17">
                  <c:v>6</c:v>
                </c:pt>
                <c:pt idx="18">
                  <c:v>7</c:v>
                </c:pt>
                <c:pt idx="19">
                  <c:v>8</c:v>
                </c:pt>
              </c:numCache>
            </c:numRef>
          </c:val>
          <c:extLst>
            <c:ext xmlns:c16="http://schemas.microsoft.com/office/drawing/2014/chart" uri="{C3380CC4-5D6E-409C-BE32-E72D297353CC}">
              <c16:uniqueId val="{00000000-1BF2-41FF-8186-A597292AD28B}"/>
            </c:ext>
          </c:extLst>
        </c:ser>
        <c:dLbls>
          <c:showLegendKey val="0"/>
          <c:showVal val="0"/>
          <c:showCatName val="0"/>
          <c:showSerName val="0"/>
          <c:showPercent val="0"/>
          <c:showBubbleSize val="0"/>
        </c:dLbls>
        <c:gapWidth val="219"/>
        <c:overlap val="-27"/>
        <c:axId val="484604136"/>
        <c:axId val="484606104"/>
      </c:barChart>
      <c:catAx>
        <c:axId val="4846041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6104"/>
        <c:crosses val="autoZero"/>
        <c:auto val="1"/>
        <c:lblAlgn val="ctr"/>
        <c:lblOffset val="100"/>
        <c:noMultiLvlLbl val="0"/>
      </c:catAx>
      <c:valAx>
        <c:axId val="4846061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46041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rich>
          <a:bodyPr spcFirstLastPara="1" vertOverflow="ellipsis" wrap="square" lIns="0" tIns="0" rIns="0" bIns="0" anchor="ctr" anchorCtr="1"/>
          <a:lstStyle/>
          <a:p>
            <a:pPr algn="ctr">
              <a:defRPr/>
            </a:pPr>
            <a:r>
              <a:rPr lang="en-US"/>
              <a:t>Laplace Distribution</a:t>
            </a:r>
          </a:p>
        </cx:rich>
      </cx:tx>
    </cx:title>
    <cx:plotArea>
      <cx:plotAreaRegion>
        <cx:series layoutId="clusteredColumn" uniqueId="{8A10086A-85BB-452A-8052-8723B29896C1}">
          <cx:tx>
            <cx:txData>
              <cx:f>_xlchart.v1.0</cx:f>
              <cx:v>Lap. Dist. Samples, Scale = 1</cx:v>
            </cx:txData>
          </cx:tx>
          <cx:dataId val="0"/>
          <cx:layoutPr>
            <cx:binning intervalClosed="r"/>
          </cx:layoutPr>
        </cx:series>
      </cx:plotAreaRegion>
      <cx:axis id="0">
        <cx:catScaling gapWidth="0"/>
        <cx:title>
          <cx:tx>
            <cx:rich>
              <a:bodyPr spcFirstLastPara="1" vertOverflow="ellipsis" wrap="square" lIns="0" tIns="0" rIns="0" bIns="0" anchor="ctr" anchorCtr="1"/>
              <a:lstStyle/>
              <a:p>
                <a:pPr algn="ctr">
                  <a:defRPr/>
                </a:pPr>
                <a:r>
                  <a:rPr lang="en-US"/>
                  <a:t>Bin Sizes</a:t>
                </a:r>
              </a:p>
            </cx:rich>
          </cx:tx>
        </cx:title>
        <cx:tickLabels/>
        <cx:numFmt formatCode="#,##0.0" sourceLinked="0"/>
      </cx:axis>
      <cx:axis id="1">
        <cx:valScaling/>
        <cx:title>
          <cx:tx>
            <cx:rich>
              <a:bodyPr spcFirstLastPara="1" vertOverflow="ellipsis" wrap="square" lIns="0" tIns="0" rIns="0" bIns="0" anchor="ctr" anchorCtr="1"/>
              <a:lstStyle/>
              <a:p>
                <a:pPr algn="ctr">
                  <a:defRPr/>
                </a:pPr>
                <a:r>
                  <a:rPr lang="en-US"/>
                  <a:t>Counts per Bin</a:t>
                </a:r>
              </a:p>
            </cx:rich>
          </cx:tx>
        </cx:title>
        <cx:majorGridlines/>
        <cx:tickLabels/>
      </cx:axis>
    </cx:plotArea>
    <cx:legend pos="r" align="min" overlay="1">
      <cx:spPr>
        <a:solidFill>
          <a:schemeClr val="lt1"/>
        </a:solidFill>
        <a:ln>
          <a:solidFill>
            <a:schemeClr val="tx1"/>
          </a:solidFill>
        </a:ln>
      </cx:spPr>
    </cx:legend>
  </cx:chart>
  <cx:spPr>
    <a:ln>
      <a:solidFill>
        <a:sysClr val="windowText" lastClr="000000"/>
      </a:solidFill>
    </a:ln>
  </cx:spPr>
  <cx:clrMapOvr bg1="lt1" tx1="dk1" bg2="lt2" tx2="dk2" accent1="accent1" accent2="accent2" accent3="accent3" accent4="accent4" accent5="accent5" accent6="accent6" hlink="hlink" folHlink="folHlink"/>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numDim type="val">
        <cx:f>_xlchart.v1.3</cx:f>
      </cx:numDim>
    </cx:data>
  </cx:chartData>
  <cx:chart>
    <cx:title pos="t" align="ctr" overlay="0">
      <cx:tx>
        <cx:rich>
          <a:bodyPr spcFirstLastPara="1" vertOverflow="ellipsis" wrap="square" lIns="0" tIns="0" rIns="0" bIns="0" anchor="ctr" anchorCtr="1"/>
          <a:lstStyle/>
          <a:p>
            <a:pPr algn="ctr">
              <a:defRPr/>
            </a:pPr>
            <a:r>
              <a:rPr lang="en-US"/>
              <a:t>Histogram of Draws from Single Sided Geometric Distribution</a:t>
            </a:r>
          </a:p>
        </cx:rich>
      </cx:tx>
    </cx:title>
    <cx:plotArea>
      <cx:plotAreaRegion>
        <cx:series layoutId="clusteredColumn" uniqueId="{5E50DD79-5711-40AD-8755-EC89EBBE5C04}">
          <cx:dataId val="0"/>
          <cx:layoutPr>
            <cx:binning intervalClosed="r"/>
          </cx:layoutPr>
        </cx:series>
      </cx:plotAreaRegion>
      <cx:axis id="0">
        <cx:catScaling gapWidth="0"/>
        <cx:tickLabels/>
      </cx:axis>
      <cx:axis id="1">
        <cx:valScaling/>
        <cx:majorGridlines/>
        <cx:tickLabels/>
      </cx:axis>
    </cx:plotArea>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chartData>
  <cx:chart>
    <cx:title pos="t" align="ctr" overlay="0">
      <cx:tx>
        <cx:rich>
          <a:bodyPr spcFirstLastPara="1" vertOverflow="ellipsis" wrap="square" lIns="0" tIns="0" rIns="0" bIns="0" anchor="ctr" anchorCtr="1"/>
          <a:lstStyle/>
          <a:p>
            <a:pPr algn="ctr">
              <a:defRPr/>
            </a:pPr>
            <a:r>
              <a:rPr lang="en-US"/>
              <a:t>Histogram of Draws from Two Sided Geometric Distribution</a:t>
            </a:r>
          </a:p>
        </cx:rich>
      </cx:tx>
    </cx:title>
    <cx:plotArea>
      <cx:plotAreaRegion>
        <cx:series layoutId="clusteredColumn" uniqueId="{F7DDF8FE-2170-4626-88CB-DD1F35D6D33F}">
          <cx:dataId val="0"/>
          <cx:layoutPr>
            <cx:binning intervalClosed="r"/>
          </cx:layoutPr>
        </cx:series>
      </cx:plotAreaRegion>
      <cx:axis id="0">
        <cx:catScaling gapWidth="0"/>
        <cx:tickLabels/>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microsoft.com/office/2014/relationships/chartEx" Target="../charts/chartEx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9.xml.rels><?xml version="1.0" encoding="UTF-8" standalone="yes"?>
<Relationships xmlns="http://schemas.openxmlformats.org/package/2006/relationships"><Relationship Id="rId2" Type="http://schemas.microsoft.com/office/2014/relationships/chartEx" Target="../charts/chartEx3.xml"/><Relationship Id="rId1"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7267575" cy="8907780"/>
    <xdr:sp macro="" textlink="">
      <xdr:nvSpPr>
        <xdr:cNvPr id="2" name="TextBox 1"/>
        <xdr:cNvSpPr txBox="1"/>
      </xdr:nvSpPr>
      <xdr:spPr>
        <a:xfrm>
          <a:off x="0" y="0"/>
          <a:ext cx="7267575" cy="8907780"/>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b="1"/>
            <a:t>Differential Privacy Demo</a:t>
          </a:r>
          <a:r>
            <a:rPr lang="en-US" sz="1400" b="1" baseline="0"/>
            <a:t> Workbook</a:t>
          </a:r>
        </a:p>
        <a:p>
          <a:endParaRPr lang="en-US" sz="1100" baseline="0"/>
        </a:p>
        <a:p>
          <a:r>
            <a:rPr lang="en-US" sz="1100" b="1" baseline="0">
              <a:solidFill>
                <a:srgbClr val="FF0000"/>
              </a:solidFill>
            </a:rPr>
            <a:t>(Macros must be enabled for this workbook to function properly.)</a:t>
          </a:r>
        </a:p>
        <a:p>
          <a:endParaRPr lang="en-US" sz="1100" baseline="0"/>
        </a:p>
        <a:p>
          <a:r>
            <a:rPr lang="en-US" sz="1100" baseline="0"/>
            <a:t>This workbook was developed to support a training workshop on basic implementations of Differential Privacy (DP). So while it discusses a simple Laplace solution to protecting counts, the goal is to address problems specific to highly skewed data associated with businesses (e.g. publishing employment count data).</a:t>
          </a:r>
        </a:p>
        <a:p>
          <a:endParaRPr lang="en-US" sz="1100" baseline="0"/>
        </a:p>
        <a:p>
          <a:r>
            <a:rPr lang="en-US" sz="1100" baseline="0"/>
            <a:t>Additionally, this is not meant as a substitute for reviewing the theoretical background of DP (or of the Pufferfish framework). Rather it is an overview of implementing some DP solutions and evaluating the quality of the data, much as an engineer takes established physical theory and applies it to a specific problem.</a:t>
          </a:r>
        </a:p>
        <a:p>
          <a:endParaRPr lang="en-US" sz="1100" baseline="0"/>
        </a:p>
        <a:p>
          <a:r>
            <a:rPr lang="en-US" sz="1100" b="1" baseline="0"/>
            <a:t>For primers on the theory of DP and some approaches and applications, one might review the following sources:</a:t>
          </a:r>
        </a:p>
        <a:p>
          <a:r>
            <a:rPr lang="en-US" sz="1100"/>
            <a:t>* </a:t>
          </a:r>
          <a:r>
            <a:rPr lang="en-US" sz="1100">
              <a:solidFill>
                <a:schemeClr val="tx1"/>
              </a:solidFill>
              <a:effectLst/>
              <a:latin typeface="+mn-lt"/>
              <a:ea typeface="+mn-ea"/>
              <a:cs typeface="+mn-cs"/>
            </a:rPr>
            <a:t>Dwork, C., &amp; Roth, A. (2014). The Algorithmic Foundations of Differential Privacy. </a:t>
          </a:r>
          <a:r>
            <a:rPr lang="en-US" sz="1100" i="1">
              <a:solidFill>
                <a:schemeClr val="tx1"/>
              </a:solidFill>
              <a:effectLst/>
              <a:latin typeface="+mn-lt"/>
              <a:ea typeface="+mn-ea"/>
              <a:cs typeface="+mn-cs"/>
            </a:rPr>
            <a:t>Foundations and Trends in Theoretical Computer Science, 9</a:t>
          </a:r>
          <a:r>
            <a:rPr lang="en-US" sz="1100">
              <a:solidFill>
                <a:schemeClr val="tx1"/>
              </a:solidFill>
              <a:effectLst/>
              <a:latin typeface="+mn-lt"/>
              <a:ea typeface="+mn-ea"/>
              <a:cs typeface="+mn-cs"/>
            </a:rPr>
            <a:t>(3-4), 1-277. doi:10.1561/0400000042 Retrieved from https://www.cis.upenn.edu/~aaroth/Papers/privacybook.pdf</a:t>
          </a:r>
        </a:p>
        <a:p>
          <a:r>
            <a:rPr lang="en-US" sz="1100"/>
            <a:t>* Kobbi Nissim, Thomas Steinke, Alexandra Wood, Micah Altman, Aaron Bembenek, Mark Bun, Marco Gaboardi, David O'Brien, and Salil Vadhan. Forthcoming. “Differential Privacy: A Primer for a Non-technical Audience (Preliminary Version).” Vanderbilt Journal of Entertainment and Technology Law. Retrieved from https://privacytools.seas.harvard.edu/publications/differential-privacy-primer-non-technical-audience-preliminary-version</a:t>
          </a:r>
        </a:p>
        <a:p>
          <a:r>
            <a:rPr lang="en-US" sz="1100"/>
            <a:t>* </a:t>
          </a:r>
          <a:r>
            <a:rPr lang="en-US" sz="1100">
              <a:solidFill>
                <a:schemeClr val="tx1"/>
              </a:solidFill>
              <a:effectLst/>
              <a:latin typeface="+mn-lt"/>
              <a:ea typeface="+mn-ea"/>
              <a:cs typeface="+mn-cs"/>
            </a:rPr>
            <a:t>Kifer, D., and Machanavajjhala, A. (2014). Pufferfish: A Framework for Mathematical Privacy Definitions. </a:t>
          </a:r>
          <a:r>
            <a:rPr lang="en-US" sz="1100" i="1">
              <a:solidFill>
                <a:schemeClr val="tx1"/>
              </a:solidFill>
              <a:effectLst/>
              <a:latin typeface="+mn-lt"/>
              <a:ea typeface="+mn-ea"/>
              <a:cs typeface="+mn-cs"/>
            </a:rPr>
            <a:t>ACM Trans. Database Syst.</a:t>
          </a:r>
          <a:r>
            <a:rPr lang="en-US" sz="1100">
              <a:solidFill>
                <a:schemeClr val="tx1"/>
              </a:solidFill>
              <a:effectLst/>
              <a:latin typeface="+mn-lt"/>
              <a:ea typeface="+mn-ea"/>
              <a:cs typeface="+mn-cs"/>
            </a:rPr>
            <a:t>, 3:1-3:36. Retrieved from https://users.cs.duke.edu/~ashwin/pubs/pufferfish_TODS.pdf</a:t>
          </a:r>
        </a:p>
        <a:p>
          <a:r>
            <a:rPr lang="en-US" sz="1100"/>
            <a:t>* </a:t>
          </a:r>
          <a:r>
            <a:rPr lang="en-US" sz="1100">
              <a:solidFill>
                <a:schemeClr val="tx1"/>
              </a:solidFill>
              <a:effectLst/>
              <a:latin typeface="+mn-lt"/>
              <a:ea typeface="+mn-ea"/>
              <a:cs typeface="+mn-cs"/>
            </a:rPr>
            <a:t>Haney, S., Machanavajjhala, A., Abowd, J. M., Graham, M., Kutzbach, M., &amp; Vilhuber, L. (2017). Utility Cost of Formal Privacy for Releasing National Employer-Employee Statistics. </a:t>
          </a:r>
          <a:r>
            <a:rPr lang="en-US" sz="1100" i="1">
              <a:solidFill>
                <a:schemeClr val="tx1"/>
              </a:solidFill>
              <a:effectLst/>
              <a:latin typeface="+mn-lt"/>
              <a:ea typeface="+mn-ea"/>
              <a:cs typeface="+mn-cs"/>
            </a:rPr>
            <a:t>Proceedings of the 2017 ACM International Conference on Management of Data</a:t>
          </a:r>
          <a:r>
            <a:rPr lang="en-US" sz="1100">
              <a:solidFill>
                <a:schemeClr val="tx1"/>
              </a:solidFill>
              <a:effectLst/>
              <a:latin typeface="+mn-lt"/>
              <a:ea typeface="+mn-ea"/>
              <a:cs typeface="+mn-cs"/>
            </a:rPr>
            <a:t> (pp. 1339-1354). New York, NY, USA: ACM. Retrieved from https://dl.acm.org/citation.cfm?id=3035940 </a:t>
          </a:r>
        </a:p>
        <a:p>
          <a:r>
            <a:rPr lang="en-US" sz="1100">
              <a:solidFill>
                <a:schemeClr val="tx1"/>
              </a:solidFill>
              <a:effectLst/>
              <a:latin typeface="+mn-lt"/>
              <a:ea typeface="+mn-ea"/>
              <a:cs typeface="+mn-cs"/>
            </a:rPr>
            <a:t>* Ghosh,</a:t>
          </a:r>
          <a:r>
            <a:rPr lang="en-US" sz="1100" baseline="0">
              <a:solidFill>
                <a:schemeClr val="tx1"/>
              </a:solidFill>
              <a:effectLst/>
              <a:latin typeface="+mn-lt"/>
              <a:ea typeface="+mn-ea"/>
              <a:cs typeface="+mn-cs"/>
            </a:rPr>
            <a:t> S., T. Roughgarden, and M Sundararajan. "Universally Utility-Maximizing Privacy Mechanisms." </a:t>
          </a:r>
          <a:r>
            <a:rPr lang="en-US" i="1"/>
            <a:t>SIAM J. Comput</a:t>
          </a:r>
          <a:r>
            <a:rPr lang="en-US"/>
            <a:t>. 41-6 (2012), pp. 1673-1693. Retrieved</a:t>
          </a:r>
          <a:r>
            <a:rPr lang="en-US" baseline="0"/>
            <a:t> from https://theory.stanford.edu/~tim/papers/priv.pdf</a:t>
          </a:r>
          <a:r>
            <a:rPr lang="en-US" sz="1100" baseline="0">
              <a:solidFill>
                <a:schemeClr val="tx1"/>
              </a:solidFill>
              <a:effectLst/>
              <a:latin typeface="+mn-lt"/>
              <a:ea typeface="+mn-ea"/>
              <a:cs typeface="+mn-cs"/>
            </a:rPr>
            <a:t> </a:t>
          </a:r>
          <a:endParaRPr lang="en-US" sz="1100">
            <a:solidFill>
              <a:schemeClr val="tx1"/>
            </a:solidFill>
            <a:effectLst/>
            <a:latin typeface="+mn-lt"/>
            <a:ea typeface="+mn-ea"/>
            <a:cs typeface="+mn-cs"/>
          </a:endParaRPr>
        </a:p>
        <a:p>
          <a:endParaRPr lang="en-US" sz="1100"/>
        </a:p>
        <a:p>
          <a:r>
            <a:rPr lang="en-US" sz="1100" b="1"/>
            <a:t>Notes on this workbook:</a:t>
          </a:r>
        </a:p>
        <a:p>
          <a:r>
            <a:rPr lang="en-US" sz="1100"/>
            <a:t>This workbook is completely editable. However there</a:t>
          </a:r>
          <a:r>
            <a:rPr lang="en-US" sz="1100" baseline="0"/>
            <a:t> are a few features to which one should pay attention:</a:t>
          </a:r>
          <a:endParaRPr lang="en-US" sz="1100"/>
        </a:p>
        <a:p>
          <a:r>
            <a:rPr lang="en-US" sz="1100"/>
            <a:t>*</a:t>
          </a:r>
          <a:r>
            <a:rPr lang="en-US" sz="1100" baseline="0"/>
            <a:t> Green cells are meant to be edited as a means to test different configurations/parameters.</a:t>
          </a:r>
        </a:p>
        <a:p>
          <a:r>
            <a:rPr lang="en-US" sz="1100" baseline="0"/>
            <a:t>* Orange cells are highlighted as points of interest, but they also may be edited to change the configuration.</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Red cells highlight protected counts that are negative (typically we don't think of negative counts as valid, but they are permitted within these DP approaches). </a:t>
          </a:r>
          <a:r>
            <a:rPr lang="en-US" sz="1100">
              <a:solidFill>
                <a:schemeClr val="tx1"/>
              </a:solidFill>
              <a:effectLst/>
              <a:latin typeface="+mn-lt"/>
              <a:ea typeface="+mn-ea"/>
              <a:cs typeface="+mn-cs"/>
            </a:rPr>
            <a:t>Recall from the DP literature that, so long as we don't look at the true data again, we can always do whatever we want to the output data (this is known as post-processing).</a:t>
          </a:r>
          <a:r>
            <a:rPr lang="en-US" sz="1100" baseline="0">
              <a:solidFill>
                <a:schemeClr val="tx1"/>
              </a:solidFill>
              <a:effectLst/>
              <a:latin typeface="+mn-lt"/>
              <a:ea typeface="+mn-ea"/>
              <a:cs typeface="+mn-cs"/>
            </a:rPr>
            <a:t> </a:t>
          </a:r>
          <a:r>
            <a:rPr lang="en-US" sz="1100" baseline="0"/>
            <a:t>Post-processing of negative results (setting then to zero) is allowable without affecting the privacy - however, it will impact quality.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Many of the randomized/pivot table features will update automatically when any cell is changed. However, the "Basic Laplace Implementation" tab has nested pivot tables which required a special macro to update following a change. This should happen without a user having to take any special actions.</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 The methods for generating noise/sampling into distributions should </a:t>
          </a:r>
          <a:r>
            <a:rPr lang="en-US" sz="1100" b="1" baseline="0"/>
            <a:t>not</a:t>
          </a:r>
          <a:r>
            <a:rPr lang="en-US" sz="1100" baseline="0"/>
            <a:t> be assumed to be efficient. These methods were used for clarity, and more efficient implementations likely exist. Additionally, the implementations of these methods are "good enough" for demonstration, but may not have the numeric precision necessary for protecting actual data. Be aware that precision/sampling implemetation problems can compromise DP implementations.</a:t>
          </a:r>
        </a:p>
        <a:p>
          <a:endParaRPr lang="en-US" sz="1100" baseline="0"/>
        </a:p>
        <a:p>
          <a:r>
            <a:rPr lang="en-US" sz="1100" baseline="0"/>
            <a:t>Created by Matthew Graham</a:t>
          </a:r>
        </a:p>
        <a:p>
          <a:r>
            <a:rPr lang="en-US" sz="1100"/>
            <a:t>Last updated on November 22</a:t>
          </a:r>
          <a:r>
            <a:rPr lang="en-US" sz="1100" baseline="0"/>
            <a:t>, 2019</a:t>
          </a:r>
        </a:p>
        <a:p>
          <a:endParaRPr lang="en-US" sz="1100" baseline="0"/>
        </a:p>
        <a:p>
          <a:r>
            <a:rPr lang="en-US" sz="1100" baseline="0"/>
            <a:t>Changes:</a:t>
          </a:r>
        </a:p>
        <a:p>
          <a:r>
            <a:rPr lang="en-US" sz="1100" baseline="0"/>
            <a:t>* 5/21/2019 - Added a running variance plot on the Laplace Distribution Ex. tab.</a:t>
          </a:r>
        </a:p>
        <a:p>
          <a:r>
            <a:rPr lang="en-US" sz="1100" baseline="0"/>
            <a:t>* 11/22/2019 - Added a tab on the Geometric Distribution. Added/clarified notes on other tabs.</a:t>
          </a:r>
          <a:endParaRPr 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11</xdr:col>
      <xdr:colOff>514350</xdr:colOff>
      <xdr:row>2</xdr:row>
      <xdr:rowOff>15240</xdr:rowOff>
    </xdr:from>
    <xdr:to>
      <xdr:col>23</xdr:col>
      <xdr:colOff>586740</xdr:colOff>
      <xdr:row>28</xdr:row>
      <xdr:rowOff>7620</xdr:rowOff>
    </xdr:to>
    <mc:AlternateContent xmlns:mc="http://schemas.openxmlformats.org/markup-compatibility/2006">
      <mc:Choice xmlns:cx1="http://schemas.microsoft.com/office/drawing/2015/9/8/chartex" Requires="cx1">
        <xdr:graphicFrame macro="">
          <xdr:nvGraphicFramePr>
            <xdr:cNvPr id="2" name="Chart 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1243965</xdr:colOff>
      <xdr:row>13</xdr:row>
      <xdr:rowOff>100965</xdr:rowOff>
    </xdr:from>
    <xdr:to>
      <xdr:col>11</xdr:col>
      <xdr:colOff>337185</xdr:colOff>
      <xdr:row>43</xdr:row>
      <xdr:rowOff>47625</xdr:rowOff>
    </xdr:to>
    <mc:AlternateContent xmlns:mc="http://schemas.openxmlformats.org/markup-compatibility/2006" xmlns:a14="http://schemas.microsoft.com/office/drawing/2010/main">
      <mc:Choice Requires="a14">
        <xdr:sp macro="" textlink="">
          <xdr:nvSpPr>
            <xdr:cNvPr id="3" name="TextBox 2"/>
            <xdr:cNvSpPr txBox="1"/>
          </xdr:nvSpPr>
          <xdr:spPr>
            <a:xfrm>
              <a:off x="3613785" y="2676525"/>
              <a:ext cx="4175760" cy="543306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Sampling</a:t>
              </a:r>
              <a:r>
                <a:rPr lang="en-US" sz="1400" b="1" baseline="0"/>
                <a:t> from the Laplace Distribution</a:t>
              </a:r>
              <a:endParaRPr lang="en-US" sz="1400" b="1"/>
            </a:p>
            <a:p>
              <a:r>
                <a:rPr lang="en-US" sz="1100"/>
                <a:t>The Laplace distribution</a:t>
              </a:r>
              <a:r>
                <a:rPr lang="en-US" sz="1100" baseline="0"/>
                <a:t> is described by the equation:</a:t>
              </a:r>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𝑥</m:t>
                        </m:r>
                      </m:e>
                      <m:e>
                        <m:r>
                          <a:rPr lang="en-US" sz="1100" b="0" i="1">
                            <a:latin typeface="Cambria Math" panose="02040503050406030204" pitchFamily="18" charset="0"/>
                            <a:ea typeface="Cambria Math" panose="02040503050406030204" pitchFamily="18" charset="0"/>
                          </a:rPr>
                          <m:t>𝜇</m:t>
                        </m:r>
                        <m:r>
                          <a:rPr lang="en-US" sz="1100" b="0" i="1">
                            <a:latin typeface="Cambria Math" panose="02040503050406030204" pitchFamily="18" charset="0"/>
                          </a:rPr>
                          <m:t>,</m:t>
                        </m:r>
                        <m:r>
                          <a:rPr lang="en-US" sz="1100" b="0" i="1">
                            <a:latin typeface="Cambria Math" panose="02040503050406030204" pitchFamily="18" charset="0"/>
                          </a:rPr>
                          <m:t>𝑏</m:t>
                        </m:r>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2</m:t>
                        </m:r>
                        <m:r>
                          <a:rPr lang="en-US" sz="1100" b="0" i="1">
                            <a:latin typeface="Cambria Math" panose="02040503050406030204" pitchFamily="18" charset="0"/>
                          </a:rPr>
                          <m:t>𝑏</m:t>
                        </m:r>
                      </m:den>
                    </m:f>
                    <m:sSup>
                      <m:sSupPr>
                        <m:ctrlPr>
                          <a:rPr lang="en-US" sz="1100" b="0" i="1">
                            <a:latin typeface="Cambria Math" panose="02040503050406030204" pitchFamily="18" charset="0"/>
                          </a:rPr>
                        </m:ctrlPr>
                      </m:sSupPr>
                      <m:e>
                        <m:r>
                          <a:rPr lang="en-US" sz="1100" b="0" i="1">
                            <a:latin typeface="Cambria Math" panose="02040503050406030204" pitchFamily="18" charset="0"/>
                          </a:rPr>
                          <m:t>𝑒</m:t>
                        </m:r>
                      </m:e>
                      <m:sup>
                        <m:d>
                          <m:dPr>
                            <m:ctrlPr>
                              <a:rPr lang="en-US" sz="1100" b="0" i="1">
                                <a:latin typeface="Cambria Math" panose="02040503050406030204" pitchFamily="18" charset="0"/>
                              </a:rPr>
                            </m:ctrlPr>
                          </m:dPr>
                          <m:e>
                            <m:r>
                              <a:rPr lang="en-US" sz="1100" b="0" i="1">
                                <a:latin typeface="Cambria Math" panose="02040503050406030204" pitchFamily="18" charset="0"/>
                              </a:rPr>
                              <m:t>−</m:t>
                            </m:r>
                            <m:f>
                              <m:fPr>
                                <m:ctrlPr>
                                  <a:rPr lang="en-US" sz="1100" b="0" i="1">
                                    <a:latin typeface="Cambria Math" panose="02040503050406030204" pitchFamily="18" charset="0"/>
                                  </a:rPr>
                                </m:ctrlPr>
                              </m:fPr>
                              <m:num>
                                <m:d>
                                  <m:dPr>
                                    <m:begChr m:val="|"/>
                                    <m:endChr m:val="|"/>
                                    <m:ctrlPr>
                                      <a:rPr lang="en-US" sz="1100" b="0" i="1">
                                        <a:latin typeface="Cambria Math" panose="02040503050406030204" pitchFamily="18" charset="0"/>
                                      </a:rPr>
                                    </m:ctrlPr>
                                  </m:dPr>
                                  <m:e>
                                    <m:r>
                                      <a:rPr lang="en-US" sz="1100" b="0" i="1">
                                        <a:latin typeface="Cambria Math" panose="02040503050406030204" pitchFamily="18" charset="0"/>
                                      </a:rPr>
                                      <m:t>𝑥</m:t>
                                    </m:r>
                                    <m:r>
                                      <a:rPr lang="en-US" sz="1100" b="0" i="1">
                                        <a:latin typeface="Cambria Math" panose="02040503050406030204" pitchFamily="18" charset="0"/>
                                      </a:rPr>
                                      <m:t>−</m:t>
                                    </m:r>
                                    <m:r>
                                      <a:rPr lang="en-US" sz="1100" b="0" i="1">
                                        <a:latin typeface="Cambria Math" panose="02040503050406030204" pitchFamily="18" charset="0"/>
                                        <a:ea typeface="Cambria Math" panose="02040503050406030204" pitchFamily="18" charset="0"/>
                                      </a:rPr>
                                      <m:t>𝜇</m:t>
                                    </m:r>
                                  </m:e>
                                </m:d>
                              </m:num>
                              <m:den>
                                <m:r>
                                  <a:rPr lang="en-US" sz="1100" b="0" i="1">
                                    <a:latin typeface="Cambria Math" panose="02040503050406030204" pitchFamily="18" charset="0"/>
                                  </a:rPr>
                                  <m:t>𝑏</m:t>
                                </m:r>
                              </m:den>
                            </m:f>
                          </m:e>
                        </m:d>
                      </m:sup>
                    </m:sSup>
                  </m:oMath>
                </m:oMathPara>
              </a14:m>
              <a:endParaRPr lang="en-US" sz="1100"/>
            </a:p>
            <a:p>
              <a:r>
                <a:rPr lang="en-US" sz="1100"/>
                <a:t>where </a:t>
              </a:r>
              <a14:m>
                <m:oMath xmlns:m="http://schemas.openxmlformats.org/officeDocument/2006/math">
                  <m:r>
                    <a:rPr lang="en-US" sz="1100" i="1">
                      <a:latin typeface="Cambria Math" panose="02040503050406030204" pitchFamily="18" charset="0"/>
                      <a:ea typeface="Cambria Math" panose="02040503050406030204" pitchFamily="18" charset="0"/>
                    </a:rPr>
                    <m:t>𝜇</m:t>
                  </m:r>
                </m:oMath>
              </a14:m>
              <a:r>
                <a:rPr lang="en-US" sz="1100"/>
                <a:t> is the mean (or "location") and </a:t>
              </a:r>
              <a14:m>
                <m:oMath xmlns:m="http://schemas.openxmlformats.org/officeDocument/2006/math">
                  <m:r>
                    <a:rPr lang="en-US" sz="1100" b="0" i="1">
                      <a:latin typeface="Cambria Math" panose="02040503050406030204" pitchFamily="18" charset="0"/>
                    </a:rPr>
                    <m:t>𝑏</m:t>
                  </m:r>
                </m:oMath>
              </a14:m>
              <a:r>
                <a:rPr lang="en-US" sz="1100"/>
                <a:t> is the</a:t>
              </a:r>
              <a:r>
                <a:rPr lang="en-US" sz="1100" baseline="0"/>
                <a:t> scale (variance </a:t>
              </a:r>
              <a14:m>
                <m:oMath xmlns:m="http://schemas.openxmlformats.org/officeDocument/2006/math">
                  <m:r>
                    <a:rPr lang="en-US" sz="1100" b="0" i="1" baseline="0">
                      <a:latin typeface="Cambria Math" panose="02040503050406030204" pitchFamily="18" charset="0"/>
                    </a:rPr>
                    <m:t>=2</m:t>
                  </m:r>
                  <m:sSup>
                    <m:sSupPr>
                      <m:ctrlPr>
                        <a:rPr lang="en-US" sz="1100" b="0" i="1" baseline="0">
                          <a:latin typeface="Cambria Math" panose="02040503050406030204" pitchFamily="18" charset="0"/>
                        </a:rPr>
                      </m:ctrlPr>
                    </m:sSupPr>
                    <m:e>
                      <m:r>
                        <a:rPr lang="en-US" sz="1100" b="0" i="1" baseline="0">
                          <a:latin typeface="Cambria Math" panose="02040503050406030204" pitchFamily="18" charset="0"/>
                        </a:rPr>
                        <m:t>𝑏</m:t>
                      </m:r>
                    </m:e>
                    <m:sup>
                      <m:r>
                        <a:rPr lang="en-US" sz="1100" b="0" i="1" baseline="0">
                          <a:latin typeface="Cambria Math" panose="02040503050406030204" pitchFamily="18" charset="0"/>
                        </a:rPr>
                        <m:t>2</m:t>
                      </m:r>
                    </m:sup>
                  </m:sSup>
                </m:oMath>
              </a14:m>
              <a:r>
                <a:rPr lang="en-US" sz="1100"/>
                <a:t>).</a:t>
              </a:r>
            </a:p>
            <a:p>
              <a:endParaRPr lang="en-US" sz="1100"/>
            </a:p>
            <a:p>
              <a:r>
                <a:rPr lang="en-US" sz="1100"/>
                <a:t>When we use the Laplace distribution to add</a:t>
              </a:r>
              <a:r>
                <a:rPr lang="en-US" sz="1100" baseline="0"/>
                <a:t> noise, we typically set </a:t>
              </a:r>
              <a14:m>
                <m:oMath xmlns:m="http://schemas.openxmlformats.org/officeDocument/2006/math">
                  <m:r>
                    <a:rPr lang="en-US" sz="1100" i="1" baseline="0">
                      <a:latin typeface="Cambria Math" panose="02040503050406030204" pitchFamily="18" charset="0"/>
                      <a:ea typeface="Cambria Math" panose="02040503050406030204" pitchFamily="18" charset="0"/>
                    </a:rPr>
                    <m:t>𝜇</m:t>
                  </m:r>
                  <m:r>
                    <a:rPr lang="en-US" sz="1100" b="0" i="1" baseline="0">
                      <a:latin typeface="Cambria Math" panose="02040503050406030204" pitchFamily="18" charset="0"/>
                      <a:ea typeface="Cambria Math" panose="02040503050406030204" pitchFamily="18" charset="0"/>
                    </a:rPr>
                    <m:t>=0</m:t>
                  </m:r>
                </m:oMath>
              </a14:m>
              <a:r>
                <a:rPr lang="en-US" sz="1100"/>
                <a:t>, which gives us</a:t>
              </a:r>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𝑥</m:t>
                        </m:r>
                      </m:e>
                      <m:e>
                        <m:r>
                          <a:rPr lang="en-US" sz="1100" b="0" i="1">
                            <a:latin typeface="Cambria Math" panose="02040503050406030204" pitchFamily="18" charset="0"/>
                          </a:rPr>
                          <m:t>𝑏</m:t>
                        </m:r>
                      </m:e>
                    </m:d>
                    <m:r>
                      <a:rPr lang="en-US" sz="1100" b="0" i="1">
                        <a:latin typeface="Cambria Math" panose="02040503050406030204" pitchFamily="18" charset="0"/>
                      </a:rPr>
                      <m:t>=</m:t>
                    </m:r>
                    <m:f>
                      <m:fPr>
                        <m:ctrlPr>
                          <a:rPr lang="en-US" sz="1100" b="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2</m:t>
                        </m:r>
                        <m:r>
                          <a:rPr lang="en-US" sz="1100" b="0" i="1">
                            <a:latin typeface="Cambria Math" panose="02040503050406030204" pitchFamily="18" charset="0"/>
                          </a:rPr>
                          <m:t>𝑏</m:t>
                        </m:r>
                      </m:den>
                    </m:f>
                    <m:sSup>
                      <m:sSupPr>
                        <m:ctrlPr>
                          <a:rPr lang="en-US" sz="1100" b="0" i="1">
                            <a:latin typeface="Cambria Math" panose="02040503050406030204" pitchFamily="18" charset="0"/>
                          </a:rPr>
                        </m:ctrlPr>
                      </m:sSupPr>
                      <m:e>
                        <m:r>
                          <a:rPr lang="en-US" sz="1100" b="0" i="1">
                            <a:latin typeface="Cambria Math" panose="02040503050406030204" pitchFamily="18" charset="0"/>
                          </a:rPr>
                          <m:t>𝑒</m:t>
                        </m:r>
                      </m:e>
                      <m:sup>
                        <m:d>
                          <m:dPr>
                            <m:ctrlPr>
                              <a:rPr lang="en-US" sz="1100" b="0" i="1">
                                <a:latin typeface="Cambria Math" panose="02040503050406030204" pitchFamily="18" charset="0"/>
                              </a:rPr>
                            </m:ctrlPr>
                          </m:dPr>
                          <m:e>
                            <m:r>
                              <a:rPr lang="en-US" sz="1100" b="0" i="1">
                                <a:latin typeface="Cambria Math" panose="02040503050406030204" pitchFamily="18" charset="0"/>
                              </a:rPr>
                              <m:t>−</m:t>
                            </m:r>
                            <m:f>
                              <m:fPr>
                                <m:ctrlPr>
                                  <a:rPr lang="en-US" sz="1100" b="0" i="1">
                                    <a:latin typeface="Cambria Math" panose="02040503050406030204" pitchFamily="18" charset="0"/>
                                  </a:rPr>
                                </m:ctrlPr>
                              </m:fPr>
                              <m:num>
                                <m:d>
                                  <m:dPr>
                                    <m:begChr m:val="|"/>
                                    <m:endChr m:val="|"/>
                                    <m:ctrlPr>
                                      <a:rPr lang="en-US" sz="1100" b="0" i="1">
                                        <a:latin typeface="Cambria Math" panose="02040503050406030204" pitchFamily="18" charset="0"/>
                                      </a:rPr>
                                    </m:ctrlPr>
                                  </m:dPr>
                                  <m:e>
                                    <m:r>
                                      <a:rPr lang="en-US" sz="1100" b="0" i="1">
                                        <a:latin typeface="Cambria Math" panose="02040503050406030204" pitchFamily="18" charset="0"/>
                                      </a:rPr>
                                      <m:t>𝑥</m:t>
                                    </m:r>
                                  </m:e>
                                </m:d>
                              </m:num>
                              <m:den>
                                <m:r>
                                  <a:rPr lang="en-US" sz="1100" b="0" i="1">
                                    <a:latin typeface="Cambria Math" panose="02040503050406030204" pitchFamily="18" charset="0"/>
                                  </a:rPr>
                                  <m:t>𝑏</m:t>
                                </m:r>
                              </m:den>
                            </m:f>
                          </m:e>
                        </m:d>
                      </m:sup>
                    </m:sSup>
                  </m:oMath>
                </m:oMathPara>
              </a14:m>
              <a:endParaRPr lang="en-US" sz="1100"/>
            </a:p>
            <a:p>
              <a:r>
                <a:rPr lang="en-US" sz="1100"/>
                <a:t>This</a:t>
              </a:r>
              <a:r>
                <a:rPr lang="en-US" sz="1100" baseline="0"/>
                <a:t> will often be written as </a:t>
              </a:r>
              <a14:m>
                <m:oMath xmlns:m="http://schemas.openxmlformats.org/officeDocument/2006/math">
                  <m:r>
                    <m:rPr>
                      <m:nor/>
                    </m:rPr>
                    <a:rPr lang="en-US" sz="1100" b="0" i="0" baseline="0">
                      <a:latin typeface="Cambria Math" panose="02040503050406030204" pitchFamily="18" charset="0"/>
                    </a:rPr>
                    <m:t>Lap</m:t>
                  </m:r>
                  <m:d>
                    <m:dPr>
                      <m:ctrlPr>
                        <a:rPr lang="en-US" sz="1100" b="0" i="1" baseline="0">
                          <a:latin typeface="Cambria Math" panose="02040503050406030204" pitchFamily="18" charset="0"/>
                        </a:rPr>
                      </m:ctrlPr>
                    </m:dPr>
                    <m:e>
                      <m:r>
                        <a:rPr lang="en-US" sz="1100" b="0" i="1" baseline="0">
                          <a:latin typeface="Cambria Math" panose="02040503050406030204" pitchFamily="18" charset="0"/>
                        </a:rPr>
                        <m:t>𝑏</m:t>
                      </m:r>
                    </m:e>
                  </m:d>
                </m:oMath>
              </a14:m>
              <a:r>
                <a:rPr lang="en-US" sz="1100"/>
                <a:t> and </a:t>
              </a:r>
              <a14:m>
                <m:oMath xmlns:m="http://schemas.openxmlformats.org/officeDocument/2006/math">
                  <m:r>
                    <a:rPr lang="en-US" sz="1100" b="0" i="1">
                      <a:latin typeface="Cambria Math" panose="02040503050406030204" pitchFamily="18" charset="0"/>
                    </a:rPr>
                    <m:t>𝑏</m:t>
                  </m:r>
                </m:oMath>
              </a14:m>
              <a:r>
                <a:rPr lang="en-US" sz="1100"/>
                <a:t> will</a:t>
              </a:r>
              <a:r>
                <a:rPr lang="en-US" sz="1100" baseline="0"/>
                <a:t> be parameterized by the privacy parameter, </a:t>
              </a:r>
              <a14:m>
                <m:oMath xmlns:m="http://schemas.openxmlformats.org/officeDocument/2006/math">
                  <m:r>
                    <a:rPr lang="en-US" sz="1100" i="1" baseline="0">
                      <a:latin typeface="Cambria Math" panose="02040503050406030204" pitchFamily="18" charset="0"/>
                      <a:ea typeface="Cambria Math" panose="02040503050406030204" pitchFamily="18" charset="0"/>
                    </a:rPr>
                    <m:t>𝜀</m:t>
                  </m:r>
                </m:oMath>
              </a14:m>
              <a:r>
                <a:rPr lang="en-US" sz="1100"/>
                <a:t>, and a measure of sensitivity,</a:t>
              </a:r>
              <a:r>
                <a:rPr lang="en-US" sz="1100" baseline="0"/>
                <a:t> </a:t>
              </a:r>
              <a14:m>
                <m:oMath xmlns:m="http://schemas.openxmlformats.org/officeDocument/2006/math">
                  <m:sSup>
                    <m:sSupPr>
                      <m:ctrlPr>
                        <a:rPr lang="en-US" sz="1100" i="1" baseline="0">
                          <a:latin typeface="Cambria Math" panose="02040503050406030204" pitchFamily="18" charset="0"/>
                        </a:rPr>
                      </m:ctrlPr>
                    </m:sSupPr>
                    <m:e>
                      <m:r>
                        <a:rPr lang="en-US" sz="1100" b="0" i="1" baseline="0">
                          <a:latin typeface="Cambria Math" panose="02040503050406030204" pitchFamily="18" charset="0"/>
                        </a:rPr>
                        <m:t>𝑆</m:t>
                      </m:r>
                    </m:e>
                    <m:sup>
                      <m:r>
                        <a:rPr lang="en-US" sz="1100" b="0" i="1" baseline="0">
                          <a:latin typeface="Cambria Math" panose="02040503050406030204" pitchFamily="18" charset="0"/>
                        </a:rPr>
                        <m:t>∗</m:t>
                      </m:r>
                    </m:sup>
                  </m:sSup>
                </m:oMath>
              </a14:m>
              <a:r>
                <a:rPr lang="en-US" sz="1100" baseline="0"/>
                <a:t>, such that the scale for the Laplace distribution is:</a:t>
              </a:r>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𝑏</m:t>
                    </m:r>
                    <m:r>
                      <a:rPr lang="en-US" sz="1100" b="0" i="1">
                        <a:latin typeface="Cambria Math" panose="02040503050406030204" pitchFamily="18" charset="0"/>
                      </a:rPr>
                      <m:t>=</m:t>
                    </m:r>
                    <m:f>
                      <m:fPr>
                        <m:ctrlPr>
                          <a:rPr lang="en-US" sz="1100" b="0" i="1">
                            <a:latin typeface="Cambria Math" panose="02040503050406030204" pitchFamily="18" charset="0"/>
                          </a:rPr>
                        </m:ctrlPr>
                      </m:fPr>
                      <m:num>
                        <m:sSup>
                          <m:sSupPr>
                            <m:ctrlPr>
                              <a:rPr lang="en-US" sz="1100" b="0" i="1">
                                <a:latin typeface="Cambria Math" panose="02040503050406030204" pitchFamily="18" charset="0"/>
                              </a:rPr>
                            </m:ctrlPr>
                          </m:sSupPr>
                          <m:e>
                            <m:r>
                              <a:rPr lang="en-US" sz="1100" b="0" i="1">
                                <a:latin typeface="Cambria Math" panose="02040503050406030204" pitchFamily="18" charset="0"/>
                              </a:rPr>
                              <m:t>𝑆</m:t>
                            </m:r>
                          </m:e>
                          <m:sup>
                            <m:r>
                              <a:rPr lang="en-US" sz="1100" b="0" i="1">
                                <a:latin typeface="Cambria Math" panose="02040503050406030204" pitchFamily="18" charset="0"/>
                              </a:rPr>
                              <m:t>∗</m:t>
                            </m:r>
                          </m:sup>
                        </m:sSup>
                      </m:num>
                      <m:den>
                        <m:r>
                          <a:rPr lang="en-US" sz="1100" b="0" i="1">
                            <a:latin typeface="Cambria Math" panose="02040503050406030204" pitchFamily="18" charset="0"/>
                            <a:ea typeface="Cambria Math" panose="02040503050406030204" pitchFamily="18" charset="0"/>
                          </a:rPr>
                          <m:t>𝜀</m:t>
                        </m:r>
                      </m:den>
                    </m:f>
                  </m:oMath>
                </m:oMathPara>
              </a14:m>
              <a:endParaRPr lang="en-US" sz="1100"/>
            </a:p>
            <a:p>
              <a:endParaRPr lang="en-US" sz="1100"/>
            </a:p>
            <a:p>
              <a:r>
                <a:rPr lang="en-US" sz="1100"/>
                <a:t>Some analysis</a:t>
              </a:r>
              <a:r>
                <a:rPr lang="en-US" sz="1100" baseline="0"/>
                <a:t> tools/languages have a built-in way to sample from the Laplace distribution. If not, one can produce a sample from the Laplace distribution by:</a:t>
              </a:r>
            </a:p>
            <a:p>
              <a:endParaRPr lang="en-US" sz="1100" baseline="0"/>
            </a:p>
            <a:p>
              <a:r>
                <a:rPr lang="en-US" sz="1100" baseline="0"/>
                <a:t>1. If the functionality to sample from the expontential distribution is available, then take the difference between two independent samples from the exponential distribution with scale, </a:t>
              </a:r>
              <a14:m>
                <m:oMath xmlns:m="http://schemas.openxmlformats.org/officeDocument/2006/math">
                  <m:r>
                    <a:rPr lang="en-US" sz="1100" b="0" i="1" baseline="0">
                      <a:latin typeface="Cambria Math" panose="02040503050406030204" pitchFamily="18" charset="0"/>
                    </a:rPr>
                    <m:t>𝑏</m:t>
                  </m:r>
                </m:oMath>
              </a14:m>
              <a:r>
                <a:rPr lang="en-US" sz="1100"/>
                <a:t>.</a:t>
              </a:r>
            </a:p>
            <a:p>
              <a:r>
                <a:rPr lang="en-US" sz="1100"/>
                <a:t>2. If the</a:t>
              </a:r>
              <a:r>
                <a:rPr lang="en-US" sz="1100" baseline="0"/>
                <a:t> functionality to sample from a uniform distribution, </a:t>
              </a:r>
              <a14:m>
                <m:oMath xmlns:m="http://schemas.openxmlformats.org/officeDocument/2006/math">
                  <m:r>
                    <a:rPr lang="en-US" sz="1100" b="0" i="1" baseline="0">
                      <a:latin typeface="Cambria Math" panose="02040503050406030204" pitchFamily="18" charset="0"/>
                    </a:rPr>
                    <m:t>𝑈</m:t>
                  </m:r>
                </m:oMath>
              </a14:m>
              <a:r>
                <a:rPr lang="en-US" sz="1100" baseline="0"/>
                <a:t>, on the interval </a:t>
              </a:r>
              <a14:m>
                <m:oMath xmlns:m="http://schemas.openxmlformats.org/officeDocument/2006/math">
                  <m:d>
                    <m:dPr>
                      <m:endChr m:val=""/>
                      <m:ctrlPr>
                        <a:rPr lang="en-US" sz="1100" b="0" i="1" baseline="0">
                          <a:latin typeface="Cambria Math" panose="02040503050406030204" pitchFamily="18" charset="0"/>
                        </a:rPr>
                      </m:ctrlPr>
                    </m:dPr>
                    <m:e>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rPr>
                            <m:t>1</m:t>
                          </m:r>
                        </m:num>
                        <m:den>
                          <m:r>
                            <a:rPr lang="en-US" sz="1100" b="0" i="1" baseline="0">
                              <a:latin typeface="Cambria Math" panose="02040503050406030204" pitchFamily="18" charset="0"/>
                            </a:rPr>
                            <m:t>2</m:t>
                          </m:r>
                        </m:den>
                      </m:f>
                    </m:e>
                  </m:d>
                  <m:r>
                    <a:rPr lang="en-US" sz="1100" b="0" i="1" baseline="0">
                      <a:latin typeface="Cambria Math" panose="02040503050406030204" pitchFamily="18" charset="0"/>
                    </a:rPr>
                    <m:t>,</m:t>
                  </m:r>
                  <m:d>
                    <m:dPr>
                      <m:begChr m:val=""/>
                      <m:endChr m:val="]"/>
                      <m:ctrlPr>
                        <a:rPr lang="en-US" sz="1100" b="0" i="1" baseline="0">
                          <a:solidFill>
                            <a:schemeClr val="dk1"/>
                          </a:solidFill>
                          <a:effectLst/>
                          <a:latin typeface="Cambria Math" panose="02040503050406030204" pitchFamily="18" charset="0"/>
                          <a:ea typeface="+mn-ea"/>
                          <a:cs typeface="+mn-cs"/>
                        </a:rPr>
                      </m:ctrlPr>
                    </m:dPr>
                    <m:e>
                      <m:f>
                        <m:fPr>
                          <m:ctrlPr>
                            <a:rPr lang="en-US" sz="1100" b="0" i="1" baseline="0">
                              <a:solidFill>
                                <a:schemeClr val="dk1"/>
                              </a:solidFill>
                              <a:effectLst/>
                              <a:latin typeface="Cambria Math" panose="02040503050406030204" pitchFamily="18" charset="0"/>
                              <a:ea typeface="+mn-ea"/>
                              <a:cs typeface="+mn-cs"/>
                            </a:rPr>
                          </m:ctrlPr>
                        </m:fPr>
                        <m:num>
                          <m:r>
                            <a:rPr lang="en-US" sz="1100" b="0" i="1" baseline="0">
                              <a:solidFill>
                                <a:schemeClr val="dk1"/>
                              </a:solidFill>
                              <a:effectLst/>
                              <a:latin typeface="Cambria Math" panose="02040503050406030204" pitchFamily="18" charset="0"/>
                              <a:ea typeface="+mn-ea"/>
                              <a:cs typeface="+mn-cs"/>
                            </a:rPr>
                            <m:t>1</m:t>
                          </m:r>
                        </m:num>
                        <m:den>
                          <m:r>
                            <a:rPr lang="en-US" sz="1100" b="0" i="1" baseline="0">
                              <a:solidFill>
                                <a:schemeClr val="dk1"/>
                              </a:solidFill>
                              <a:effectLst/>
                              <a:latin typeface="Cambria Math" panose="02040503050406030204" pitchFamily="18" charset="0"/>
                              <a:ea typeface="+mn-ea"/>
                              <a:cs typeface="+mn-cs"/>
                            </a:rPr>
                            <m:t>2</m:t>
                          </m:r>
                        </m:den>
                      </m:f>
                    </m:e>
                  </m:d>
                </m:oMath>
              </a14:m>
              <a:r>
                <a:rPr lang="en-US" sz="1100" baseline="0"/>
                <a:t> is available, then a sample, </a:t>
              </a:r>
              <a14:m>
                <m:oMath xmlns:m="http://schemas.openxmlformats.org/officeDocument/2006/math">
                  <m:r>
                    <a:rPr lang="en-US" sz="1100" b="0" i="1" baseline="0">
                      <a:latin typeface="Cambria Math" panose="02040503050406030204" pitchFamily="18" charset="0"/>
                    </a:rPr>
                    <m:t>𝐹</m:t>
                  </m:r>
                </m:oMath>
              </a14:m>
              <a:r>
                <a:rPr lang="en-US" sz="1100" baseline="0"/>
                <a:t>, can be calculated from: </a:t>
              </a:r>
              <a:endParaRPr lang="en-US" sz="1100" b="0" i="1" baseline="0">
                <a:latin typeface="Cambria Math" panose="02040503050406030204" pitchFamily="18" charset="0"/>
              </a:endParaRPr>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𝐹</m:t>
                    </m:r>
                    <m:r>
                      <a:rPr lang="en-US" sz="1100" b="0" i="1" baseline="0">
                        <a:latin typeface="Cambria Math" panose="02040503050406030204" pitchFamily="18" charset="0"/>
                      </a:rPr>
                      <m:t>=−</m:t>
                    </m:r>
                    <m:r>
                      <a:rPr lang="en-US" sz="1100" b="0" i="1" baseline="0">
                        <a:latin typeface="Cambria Math" panose="02040503050406030204" pitchFamily="18" charset="0"/>
                      </a:rPr>
                      <m:t>𝑏</m:t>
                    </m:r>
                    <m:r>
                      <a:rPr lang="en-US" sz="1100" b="0" i="1" baseline="0">
                        <a:latin typeface="Cambria Math" panose="02040503050406030204" pitchFamily="18" charset="0"/>
                      </a:rPr>
                      <m:t> </m:t>
                    </m:r>
                    <m:r>
                      <m:rPr>
                        <m:nor/>
                      </m:rPr>
                      <a:rPr lang="en-US" sz="1100" b="0" i="0" baseline="0">
                        <a:latin typeface="Cambria Math" panose="02040503050406030204" pitchFamily="18" charset="0"/>
                      </a:rPr>
                      <m:t>sgn</m:t>
                    </m:r>
                    <m:d>
                      <m:dPr>
                        <m:ctrlPr>
                          <a:rPr lang="en-US" sz="1100" b="0" i="1" baseline="0">
                            <a:latin typeface="Cambria Math" panose="02040503050406030204" pitchFamily="18" charset="0"/>
                          </a:rPr>
                        </m:ctrlPr>
                      </m:dPr>
                      <m:e>
                        <m:r>
                          <a:rPr lang="en-US" sz="1100" b="0" i="1" baseline="0">
                            <a:latin typeface="Cambria Math" panose="02040503050406030204" pitchFamily="18" charset="0"/>
                          </a:rPr>
                          <m:t>𝑈</m:t>
                        </m:r>
                      </m:e>
                    </m:d>
                    <m:func>
                      <m:funcPr>
                        <m:ctrlPr>
                          <a:rPr lang="en-US" sz="1100" b="0" i="1" baseline="0">
                            <a:latin typeface="Cambria Math" panose="02040503050406030204" pitchFamily="18" charset="0"/>
                          </a:rPr>
                        </m:ctrlPr>
                      </m:funcPr>
                      <m:fName>
                        <m:r>
                          <m:rPr>
                            <m:sty m:val="p"/>
                          </m:rPr>
                          <a:rPr lang="en-US" sz="1100" b="0" i="0" baseline="0">
                            <a:latin typeface="Cambria Math" panose="02040503050406030204" pitchFamily="18" charset="0"/>
                          </a:rPr>
                          <m:t>ln</m:t>
                        </m:r>
                      </m:fName>
                      <m:e>
                        <m:d>
                          <m:dPr>
                            <m:ctrlPr>
                              <a:rPr lang="en-US" sz="1100" b="0" i="1" baseline="0">
                                <a:latin typeface="Cambria Math" panose="02040503050406030204" pitchFamily="18" charset="0"/>
                              </a:rPr>
                            </m:ctrlPr>
                          </m:dPr>
                          <m:e>
                            <m:r>
                              <a:rPr lang="en-US" sz="1100" b="0" i="1" baseline="0">
                                <a:latin typeface="Cambria Math" panose="02040503050406030204" pitchFamily="18" charset="0"/>
                              </a:rPr>
                              <m:t>1−2</m:t>
                            </m:r>
                            <m:d>
                              <m:dPr>
                                <m:begChr m:val="|"/>
                                <m:endChr m:val="|"/>
                                <m:ctrlPr>
                                  <a:rPr lang="en-US" sz="1100" b="0" i="1" baseline="0">
                                    <a:latin typeface="Cambria Math" panose="02040503050406030204" pitchFamily="18" charset="0"/>
                                  </a:rPr>
                                </m:ctrlPr>
                              </m:dPr>
                              <m:e>
                                <m:r>
                                  <a:rPr lang="en-US" sz="1100" b="0" i="1" baseline="0">
                                    <a:latin typeface="Cambria Math" panose="02040503050406030204" pitchFamily="18" charset="0"/>
                                  </a:rPr>
                                  <m:t>𝑈</m:t>
                                </m:r>
                              </m:e>
                            </m:d>
                          </m:e>
                        </m:d>
                      </m:e>
                    </m:func>
                  </m:oMath>
                </m:oMathPara>
              </a14:m>
              <a:endParaRPr lang="en-US" sz="1100" b="0" baseline="0"/>
            </a:p>
            <a:p>
              <a:endParaRPr lang="en-US" sz="1100"/>
            </a:p>
            <a:p>
              <a:r>
                <a:rPr lang="en-US" sz="1100"/>
                <a:t>In</a:t>
              </a:r>
              <a:r>
                <a:rPr lang="en-US" sz="1100" baseline="0"/>
                <a:t> Excel, the following functional form is equivalent (note that randomization of the sign function does not make a difference): </a:t>
              </a:r>
            </a:p>
            <a:p>
              <a:r>
                <a:rPr lang="en-US" sz="1100" baseline="0"/>
                <a:t>-SCALE*((-1)^RANDBETWEEN(0,1))*LN(1-2*ABS(0.5-RAND()))</a:t>
              </a:r>
            </a:p>
            <a:p>
              <a:r>
                <a:rPr lang="en-US" sz="1100" baseline="0"/>
                <a:t>where "SCALE" = </a:t>
              </a:r>
              <a14:m>
                <m:oMath xmlns:m="http://schemas.openxmlformats.org/officeDocument/2006/math">
                  <m:r>
                    <a:rPr lang="en-US" sz="1100" b="0" i="1" baseline="0">
                      <a:latin typeface="Cambria Math" panose="02040503050406030204" pitchFamily="18" charset="0"/>
                    </a:rPr>
                    <m:t>𝑏</m:t>
                  </m:r>
                </m:oMath>
              </a14:m>
              <a:endParaRPr lang="en-US" sz="1100"/>
            </a:p>
          </xdr:txBody>
        </xdr:sp>
      </mc:Choice>
      <mc:Fallback xmlns="">
        <xdr:sp macro="" textlink="">
          <xdr:nvSpPr>
            <xdr:cNvPr id="3" name="TextBox 2"/>
            <xdr:cNvSpPr txBox="1"/>
          </xdr:nvSpPr>
          <xdr:spPr>
            <a:xfrm>
              <a:off x="3613785" y="2676525"/>
              <a:ext cx="4175760" cy="543306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Sampling</a:t>
              </a:r>
              <a:r>
                <a:rPr lang="en-US" sz="1400" b="1" baseline="0"/>
                <a:t> from the Laplace Distribution</a:t>
              </a:r>
              <a:endParaRPr lang="en-US" sz="1400" b="1"/>
            </a:p>
            <a:p>
              <a:r>
                <a:rPr lang="en-US" sz="1100"/>
                <a:t>The Laplace distribution</a:t>
              </a:r>
              <a:r>
                <a:rPr lang="en-US" sz="1100" baseline="0"/>
                <a:t> is described by the equation:</a:t>
              </a:r>
            </a:p>
            <a:p>
              <a:pPr/>
              <a:r>
                <a:rPr lang="en-US" sz="1100" b="0" i="0">
                  <a:latin typeface="Cambria Math" panose="02040503050406030204" pitchFamily="18" charset="0"/>
                </a:rPr>
                <a:t>𝑓(𝑥│</a:t>
              </a:r>
              <a:r>
                <a:rPr lang="en-US" sz="1100" b="0" i="0">
                  <a:latin typeface="Cambria Math" panose="02040503050406030204" pitchFamily="18" charset="0"/>
                  <a:ea typeface="Cambria Math" panose="02040503050406030204" pitchFamily="18" charset="0"/>
                </a:rPr>
                <a:t>𝜇</a:t>
              </a:r>
              <a:r>
                <a:rPr lang="en-US" sz="1100" b="0" i="0">
                  <a:latin typeface="Cambria Math" panose="02040503050406030204" pitchFamily="18" charset="0"/>
                </a:rPr>
                <a:t>,𝑏)=1/2𝑏 𝑒^((−|𝑥−</a:t>
              </a:r>
              <a:r>
                <a:rPr lang="en-US" sz="1100" b="0" i="0">
                  <a:latin typeface="Cambria Math" panose="02040503050406030204" pitchFamily="18" charset="0"/>
                  <a:ea typeface="Cambria Math" panose="02040503050406030204" pitchFamily="18" charset="0"/>
                </a:rPr>
                <a:t>𝜇|/</a:t>
              </a:r>
              <a:r>
                <a:rPr lang="en-US" sz="1100" b="0" i="0">
                  <a:latin typeface="Cambria Math" panose="02040503050406030204" pitchFamily="18" charset="0"/>
                </a:rPr>
                <a:t>𝑏) )</a:t>
              </a:r>
              <a:endParaRPr lang="en-US" sz="1100"/>
            </a:p>
            <a:p>
              <a:r>
                <a:rPr lang="en-US" sz="1100"/>
                <a:t>where </a:t>
              </a:r>
              <a:r>
                <a:rPr lang="en-US" sz="1100" i="0">
                  <a:latin typeface="Cambria Math" panose="02040503050406030204" pitchFamily="18" charset="0"/>
                  <a:ea typeface="Cambria Math" panose="02040503050406030204" pitchFamily="18" charset="0"/>
                </a:rPr>
                <a:t>𝜇</a:t>
              </a:r>
              <a:r>
                <a:rPr lang="en-US" sz="1100"/>
                <a:t> is the mean (or "location") and </a:t>
              </a:r>
              <a:r>
                <a:rPr lang="en-US" sz="1100" b="0" i="0">
                  <a:latin typeface="Cambria Math" panose="02040503050406030204" pitchFamily="18" charset="0"/>
                </a:rPr>
                <a:t>𝑏</a:t>
              </a:r>
              <a:r>
                <a:rPr lang="en-US" sz="1100"/>
                <a:t> is the</a:t>
              </a:r>
              <a:r>
                <a:rPr lang="en-US" sz="1100" baseline="0"/>
                <a:t> scale (variance </a:t>
              </a:r>
              <a:r>
                <a:rPr lang="en-US" sz="1100" b="0" i="0" baseline="0">
                  <a:latin typeface="Cambria Math" panose="02040503050406030204" pitchFamily="18" charset="0"/>
                </a:rPr>
                <a:t>=2𝑏^2</a:t>
              </a:r>
              <a:r>
                <a:rPr lang="en-US" sz="1100"/>
                <a:t>).</a:t>
              </a:r>
            </a:p>
            <a:p>
              <a:endParaRPr lang="en-US" sz="1100"/>
            </a:p>
            <a:p>
              <a:r>
                <a:rPr lang="en-US" sz="1100"/>
                <a:t>When we use the Laplace distribution to add</a:t>
              </a:r>
              <a:r>
                <a:rPr lang="en-US" sz="1100" baseline="0"/>
                <a:t> noise, we typically set </a:t>
              </a:r>
              <a:r>
                <a:rPr lang="en-US" sz="1100" i="0" baseline="0">
                  <a:latin typeface="Cambria Math" panose="02040503050406030204" pitchFamily="18" charset="0"/>
                  <a:ea typeface="Cambria Math" panose="02040503050406030204" pitchFamily="18" charset="0"/>
                </a:rPr>
                <a:t>𝜇</a:t>
              </a:r>
              <a:r>
                <a:rPr lang="en-US" sz="1100" b="0" i="0" baseline="0">
                  <a:latin typeface="Cambria Math" panose="02040503050406030204" pitchFamily="18" charset="0"/>
                  <a:ea typeface="Cambria Math" panose="02040503050406030204" pitchFamily="18" charset="0"/>
                </a:rPr>
                <a:t>=0</a:t>
              </a:r>
              <a:r>
                <a:rPr lang="en-US" sz="1100"/>
                <a:t>, which gives us</a:t>
              </a:r>
            </a:p>
            <a:p>
              <a:pPr/>
              <a:r>
                <a:rPr lang="en-US" sz="1100" b="0" i="0">
                  <a:latin typeface="Cambria Math" panose="02040503050406030204" pitchFamily="18" charset="0"/>
                </a:rPr>
                <a:t>𝑓(𝑥│𝑏)=1/2𝑏 𝑒^((−|𝑥|/𝑏) )</a:t>
              </a:r>
              <a:endParaRPr lang="en-US" sz="1100"/>
            </a:p>
            <a:p>
              <a:r>
                <a:rPr lang="en-US" sz="1100"/>
                <a:t>This</a:t>
              </a:r>
              <a:r>
                <a:rPr lang="en-US" sz="1100" baseline="0"/>
                <a:t> will often be written as </a:t>
              </a:r>
              <a:r>
                <a:rPr lang="en-US" sz="1100" b="0" i="0" baseline="0">
                  <a:latin typeface="Cambria Math" panose="02040503050406030204" pitchFamily="18" charset="0"/>
                </a:rPr>
                <a:t>"Lap" (𝑏)</a:t>
              </a:r>
              <a:r>
                <a:rPr lang="en-US" sz="1100"/>
                <a:t> and </a:t>
              </a:r>
              <a:r>
                <a:rPr lang="en-US" sz="1100" b="0" i="0">
                  <a:latin typeface="Cambria Math" panose="02040503050406030204" pitchFamily="18" charset="0"/>
                </a:rPr>
                <a:t>𝑏</a:t>
              </a:r>
              <a:r>
                <a:rPr lang="en-US" sz="1100"/>
                <a:t> will</a:t>
              </a:r>
              <a:r>
                <a:rPr lang="en-US" sz="1100" baseline="0"/>
                <a:t> be parameterized by the privacy parameter, </a:t>
              </a:r>
              <a:r>
                <a:rPr lang="en-US" sz="1100" i="0" baseline="0">
                  <a:latin typeface="Cambria Math" panose="02040503050406030204" pitchFamily="18" charset="0"/>
                  <a:ea typeface="Cambria Math" panose="02040503050406030204" pitchFamily="18" charset="0"/>
                </a:rPr>
                <a:t>𝜀</a:t>
              </a:r>
              <a:r>
                <a:rPr lang="en-US" sz="1100"/>
                <a:t>, and a measure of sensitivity,</a:t>
              </a:r>
              <a:r>
                <a:rPr lang="en-US" sz="1100" baseline="0"/>
                <a:t> </a:t>
              </a:r>
              <a:r>
                <a:rPr lang="en-US" sz="1100" b="0" i="0" baseline="0">
                  <a:latin typeface="Cambria Math" panose="02040503050406030204" pitchFamily="18" charset="0"/>
                </a:rPr>
                <a:t>𝑆^∗</a:t>
              </a:r>
              <a:r>
                <a:rPr lang="en-US" sz="1100" baseline="0"/>
                <a:t>, such that the scale for the Laplace distribution is:</a:t>
              </a:r>
            </a:p>
            <a:p>
              <a:r>
                <a:rPr lang="en-US" sz="1100" b="0" i="0">
                  <a:latin typeface="Cambria Math" panose="02040503050406030204" pitchFamily="18" charset="0"/>
                </a:rPr>
                <a:t>𝑏=𝑆^∗/</a:t>
              </a:r>
              <a:r>
                <a:rPr lang="en-US" sz="1100" b="0" i="0">
                  <a:latin typeface="Cambria Math" panose="02040503050406030204" pitchFamily="18" charset="0"/>
                  <a:ea typeface="Cambria Math" panose="02040503050406030204" pitchFamily="18" charset="0"/>
                </a:rPr>
                <a:t>𝜀</a:t>
              </a:r>
              <a:endParaRPr lang="en-US" sz="1100"/>
            </a:p>
            <a:p>
              <a:endParaRPr lang="en-US" sz="1100"/>
            </a:p>
            <a:p>
              <a:r>
                <a:rPr lang="en-US" sz="1100"/>
                <a:t>Some analysis</a:t>
              </a:r>
              <a:r>
                <a:rPr lang="en-US" sz="1100" baseline="0"/>
                <a:t> tools/languages have a built-in way to sample from the Laplace distribution. If not, one can produce a sample from the Laplace distribution by:</a:t>
              </a:r>
            </a:p>
            <a:p>
              <a:endParaRPr lang="en-US" sz="1100" baseline="0"/>
            </a:p>
            <a:p>
              <a:r>
                <a:rPr lang="en-US" sz="1100" baseline="0"/>
                <a:t>1. If the functionality to sample from the expontential distribution is available, then take the difference between two independent samples from the exponential distribution with scale, </a:t>
              </a:r>
              <a:r>
                <a:rPr lang="en-US" sz="1100" b="0" i="0" baseline="0">
                  <a:latin typeface="Cambria Math" panose="02040503050406030204" pitchFamily="18" charset="0"/>
                </a:rPr>
                <a:t>𝑏</a:t>
              </a:r>
              <a:r>
                <a:rPr lang="en-US" sz="1100"/>
                <a:t>.</a:t>
              </a:r>
            </a:p>
            <a:p>
              <a:r>
                <a:rPr lang="en-US" sz="1100"/>
                <a:t>2. If the</a:t>
              </a:r>
              <a:r>
                <a:rPr lang="en-US" sz="1100" baseline="0"/>
                <a:t> functionality to sample from a uniform distribution, </a:t>
              </a:r>
              <a:r>
                <a:rPr lang="en-US" sz="1100" b="0" i="0" baseline="0">
                  <a:latin typeface="Cambria Math" panose="02040503050406030204" pitchFamily="18" charset="0"/>
                </a:rPr>
                <a:t>𝑈</a:t>
              </a:r>
              <a:r>
                <a:rPr lang="en-US" sz="1100" baseline="0"/>
                <a:t>, on the interval </a:t>
              </a:r>
              <a:r>
                <a:rPr lang="en-US" sz="1100" b="0" i="0" baseline="0">
                  <a:latin typeface="Cambria Math" panose="02040503050406030204" pitchFamily="18" charset="0"/>
                </a:rPr>
                <a:t>(−1/2┤,</a:t>
              </a:r>
              <a:r>
                <a:rPr lang="en-US" sz="1100" b="0" i="0" baseline="0">
                  <a:solidFill>
                    <a:schemeClr val="dk1"/>
                  </a:solidFill>
                  <a:effectLst/>
                  <a:latin typeface="Cambria Math" panose="02040503050406030204" pitchFamily="18" charset="0"/>
                  <a:ea typeface="+mn-ea"/>
                  <a:cs typeface="+mn-cs"/>
                </a:rPr>
                <a:t>├ 1/2]</a:t>
              </a:r>
              <a:r>
                <a:rPr lang="en-US" sz="1100" baseline="0"/>
                <a:t> is available, then a sample, </a:t>
              </a:r>
              <a:r>
                <a:rPr lang="en-US" sz="1100" b="0" i="0" baseline="0">
                  <a:latin typeface="Cambria Math" panose="02040503050406030204" pitchFamily="18" charset="0"/>
                </a:rPr>
                <a:t>𝐹</a:t>
              </a:r>
              <a:r>
                <a:rPr lang="en-US" sz="1100" baseline="0"/>
                <a:t>, can be calculated from: </a:t>
              </a:r>
              <a:endParaRPr lang="en-US" sz="1100" b="0" i="1" baseline="0">
                <a:latin typeface="Cambria Math" panose="02040503050406030204" pitchFamily="18" charset="0"/>
              </a:endParaRPr>
            </a:p>
            <a:p>
              <a:pPr/>
              <a:r>
                <a:rPr lang="en-US" sz="1100" b="0" i="0" baseline="0">
                  <a:latin typeface="Cambria Math" panose="02040503050406030204" pitchFamily="18" charset="0"/>
                </a:rPr>
                <a:t>𝐹=−𝑏 "sgn" (𝑈)  ln⁡(1−2|𝑈|)</a:t>
              </a:r>
              <a:endParaRPr lang="en-US" sz="1100" b="0" baseline="0"/>
            </a:p>
            <a:p>
              <a:endParaRPr lang="en-US" sz="1100"/>
            </a:p>
            <a:p>
              <a:r>
                <a:rPr lang="en-US" sz="1100"/>
                <a:t>In</a:t>
              </a:r>
              <a:r>
                <a:rPr lang="en-US" sz="1100" baseline="0"/>
                <a:t> Excel, the following functional form is equivalent (note that randomization of the sign function does not make a difference): </a:t>
              </a:r>
            </a:p>
            <a:p>
              <a:r>
                <a:rPr lang="en-US" sz="1100" baseline="0"/>
                <a:t>-SCALE*((-1)^RANDBETWEEN(0,1))*LN(1-2*ABS(0.5-RAND()))</a:t>
              </a:r>
            </a:p>
            <a:p>
              <a:r>
                <a:rPr lang="en-US" sz="1100" baseline="0"/>
                <a:t>where "SCALE" = </a:t>
              </a:r>
              <a:r>
                <a:rPr lang="en-US" sz="1100" b="0" i="0" baseline="0">
                  <a:latin typeface="Cambria Math" panose="02040503050406030204" pitchFamily="18" charset="0"/>
                </a:rPr>
                <a:t>𝑏</a:t>
              </a:r>
              <a:endParaRPr lang="en-US" sz="1100"/>
            </a:p>
          </xdr:txBody>
        </xdr:sp>
      </mc:Fallback>
    </mc:AlternateContent>
    <xdr:clientData/>
  </xdr:twoCellAnchor>
  <xdr:twoCellAnchor>
    <xdr:from>
      <xdr:col>11</xdr:col>
      <xdr:colOff>485775</xdr:colOff>
      <xdr:row>28</xdr:row>
      <xdr:rowOff>23811</xdr:rowOff>
    </xdr:from>
    <xdr:to>
      <xdr:col>23</xdr:col>
      <xdr:colOff>581025</xdr:colOff>
      <xdr:row>46</xdr:row>
      <xdr:rowOff>9524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487680</xdr:colOff>
      <xdr:row>46</xdr:row>
      <xdr:rowOff>38100</xdr:rowOff>
    </xdr:from>
    <xdr:to>
      <xdr:col>23</xdr:col>
      <xdr:colOff>582930</xdr:colOff>
      <xdr:row>64</xdr:row>
      <xdr:rowOff>23813</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4086225" cy="953466"/>
    <xdr:sp macro="" textlink="">
      <xdr:nvSpPr>
        <xdr:cNvPr id="2" name="TextBox 1"/>
        <xdr:cNvSpPr txBox="1"/>
      </xdr:nvSpPr>
      <xdr:spPr>
        <a:xfrm>
          <a:off x="0" y="0"/>
          <a:ext cx="4086225" cy="95346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The following data are totally random and are based on a couple of</a:t>
          </a:r>
          <a:r>
            <a:rPr lang="en-US" sz="1100" baseline="0"/>
            <a:t> simple transformations from draws to Excel's rand() function.</a:t>
          </a:r>
        </a:p>
        <a:p>
          <a:endParaRPr lang="en-US" sz="1100" baseline="0"/>
        </a:p>
        <a:p>
          <a:r>
            <a:rPr lang="en-US" sz="1100" baseline="0"/>
            <a:t>The industry size grouping is also chosen for convenience and is not linked to any specific size categorizations used in real data.</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4</xdr:col>
      <xdr:colOff>158115</xdr:colOff>
      <xdr:row>38</xdr:row>
      <xdr:rowOff>60960</xdr:rowOff>
    </xdr:from>
    <xdr:to>
      <xdr:col>10</xdr:col>
      <xdr:colOff>186690</xdr:colOff>
      <xdr:row>53</xdr:row>
      <xdr:rowOff>60960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15240</xdr:colOff>
      <xdr:row>17</xdr:row>
      <xdr:rowOff>30480</xdr:rowOff>
    </xdr:from>
    <xdr:to>
      <xdr:col>10</xdr:col>
      <xdr:colOff>43815</xdr:colOff>
      <xdr:row>32</xdr:row>
      <xdr:rowOff>30480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33337</xdr:colOff>
      <xdr:row>0</xdr:row>
      <xdr:rowOff>90487</xdr:rowOff>
    </xdr:from>
    <xdr:to>
      <xdr:col>10</xdr:col>
      <xdr:colOff>61912</xdr:colOff>
      <xdr:row>14</xdr:row>
      <xdr:rowOff>166687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147637</xdr:colOff>
      <xdr:row>0</xdr:row>
      <xdr:rowOff>90487</xdr:rowOff>
    </xdr:from>
    <xdr:to>
      <xdr:col>17</xdr:col>
      <xdr:colOff>452437</xdr:colOff>
      <xdr:row>14</xdr:row>
      <xdr:rowOff>166687</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157162</xdr:colOff>
      <xdr:row>17</xdr:row>
      <xdr:rowOff>23812</xdr:rowOff>
    </xdr:from>
    <xdr:to>
      <xdr:col>17</xdr:col>
      <xdr:colOff>461962</xdr:colOff>
      <xdr:row>31</xdr:row>
      <xdr:rowOff>100012</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261937</xdr:colOff>
      <xdr:row>38</xdr:row>
      <xdr:rowOff>71437</xdr:rowOff>
    </xdr:from>
    <xdr:to>
      <xdr:col>17</xdr:col>
      <xdr:colOff>566737</xdr:colOff>
      <xdr:row>52</xdr:row>
      <xdr:rowOff>147637</xdr:rowOff>
    </xdr:to>
    <xdr:graphicFrame macro="">
      <xdr:nvGraphicFramePr>
        <xdr:cNvPr id="9" name="Chart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7962900" cy="2022733"/>
    <mc:AlternateContent xmlns:mc="http://schemas.openxmlformats.org/markup-compatibility/2006" xmlns:a14="http://schemas.microsoft.com/office/drawing/2010/main">
      <mc:Choice Requires="a14">
        <xdr:sp macro="" textlink="">
          <xdr:nvSpPr>
            <xdr:cNvPr id="2" name="TextBox 1"/>
            <xdr:cNvSpPr txBox="1"/>
          </xdr:nvSpPr>
          <xdr:spPr>
            <a:xfrm>
              <a:off x="0" y="0"/>
              <a:ext cx="7962900" cy="202273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For a first</a:t>
              </a:r>
              <a:r>
                <a:rPr lang="en-US" sz="1100" baseline="0"/>
                <a:t> pass at a simple Laplace implementation, we will protect the count of firms by the selected characteristic.</a:t>
              </a:r>
            </a:p>
            <a:p>
              <a:endParaRPr lang="en-US" sz="1100"/>
            </a:p>
            <a:p>
              <a:r>
                <a:rPr lang="en-US" sz="1100"/>
                <a:t>Recall that</a:t>
              </a:r>
              <a:r>
                <a:rPr lang="en-US" sz="1100" baseline="0"/>
                <a:t> if all we need to do is protect the existence/nonexistence of a firm in the database, then we can add noise drawn from the following distribution:</a:t>
              </a:r>
            </a:p>
            <a:p>
              <a:pPr/>
              <a14:m>
                <m:oMathPara xmlns:m="http://schemas.openxmlformats.org/officeDocument/2006/math">
                  <m:oMathParaPr>
                    <m:jc m:val="centerGroup"/>
                  </m:oMathParaPr>
                  <m:oMath xmlns:m="http://schemas.openxmlformats.org/officeDocument/2006/math">
                    <m:r>
                      <a:rPr lang="en-US" sz="1100" i="1">
                        <a:latin typeface="Cambria Math" panose="02040503050406030204" pitchFamily="18" charset="0"/>
                        <a:ea typeface="Cambria Math" panose="02040503050406030204" pitchFamily="18" charset="0"/>
                      </a:rPr>
                      <m:t>𝜂</m:t>
                    </m:r>
                    <m:r>
                      <a:rPr lang="en-US" sz="1100" b="0" i="1">
                        <a:latin typeface="Cambria Math" panose="02040503050406030204" pitchFamily="18" charset="0"/>
                        <a:ea typeface="Cambria Math" panose="02040503050406030204" pitchFamily="18" charset="0"/>
                      </a:rPr>
                      <m:t>∼</m:t>
                    </m:r>
                    <m:r>
                      <m:rPr>
                        <m:nor/>
                      </m:rPr>
                      <a:rPr lang="en-US" sz="1100" b="0" i="0">
                        <a:latin typeface="Cambria Math" panose="02040503050406030204" pitchFamily="18" charset="0"/>
                        <a:ea typeface="Cambria Math" panose="02040503050406030204" pitchFamily="18" charset="0"/>
                      </a:rPr>
                      <m:t>Lap</m:t>
                    </m:r>
                    <m:d>
                      <m:dPr>
                        <m:ctrlPr>
                          <a:rPr lang="en-US" sz="1100" b="0" i="1">
                            <a:latin typeface="Cambria Math" panose="02040503050406030204" pitchFamily="18" charset="0"/>
                            <a:ea typeface="Cambria Math" panose="02040503050406030204" pitchFamily="18" charset="0"/>
                          </a:rPr>
                        </m:ctrlPr>
                      </m:dPr>
                      <m:e>
                        <m:f>
                          <m:fPr>
                            <m:ctrlPr>
                              <a:rPr lang="en-US" sz="1100" b="0" i="1">
                                <a:latin typeface="Cambria Math" panose="02040503050406030204" pitchFamily="18" charset="0"/>
                                <a:ea typeface="Cambria Math" panose="02040503050406030204" pitchFamily="18" charset="0"/>
                              </a:rPr>
                            </m:ctrlPr>
                          </m:fPr>
                          <m:num>
                            <m:sSup>
                              <m:sSupPr>
                                <m:ctrlPr>
                                  <a:rPr lang="en-US" sz="1100" b="0" i="1">
                                    <a:solidFill>
                                      <a:schemeClr val="tx1"/>
                                    </a:solidFill>
                                    <a:effectLst/>
                                    <a:latin typeface="Cambria Math" panose="02040503050406030204" pitchFamily="18" charset="0"/>
                                    <a:ea typeface="+mn-ea"/>
                                    <a:cs typeface="+mn-cs"/>
                                  </a:rPr>
                                </m:ctrlPr>
                              </m:sSupPr>
                              <m:e>
                                <m:r>
                                  <a:rPr lang="en-US" sz="1100" b="0" i="1">
                                    <a:solidFill>
                                      <a:schemeClr val="tx1"/>
                                    </a:solidFill>
                                    <a:effectLst/>
                                    <a:latin typeface="Cambria Math" panose="02040503050406030204" pitchFamily="18" charset="0"/>
                                    <a:ea typeface="+mn-ea"/>
                                    <a:cs typeface="+mn-cs"/>
                                  </a:rPr>
                                  <m:t>𝑆</m:t>
                                </m:r>
                              </m:e>
                              <m:sup>
                                <m:r>
                                  <a:rPr lang="en-US" sz="1100" b="0" i="1">
                                    <a:solidFill>
                                      <a:schemeClr val="tx1"/>
                                    </a:solidFill>
                                    <a:effectLst/>
                                    <a:latin typeface="Cambria Math" panose="02040503050406030204" pitchFamily="18" charset="0"/>
                                    <a:ea typeface="+mn-ea"/>
                                    <a:cs typeface="+mn-cs"/>
                                  </a:rPr>
                                  <m:t>∗</m:t>
                                </m:r>
                              </m:sup>
                            </m:sSup>
                          </m:num>
                          <m:den>
                            <m:r>
                              <a:rPr lang="en-US" sz="1100" b="0" i="1">
                                <a:solidFill>
                                  <a:schemeClr val="tx1"/>
                                </a:solidFill>
                                <a:effectLst/>
                                <a:latin typeface="Cambria Math" panose="02040503050406030204" pitchFamily="18" charset="0"/>
                                <a:ea typeface="+mn-ea"/>
                                <a:cs typeface="+mn-cs"/>
                              </a:rPr>
                              <m:t>𝜀</m:t>
                            </m:r>
                          </m:den>
                        </m:f>
                      </m:e>
                    </m:d>
                  </m:oMath>
                </m:oMathPara>
              </a14:m>
              <a:endParaRPr lang="en-US" sz="1100"/>
            </a:p>
            <a:p>
              <a:r>
                <a:rPr lang="en-US" sz="1100"/>
                <a:t>Since the</a:t>
              </a:r>
              <a:r>
                <a:rPr lang="en-US" sz="1100" baseline="0"/>
                <a:t> sensitivity of the Firm Count query is 1 (removing/adding a firm from the database at most changes the answer to the count query by 1), then we set </a:t>
              </a:r>
              <a14:m>
                <m:oMath xmlns:m="http://schemas.openxmlformats.org/officeDocument/2006/math">
                  <m:sSup>
                    <m:sSupPr>
                      <m:ctrlPr>
                        <a:rPr lang="en-US" sz="1100" i="1" baseline="0">
                          <a:latin typeface="Cambria Math" panose="02040503050406030204" pitchFamily="18" charset="0"/>
                        </a:rPr>
                      </m:ctrlPr>
                    </m:sSupPr>
                    <m:e>
                      <m:r>
                        <a:rPr lang="en-US" sz="1100" b="0" i="1" baseline="0">
                          <a:latin typeface="Cambria Math" panose="02040503050406030204" pitchFamily="18" charset="0"/>
                        </a:rPr>
                        <m:t>𝑆</m:t>
                      </m:r>
                    </m:e>
                    <m:sup>
                      <m:r>
                        <a:rPr lang="en-US" sz="1100" b="0" i="1" baseline="0">
                          <a:latin typeface="Cambria Math" panose="02040503050406030204" pitchFamily="18" charset="0"/>
                        </a:rPr>
                        <m:t>∗</m:t>
                      </m:r>
                    </m:sup>
                  </m:sSup>
                  <m:r>
                    <a:rPr lang="en-US" sz="1100" b="0" i="1" baseline="0">
                      <a:latin typeface="Cambria Math" panose="02040503050406030204" pitchFamily="18" charset="0"/>
                    </a:rPr>
                    <m:t>=1</m:t>
                  </m:r>
                </m:oMath>
              </a14:m>
              <a:r>
                <a:rPr lang="en-US" sz="1100"/>
                <a:t>.</a:t>
              </a:r>
              <a:r>
                <a:rPr lang="en-US" sz="1100" baseline="0"/>
                <a:t> </a:t>
              </a:r>
              <a:r>
                <a:rPr lang="en-US" sz="1100"/>
                <a:t>The privacy parameter, </a:t>
              </a:r>
              <a14:m>
                <m:oMath xmlns:m="http://schemas.openxmlformats.org/officeDocument/2006/math">
                  <m:r>
                    <a:rPr lang="en-US" sz="1100" i="1">
                      <a:latin typeface="Cambria Math" panose="02040503050406030204" pitchFamily="18" charset="0"/>
                      <a:ea typeface="Cambria Math" panose="02040503050406030204" pitchFamily="18" charset="0"/>
                    </a:rPr>
                    <m:t>𝜀</m:t>
                  </m:r>
                </m:oMath>
              </a14:m>
              <a:r>
                <a:rPr lang="en-US" sz="1100"/>
                <a:t>, is ours</a:t>
              </a:r>
              <a:r>
                <a:rPr lang="en-US" sz="1100" baseline="0"/>
                <a:t> to choose.</a:t>
              </a:r>
            </a:p>
            <a:p>
              <a:endParaRPr lang="en-US" sz="1100" baseline="0"/>
            </a:p>
            <a:p>
              <a:r>
                <a:rPr lang="en-US" sz="1100" baseline="0"/>
                <a:t>In this first example, we protect two tables: Industry and Firm Size. Each gets the same privacy parameter, </a:t>
              </a:r>
              <a14:m>
                <m:oMath xmlns:m="http://schemas.openxmlformats.org/officeDocument/2006/math">
                  <m:r>
                    <a:rPr lang="en-US" sz="1100" i="1" baseline="0">
                      <a:latin typeface="Cambria Math" panose="02040503050406030204" pitchFamily="18" charset="0"/>
                      <a:ea typeface="Cambria Math" panose="02040503050406030204" pitchFamily="18" charset="0"/>
                    </a:rPr>
                    <m:t>𝜀</m:t>
                  </m:r>
                </m:oMath>
              </a14:m>
              <a:r>
                <a:rPr lang="en-US" sz="1100" baseline="0"/>
                <a:t>, but since the queries that produce these tables do not compose well, </a:t>
              </a:r>
              <a:r>
                <a:rPr lang="en-US" sz="1100" b="1" baseline="0"/>
                <a:t>we have to add the values of </a:t>
              </a:r>
              <a14:m>
                <m:oMath xmlns:m="http://schemas.openxmlformats.org/officeDocument/2006/math">
                  <m:r>
                    <a:rPr lang="en-US" sz="1100" b="1" i="1" baseline="0">
                      <a:latin typeface="Cambria Math" panose="02040503050406030204" pitchFamily="18" charset="0"/>
                      <a:ea typeface="Cambria Math" panose="02040503050406030204" pitchFamily="18" charset="0"/>
                    </a:rPr>
                    <m:t>𝜺</m:t>
                  </m:r>
                </m:oMath>
              </a14:m>
              <a:r>
                <a:rPr lang="en-US" sz="1100" b="1"/>
                <a:t> together to get the total privacy budget.</a:t>
              </a:r>
            </a:p>
          </xdr:txBody>
        </xdr:sp>
      </mc:Choice>
      <mc:Fallback xmlns="">
        <xdr:sp macro="" textlink="">
          <xdr:nvSpPr>
            <xdr:cNvPr id="2" name="TextBox 1"/>
            <xdr:cNvSpPr txBox="1"/>
          </xdr:nvSpPr>
          <xdr:spPr>
            <a:xfrm>
              <a:off x="0" y="0"/>
              <a:ext cx="7962900" cy="2022733"/>
            </a:xfrm>
            <a:prstGeom prst="rect">
              <a:avLst/>
            </a:prstGeom>
            <a:solidFill>
              <a:schemeClr val="bg1"/>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For a first</a:t>
              </a:r>
              <a:r>
                <a:rPr lang="en-US" sz="1100" baseline="0"/>
                <a:t> pass at a simple Laplace implementation, we will protect the count of firms by the selected characteristic.</a:t>
              </a:r>
            </a:p>
            <a:p>
              <a:endParaRPr lang="en-US" sz="1100"/>
            </a:p>
            <a:p>
              <a:r>
                <a:rPr lang="en-US" sz="1100"/>
                <a:t>Recall that</a:t>
              </a:r>
              <a:r>
                <a:rPr lang="en-US" sz="1100" baseline="0"/>
                <a:t> if all we need to do is protect the existence/nonexistence of a firm in the database, then we can add noise drawn from the following distribution:</a:t>
              </a:r>
            </a:p>
            <a:p>
              <a:pPr/>
              <a:r>
                <a:rPr lang="en-US" sz="1100" i="0">
                  <a:latin typeface="Cambria Math" panose="02040503050406030204" pitchFamily="18" charset="0"/>
                  <a:ea typeface="Cambria Math" panose="02040503050406030204" pitchFamily="18" charset="0"/>
                </a:rPr>
                <a:t>𝜂</a:t>
              </a:r>
              <a:r>
                <a:rPr lang="en-US" sz="1100" b="0" i="0">
                  <a:latin typeface="Cambria Math" panose="02040503050406030204" pitchFamily="18" charset="0"/>
                  <a:ea typeface="Cambria Math" panose="02040503050406030204" pitchFamily="18" charset="0"/>
                </a:rPr>
                <a:t>∼"Lap" (</a:t>
              </a:r>
              <a:r>
                <a:rPr lang="en-US" sz="1100" b="0" i="0">
                  <a:solidFill>
                    <a:schemeClr val="tx1"/>
                  </a:solidFill>
                  <a:effectLst/>
                  <a:latin typeface="Cambria Math" panose="02040503050406030204" pitchFamily="18" charset="0"/>
                  <a:ea typeface="+mn-ea"/>
                  <a:cs typeface="+mn-cs"/>
                </a:rPr>
                <a:t>𝑆^∗</a:t>
              </a:r>
              <a:r>
                <a:rPr lang="en-US" sz="1100" b="0" i="0">
                  <a:solidFill>
                    <a:schemeClr val="tx1"/>
                  </a:solidFill>
                  <a:effectLst/>
                  <a:latin typeface="Cambria Math" panose="02040503050406030204" pitchFamily="18" charset="0"/>
                  <a:ea typeface="Cambria Math" panose="02040503050406030204" pitchFamily="18" charset="0"/>
                  <a:cs typeface="+mn-cs"/>
                </a:rPr>
                <a:t>/</a:t>
              </a:r>
              <a:r>
                <a:rPr lang="en-US" sz="1100" b="0" i="0">
                  <a:solidFill>
                    <a:schemeClr val="tx1"/>
                  </a:solidFill>
                  <a:effectLst/>
                  <a:latin typeface="Cambria Math" panose="02040503050406030204" pitchFamily="18" charset="0"/>
                  <a:ea typeface="+mn-ea"/>
                  <a:cs typeface="+mn-cs"/>
                </a:rPr>
                <a:t>𝜀)</a:t>
              </a:r>
              <a:endParaRPr lang="en-US" sz="1100"/>
            </a:p>
            <a:p>
              <a:r>
                <a:rPr lang="en-US" sz="1100"/>
                <a:t>Since the</a:t>
              </a:r>
              <a:r>
                <a:rPr lang="en-US" sz="1100" baseline="0"/>
                <a:t> sensitivity of the Firm Count query is 1 (removing/adding a firm from the database at most changes the answer to the count query by 1), then we set </a:t>
              </a:r>
              <a:r>
                <a:rPr lang="en-US" sz="1100" b="0" i="0" baseline="0">
                  <a:latin typeface="Cambria Math" panose="02040503050406030204" pitchFamily="18" charset="0"/>
                </a:rPr>
                <a:t>𝑆^∗=1</a:t>
              </a:r>
              <a:r>
                <a:rPr lang="en-US" sz="1100"/>
                <a:t>.</a:t>
              </a:r>
              <a:r>
                <a:rPr lang="en-US" sz="1100" baseline="0"/>
                <a:t> </a:t>
              </a:r>
              <a:r>
                <a:rPr lang="en-US" sz="1100"/>
                <a:t>The privacy parameter, </a:t>
              </a:r>
              <a:r>
                <a:rPr lang="en-US" sz="1100" i="0">
                  <a:latin typeface="Cambria Math" panose="02040503050406030204" pitchFamily="18" charset="0"/>
                  <a:ea typeface="Cambria Math" panose="02040503050406030204" pitchFamily="18" charset="0"/>
                </a:rPr>
                <a:t>𝜀</a:t>
              </a:r>
              <a:r>
                <a:rPr lang="en-US" sz="1100"/>
                <a:t>, is ours</a:t>
              </a:r>
              <a:r>
                <a:rPr lang="en-US" sz="1100" baseline="0"/>
                <a:t> to choose.</a:t>
              </a:r>
            </a:p>
            <a:p>
              <a:endParaRPr lang="en-US" sz="1100" baseline="0"/>
            </a:p>
            <a:p>
              <a:r>
                <a:rPr lang="en-US" sz="1100" baseline="0"/>
                <a:t>In this first example, we protect two tables: Industry and Firm Size. Each gets the same privacy parameter, </a:t>
              </a:r>
              <a:r>
                <a:rPr lang="en-US" sz="1100" i="0" baseline="0">
                  <a:latin typeface="Cambria Math" panose="02040503050406030204" pitchFamily="18" charset="0"/>
                  <a:ea typeface="Cambria Math" panose="02040503050406030204" pitchFamily="18" charset="0"/>
                </a:rPr>
                <a:t>𝜀</a:t>
              </a:r>
              <a:r>
                <a:rPr lang="en-US" sz="1100" baseline="0"/>
                <a:t>, but since the queries that produce these tables do not compose well, </a:t>
              </a:r>
              <a:r>
                <a:rPr lang="en-US" sz="1100" b="1" baseline="0"/>
                <a:t>we have to add the values of </a:t>
              </a:r>
              <a:r>
                <a:rPr lang="en-US" sz="1100" b="1" i="0" baseline="0">
                  <a:latin typeface="Cambria Math" panose="02040503050406030204" pitchFamily="18" charset="0"/>
                  <a:ea typeface="Cambria Math" panose="02040503050406030204" pitchFamily="18" charset="0"/>
                </a:rPr>
                <a:t>𝜺</a:t>
              </a:r>
              <a:r>
                <a:rPr lang="en-US" sz="1100" b="1"/>
                <a:t> together to get the total privacy budget.</a:t>
              </a:r>
            </a:p>
          </xdr:txBody>
        </xdr:sp>
      </mc:Fallback>
    </mc:AlternateContent>
    <xdr:clientData/>
  </xdr:oneCellAnchor>
  <xdr:oneCellAnchor>
    <xdr:from>
      <xdr:col>0</xdr:col>
      <xdr:colOff>7620</xdr:colOff>
      <xdr:row>42</xdr:row>
      <xdr:rowOff>129540</xdr:rowOff>
    </xdr:from>
    <xdr:ext cx="7673340" cy="953466"/>
    <xdr:sp macro="" textlink="">
      <xdr:nvSpPr>
        <xdr:cNvPr id="4" name="TextBox 3"/>
        <xdr:cNvSpPr txBox="1"/>
      </xdr:nvSpPr>
      <xdr:spPr>
        <a:xfrm>
          <a:off x="7620" y="7825740"/>
          <a:ext cx="7673340" cy="953466"/>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The next implementation looks</a:t>
          </a:r>
          <a:r>
            <a:rPr lang="en-US" sz="1100" baseline="0"/>
            <a:t> at protecting the crossing of Industry and Firm Size. In this case, we produce the true crosstab and add Laplace noise to it. Then we aggregate to produce the Industry table and the Firm Size table. For comparison's sake, we should set the parameters to make the privacy loss budget in this implementation the same as the privacy loss budget in the implementation above. Generally, the errors on the Industry or Firm Size tables will be larger in this case, BUT you would also get to publish the crosstabbed table as well (which is not the case in the first implementation).</a:t>
          </a:r>
          <a:endParaRPr lang="en-US" sz="1100"/>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0</xdr:col>
      <xdr:colOff>0</xdr:colOff>
      <xdr:row>0</xdr:row>
      <xdr:rowOff>0</xdr:rowOff>
    </xdr:from>
    <xdr:ext cx="6200774" cy="2847959"/>
    <xdr:sp macro="" textlink="">
      <xdr:nvSpPr>
        <xdr:cNvPr id="3" name="TextBox 2"/>
        <xdr:cNvSpPr txBox="1"/>
      </xdr:nvSpPr>
      <xdr:spPr>
        <a:xfrm>
          <a:off x="0" y="0"/>
          <a:ext cx="6200774" cy="2847959"/>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 this section we move from trying to protect counts of firms</a:t>
          </a:r>
          <a:r>
            <a:rPr lang="en-US" sz="1100" baseline="0"/>
            <a:t> (which was relatively easy) to trying to protect counts of employment, which is more difficult.</a:t>
          </a:r>
        </a:p>
        <a:p>
          <a:endParaRPr lang="en-US" sz="1100" baseline="0"/>
        </a:p>
        <a:p>
          <a:r>
            <a:rPr lang="en-US" sz="1100" baseline="0"/>
            <a:t>The main reason that protecting employment counts from businesses is more difficult is the sensitivity of employment queries. Whereas adding or removing a single firm can only change the answer to a firm count query by 1, the same operation can change the answer to an employment query by many thousands.</a:t>
          </a:r>
        </a:p>
        <a:p>
          <a:endParaRPr lang="en-US" sz="1100" baseline="0"/>
        </a:p>
        <a:p>
          <a:r>
            <a:rPr lang="en-US" sz="1100" baseline="0"/>
            <a:t>That is, when we think about adding or removing a firm from the database, </a:t>
          </a:r>
          <a:r>
            <a:rPr lang="en-US" sz="1100" b="1" baseline="0"/>
            <a:t>we have to take the worst case approach and remove the largest firm or add in the </a:t>
          </a:r>
          <a:r>
            <a:rPr lang="en-US" sz="1100" b="1" i="1" baseline="0"/>
            <a:t>largest firm we can imagine</a:t>
          </a:r>
          <a:r>
            <a:rPr lang="en-US" sz="1100" b="1" baseline="0"/>
            <a:t>.</a:t>
          </a:r>
        </a:p>
        <a:p>
          <a:endParaRPr lang="en-US" sz="1100" baseline="0"/>
        </a:p>
        <a:p>
          <a:r>
            <a:rPr lang="en-US" sz="1100" baseline="0"/>
            <a:t>In this case we must set the sensitivity to a very large number. However, that means adding significant amounts of noise to the cells and destroys the quality.</a:t>
          </a:r>
        </a:p>
        <a:p>
          <a:endParaRPr lang="en-US" sz="1100"/>
        </a:p>
        <a:p>
          <a:r>
            <a:rPr lang="en-US" sz="1100"/>
            <a:t>Below we look at publishing two</a:t>
          </a:r>
          <a:r>
            <a:rPr lang="en-US" sz="1100" baseline="0"/>
            <a:t> tables: one by geography and one by firm size. The nature of the sensitivity calculation can be handled a little differently for the firm size table, which is to our advantage.</a:t>
          </a:r>
          <a:endParaRPr lang="en-US" sz="1100"/>
        </a:p>
      </xdr:txBody>
    </xdr:sp>
    <xdr:clientData/>
  </xdr:oneCellAnchor>
  <xdr:oneCellAnchor>
    <xdr:from>
      <xdr:col>0</xdr:col>
      <xdr:colOff>0</xdr:colOff>
      <xdr:row>47</xdr:row>
      <xdr:rowOff>186690</xdr:rowOff>
    </xdr:from>
    <xdr:ext cx="6124575" cy="1975485"/>
    <xdr:sp macro="" textlink="">
      <xdr:nvSpPr>
        <xdr:cNvPr id="4" name="TextBox 3"/>
        <xdr:cNvSpPr txBox="1"/>
      </xdr:nvSpPr>
      <xdr:spPr>
        <a:xfrm>
          <a:off x="0" y="9140190"/>
          <a:ext cx="6124575" cy="1975485"/>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In the Firm</a:t>
          </a:r>
          <a:r>
            <a:rPr lang="en-US" sz="1100" baseline="0"/>
            <a:t> Size table below, the sensitivity can be set differently for each of the cells we want to publish because the firm size categories give us maximum firm sizes which are significatly smaller (except in the last cell) than the worst case scenario of adding or removing the largest possible firm from every cell.</a:t>
          </a:r>
        </a:p>
        <a:p>
          <a:endParaRPr lang="en-US" sz="1100" baseline="0"/>
        </a:p>
        <a:p>
          <a:r>
            <a:rPr lang="en-US" sz="1100" baseline="0"/>
            <a:t>For example, in the Firm Size = 2, which includes firms with employment in the range, [11,50], we can set the sensitivity at 50 because we know that we will not be adding or removing any firms larger than 50 from this particular cell.</a:t>
          </a:r>
        </a:p>
        <a:p>
          <a:endParaRPr lang="en-US" sz="1100" baseline="0"/>
        </a:p>
        <a:p>
          <a:r>
            <a:rPr lang="en-US" sz="1100" baseline="0"/>
            <a:t>This arrangement helps us in all the Firm Size groups except the top one (Firm Size = 8), in which we must against use the worst case sensitivity number. That means that this cell—and any totals constructed from it</a:t>
          </a:r>
          <a:r>
            <a:rPr lang="en-US" sz="1100" baseline="0">
              <a:solidFill>
                <a:schemeClr val="tx1"/>
              </a:solidFill>
              <a:effectLst/>
              <a:latin typeface="+mn-lt"/>
              <a:ea typeface="+mn-ea"/>
              <a:cs typeface="+mn-cs"/>
            </a:rPr>
            <a:t>—</a:t>
          </a:r>
          <a:r>
            <a:rPr lang="en-US" sz="1100" baseline="0"/>
            <a:t>often will be dominated by noise.</a:t>
          </a:r>
        </a:p>
        <a:p>
          <a:endParaRPr lang="en-US" sz="1100"/>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0</xdr:col>
      <xdr:colOff>1</xdr:colOff>
      <xdr:row>0</xdr:row>
      <xdr:rowOff>0</xdr:rowOff>
    </xdr:from>
    <xdr:ext cx="7772400" cy="3805978"/>
    <mc:AlternateContent xmlns:mc="http://schemas.openxmlformats.org/markup-compatibility/2006" xmlns:a14="http://schemas.microsoft.com/office/drawing/2010/main">
      <mc:Choice Requires="a14">
        <xdr:sp macro="" textlink="">
          <xdr:nvSpPr>
            <xdr:cNvPr id="2" name="TextBox 1"/>
            <xdr:cNvSpPr txBox="1"/>
          </xdr:nvSpPr>
          <xdr:spPr>
            <a:xfrm>
              <a:off x="1" y="0"/>
              <a:ext cx="7772400" cy="3805978"/>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This tab shows an alternative approach</a:t>
              </a:r>
              <a:r>
                <a:rPr lang="en-US" sz="1100" baseline="0"/>
                <a:t> for protecting employment based on an implementation of differential privacy within the Pufferfish framework. (In the Haney paper, this was referred to as </a:t>
              </a:r>
              <a:r>
                <a:rPr lang="en-US" sz="1100">
                  <a:solidFill>
                    <a:schemeClr val="tx1"/>
                  </a:solidFill>
                  <a:effectLst/>
                  <a:latin typeface="+mn-lt"/>
                  <a:ea typeface="+mn-ea"/>
                  <a:cs typeface="+mn-cs"/>
                </a:rPr>
                <a:t>the </a:t>
              </a:r>
              <a14:m>
                <m:oMath xmlns:m="http://schemas.openxmlformats.org/officeDocument/2006/math">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𝛼</m:t>
                  </m:r>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𝛿</m:t>
                  </m:r>
                  <m:r>
                    <a:rPr lang="en-US" sz="1100" i="1">
                      <a:solidFill>
                        <a:schemeClr val="tx1"/>
                      </a:solidFill>
                      <a:effectLst/>
                      <a:latin typeface="Cambria Math" panose="02040503050406030204" pitchFamily="18" charset="0"/>
                      <a:ea typeface="+mn-ea"/>
                      <a:cs typeface="+mn-cs"/>
                    </a:rPr>
                    <m:t>)</m:t>
                  </m:r>
                </m:oMath>
              </a14:m>
              <a:r>
                <a:rPr lang="en-US" sz="1100">
                  <a:solidFill>
                    <a:schemeClr val="tx1"/>
                  </a:solidFill>
                  <a:effectLst/>
                  <a:latin typeface="+mn-lt"/>
                  <a:ea typeface="+mn-ea"/>
                  <a:cs typeface="+mn-cs"/>
                </a:rPr>
                <a:t>-ER-EE Privacy.)</a:t>
              </a:r>
              <a:endParaRPr lang="en-US" sz="1100" baseline="0"/>
            </a:p>
            <a:p>
              <a:endParaRPr lang="en-US" sz="1100" baseline="0"/>
            </a:p>
            <a:p>
              <a:r>
                <a:rPr lang="en-US" sz="1100" baseline="0"/>
                <a:t>Briefly, we relax our privacy constraint from a situation in which we must protect the addition or removal of an entire firm from the database to an arrangement in which we provide protection only within a specific range of some characteristic (employment in this case).</a:t>
              </a:r>
            </a:p>
            <a:p>
              <a:endParaRPr lang="en-US" sz="1100" baseline="0"/>
            </a:p>
            <a:p>
              <a:r>
                <a:rPr lang="en-US" sz="1100" baseline="0"/>
                <a:t>This range of "indistiguishability" is parameterized by a multiplicative factor, </a:t>
              </a:r>
              <a14:m>
                <m:oMath xmlns:m="http://schemas.openxmlformats.org/officeDocument/2006/math">
                  <m:r>
                    <a:rPr lang="en-US" sz="1100" i="1" baseline="0">
                      <a:latin typeface="Cambria Math" panose="02040503050406030204" pitchFamily="18" charset="0"/>
                      <a:ea typeface="Cambria Math" panose="02040503050406030204" pitchFamily="18" charset="0"/>
                    </a:rPr>
                    <m:t>𝛼</m:t>
                  </m:r>
                  <m:r>
                    <a:rPr lang="en-US" sz="1100" b="0" i="0" baseline="0">
                      <a:latin typeface="Cambria Math" panose="02040503050406030204" pitchFamily="18" charset="0"/>
                      <a:ea typeface="Cambria Math" panose="02040503050406030204" pitchFamily="18" charset="0"/>
                    </a:rPr>
                    <m:t>.</m:t>
                  </m:r>
                </m:oMath>
              </a14:m>
              <a:r>
                <a:rPr lang="en-US" sz="1100"/>
                <a:t> For a given value of </a:t>
              </a:r>
              <a14:m>
                <m:oMath xmlns:m="http://schemas.openxmlformats.org/officeDocument/2006/math">
                  <m:r>
                    <a:rPr lang="en-US" sz="1100" i="1">
                      <a:latin typeface="Cambria Math" panose="02040503050406030204" pitchFamily="18" charset="0"/>
                      <a:ea typeface="Cambria Math" panose="02040503050406030204" pitchFamily="18" charset="0"/>
                    </a:rPr>
                    <m:t>𝛼</m:t>
                  </m:r>
                </m:oMath>
              </a14:m>
              <a:r>
                <a:rPr lang="en-US" sz="1100"/>
                <a:t> the differential privacy guarantee bounding</a:t>
              </a:r>
              <a:r>
                <a:rPr lang="en-US" sz="1100" baseline="0"/>
                <a:t> an attacker's ability to distinguish between two firms with employment values of </a:t>
              </a:r>
              <a14:m>
                <m:oMath xmlns:m="http://schemas.openxmlformats.org/officeDocument/2006/math">
                  <m:r>
                    <a:rPr lang="en-US" sz="1100" b="0" i="1" baseline="0">
                      <a:latin typeface="Cambria Math" panose="02040503050406030204" pitchFamily="18" charset="0"/>
                    </a:rPr>
                    <m:t>𝑥</m:t>
                  </m:r>
                </m:oMath>
              </a14:m>
              <a:r>
                <a:rPr lang="en-US" sz="1100"/>
                <a:t> and </a:t>
              </a:r>
              <a14:m>
                <m:oMath xmlns:m="http://schemas.openxmlformats.org/officeDocument/2006/math">
                  <m:r>
                    <a:rPr lang="en-US" sz="1100" b="0" i="1">
                      <a:latin typeface="Cambria Math" panose="02040503050406030204" pitchFamily="18" charset="0"/>
                    </a:rPr>
                    <m:t>𝑦</m:t>
                  </m:r>
                </m:oMath>
              </a14:m>
              <a:r>
                <a:rPr lang="en-US" sz="1100"/>
                <a:t> will be guaranteed if the following</a:t>
              </a:r>
              <a:r>
                <a:rPr lang="en-US" sz="1100" baseline="0"/>
                <a:t> inequalities are true:</a:t>
              </a:r>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𝑥</m:t>
                    </m:r>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𝑦</m:t>
                    </m:r>
                    <m:r>
                      <a:rPr lang="en-US" sz="1100" b="0" i="1">
                        <a:latin typeface="Cambria Math" panose="02040503050406030204" pitchFamily="18" charset="0"/>
                        <a:ea typeface="Cambria Math" panose="02040503050406030204" pitchFamily="18" charset="0"/>
                      </a:rPr>
                      <m:t>≤</m:t>
                    </m:r>
                    <m:r>
                      <m:rPr>
                        <m:nor/>
                      </m:rPr>
                      <a:rPr lang="en-US" sz="1100" b="0" i="0">
                        <a:latin typeface="Cambria Math" panose="02040503050406030204" pitchFamily="18" charset="0"/>
                        <a:ea typeface="Cambria Math" panose="02040503050406030204" pitchFamily="18" charset="0"/>
                      </a:rPr>
                      <m:t>ceil</m:t>
                    </m:r>
                    <m:d>
                      <m:dPr>
                        <m:begChr m:val="["/>
                        <m:endChr m:val="]"/>
                        <m:ctrlPr>
                          <a:rPr lang="en-US" sz="1100" b="0" i="1">
                            <a:latin typeface="Cambria Math" panose="02040503050406030204" pitchFamily="18" charset="0"/>
                            <a:ea typeface="Cambria Math" panose="02040503050406030204" pitchFamily="18" charset="0"/>
                          </a:rPr>
                        </m:ctrlPr>
                      </m:dPr>
                      <m:e>
                        <m:d>
                          <m:dPr>
                            <m:ctrlPr>
                              <a:rPr lang="en-US" sz="1100" b="0" i="1">
                                <a:latin typeface="Cambria Math" panose="02040503050406030204" pitchFamily="18" charset="0"/>
                                <a:ea typeface="Cambria Math" panose="02040503050406030204" pitchFamily="18" charset="0"/>
                              </a:rPr>
                            </m:ctrlPr>
                          </m:dPr>
                          <m:e>
                            <m:r>
                              <a:rPr lang="en-US" sz="1100" b="0" i="1">
                                <a:latin typeface="Cambria Math" panose="02040503050406030204" pitchFamily="18" charset="0"/>
                                <a:ea typeface="Cambria Math" panose="02040503050406030204" pitchFamily="18" charset="0"/>
                              </a:rPr>
                              <m:t>1+</m:t>
                            </m:r>
                            <m:r>
                              <a:rPr lang="en-US" sz="1100" b="0" i="1">
                                <a:latin typeface="Cambria Math" panose="02040503050406030204" pitchFamily="18" charset="0"/>
                                <a:ea typeface="Cambria Math" panose="02040503050406030204" pitchFamily="18" charset="0"/>
                              </a:rPr>
                              <m:t>𝛼</m:t>
                            </m:r>
                          </m:e>
                        </m:d>
                        <m:r>
                          <a:rPr lang="en-US" sz="1100" b="0" i="1">
                            <a:latin typeface="Cambria Math" panose="02040503050406030204" pitchFamily="18" charset="0"/>
                            <a:ea typeface="Cambria Math" panose="02040503050406030204" pitchFamily="18" charset="0"/>
                          </a:rPr>
                          <m:t>𝑥</m:t>
                        </m:r>
                      </m:e>
                    </m:d>
                  </m:oMath>
                </m:oMathPara>
              </a14:m>
              <a:endParaRPr lang="en-US" sz="1100"/>
            </a:p>
            <a:p>
              <a:endParaRPr lang="en-US" sz="1100"/>
            </a:p>
            <a:p>
              <a:r>
                <a:rPr lang="en-US" sz="1100"/>
                <a:t>A rule of thumb (not an exact solution) is that the range of indistinguishability is </a:t>
              </a:r>
              <a14:m>
                <m:oMath xmlns:m="http://schemas.openxmlformats.org/officeDocument/2006/math">
                  <m:r>
                    <a:rPr lang="en-US" sz="1100" i="1">
                      <a:latin typeface="Cambria Math" panose="02040503050406030204" pitchFamily="18" charset="0"/>
                      <a:ea typeface="Cambria Math" panose="02040503050406030204" pitchFamily="18" charset="0"/>
                    </a:rPr>
                    <m:t>±</m:t>
                  </m:r>
                  <m:r>
                    <a:rPr lang="en-US" sz="1100" i="1">
                      <a:latin typeface="Cambria Math" panose="02040503050406030204" pitchFamily="18" charset="0"/>
                      <a:ea typeface="Cambria Math" panose="02040503050406030204" pitchFamily="18" charset="0"/>
                    </a:rPr>
                    <m:t>𝛼</m:t>
                  </m:r>
                  <m:r>
                    <a:rPr lang="en-US" sz="1100" i="1">
                      <a:latin typeface="Cambria Math" panose="02040503050406030204" pitchFamily="18" charset="0"/>
                      <a:ea typeface="Cambria Math" panose="02040503050406030204" pitchFamily="18" charset="0"/>
                    </a:rPr>
                    <m:t>∙100%</m:t>
                  </m:r>
                </m:oMath>
              </a14:m>
              <a:r>
                <a:rPr lang="en-US" sz="1100"/>
                <a:t>.</a:t>
              </a:r>
            </a:p>
            <a:p>
              <a:endParaRPr lang="en-US" sz="1100"/>
            </a:p>
            <a:p>
              <a:r>
                <a:rPr lang="en-US" sz="1100"/>
                <a:t>The other key piece of this method is the use of a smooth sensitivity</a:t>
              </a:r>
              <a:r>
                <a:rPr lang="en-US" sz="1100" baseline="0"/>
                <a:t>, based on local sensitivity (the sensitivity within each cell). In this case, the smooth sensitivity is </a:t>
              </a:r>
              <a14:m>
                <m:oMath xmlns:m="http://schemas.openxmlformats.org/officeDocument/2006/math">
                  <m:sSup>
                    <m:sSupPr>
                      <m:ctrlPr>
                        <a:rPr lang="en-US" sz="1100" b="0" i="1" baseline="0">
                          <a:latin typeface="Cambria Math" panose="02040503050406030204" pitchFamily="18" charset="0"/>
                        </a:rPr>
                      </m:ctrlPr>
                    </m:sSupPr>
                    <m:e>
                      <m:r>
                        <a:rPr lang="en-US" sz="1100" b="0" i="1" baseline="0">
                          <a:latin typeface="Cambria Math" panose="02040503050406030204" pitchFamily="18" charset="0"/>
                        </a:rPr>
                        <m:t>𝑆</m:t>
                      </m:r>
                    </m:e>
                    <m:sup>
                      <m:r>
                        <a:rPr lang="en-US" sz="1100" b="0" i="1" baseline="0">
                          <a:latin typeface="Cambria Math" panose="02040503050406030204" pitchFamily="18" charset="0"/>
                        </a:rPr>
                        <m:t>∗</m:t>
                      </m:r>
                    </m:sup>
                  </m:sSup>
                  <m:r>
                    <a:rPr lang="en-US" sz="1100" b="0" i="1" baseline="0">
                      <a:latin typeface="Cambria Math" panose="02040503050406030204" pitchFamily="18" charset="0"/>
                    </a:rPr>
                    <m:t>=</m:t>
                  </m:r>
                  <m:r>
                    <m:rPr>
                      <m:nor/>
                    </m:rPr>
                    <a:rPr lang="en-US" sz="1100" b="0" i="0" baseline="0">
                      <a:latin typeface="Cambria Math" panose="02040503050406030204" pitchFamily="18" charset="0"/>
                    </a:rPr>
                    <m:t>max</m:t>
                  </m:r>
                  <m:d>
                    <m:dPr>
                      <m:ctrlPr>
                        <a:rPr lang="en-US" sz="1100" b="0" i="1" baseline="0">
                          <a:latin typeface="Cambria Math" panose="02040503050406030204" pitchFamily="18" charset="0"/>
                        </a:rPr>
                      </m:ctrlPr>
                    </m:dPr>
                    <m:e>
                      <m:sSub>
                        <m:sSubPr>
                          <m:ctrlPr>
                            <a:rPr lang="en-US" sz="1100" b="0" i="1" baseline="0">
                              <a:latin typeface="Cambria Math" panose="02040503050406030204" pitchFamily="18" charset="0"/>
                            </a:rPr>
                          </m:ctrlPr>
                        </m:sSubPr>
                        <m:e>
                          <m:r>
                            <a:rPr lang="en-US" sz="1100" b="0" i="1" baseline="0">
                              <a:latin typeface="Cambria Math" panose="02040503050406030204" pitchFamily="18" charset="0"/>
                            </a:rPr>
                            <m:t>𝑥</m:t>
                          </m:r>
                        </m:e>
                        <m:sub>
                          <m:r>
                            <a:rPr lang="en-US" sz="1100" b="0" i="1" baseline="0">
                              <a:latin typeface="Cambria Math" panose="02040503050406030204" pitchFamily="18" charset="0"/>
                            </a:rPr>
                            <m:t>𝑣</m:t>
                          </m:r>
                        </m:sub>
                      </m:sSub>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𝛼</m:t>
                      </m:r>
                      <m:r>
                        <a:rPr lang="en-US" sz="1100" b="0" i="1" baseline="0">
                          <a:latin typeface="Cambria Math" panose="02040503050406030204" pitchFamily="18" charset="0"/>
                          <a:ea typeface="Cambria Math" panose="02040503050406030204" pitchFamily="18" charset="0"/>
                        </a:rPr>
                        <m:t>,1</m:t>
                      </m:r>
                    </m:e>
                  </m:d>
                </m:oMath>
              </a14:m>
              <a:r>
                <a:rPr lang="en-US" sz="1100"/>
                <a:t>, where </a:t>
              </a:r>
              <a14:m>
                <m:oMath xmlns:m="http://schemas.openxmlformats.org/officeDocument/2006/math">
                  <m:sSub>
                    <m:sSubPr>
                      <m:ctrlPr>
                        <a:rPr lang="en-US" sz="1100" i="1">
                          <a:latin typeface="Cambria Math" panose="02040503050406030204" pitchFamily="18" charset="0"/>
                        </a:rPr>
                      </m:ctrlPr>
                    </m:sSubPr>
                    <m:e>
                      <m:r>
                        <a:rPr lang="en-US" sz="1100" b="0" i="1">
                          <a:latin typeface="Cambria Math" panose="02040503050406030204" pitchFamily="18" charset="0"/>
                        </a:rPr>
                        <m:t>𝑥</m:t>
                      </m:r>
                    </m:e>
                    <m:sub>
                      <m:r>
                        <a:rPr lang="en-US" sz="1100" b="0" i="1">
                          <a:latin typeface="Cambria Math" panose="02040503050406030204" pitchFamily="18" charset="0"/>
                        </a:rPr>
                        <m:t>𝑣</m:t>
                      </m:r>
                    </m:sub>
                  </m:sSub>
                </m:oMath>
              </a14:m>
              <a:r>
                <a:rPr lang="en-US" sz="1100"/>
                <a:t> is employment of the largest firm in the cell.</a:t>
              </a:r>
            </a:p>
            <a:p>
              <a:endParaRPr lang="en-US" sz="1100"/>
            </a:p>
            <a:p>
              <a:r>
                <a:rPr lang="en-US" sz="1100"/>
                <a:t>Then</a:t>
              </a:r>
              <a:r>
                <a:rPr lang="en-US" sz="1100" baseline="0"/>
                <a:t> the noise factor we add to each cell's unprotected count is </a:t>
              </a:r>
              <a14:m>
                <m:oMath xmlns:m="http://schemas.openxmlformats.org/officeDocument/2006/math">
                  <m:f>
                    <m:fPr>
                      <m:ctrlPr>
                        <a:rPr lang="en-US" sz="1100" i="1" baseline="0">
                          <a:latin typeface="Cambria Math" panose="02040503050406030204" pitchFamily="18" charset="0"/>
                        </a:rPr>
                      </m:ctrlPr>
                    </m:fPr>
                    <m:num>
                      <m:sSup>
                        <m:sSupPr>
                          <m:ctrlPr>
                            <a:rPr lang="en-US" sz="1100" i="1" baseline="0">
                              <a:latin typeface="Cambria Math" panose="02040503050406030204" pitchFamily="18" charset="0"/>
                            </a:rPr>
                          </m:ctrlPr>
                        </m:sSupPr>
                        <m:e>
                          <m:r>
                            <a:rPr lang="en-US" sz="1100" b="0" i="1" baseline="0">
                              <a:latin typeface="Cambria Math" panose="02040503050406030204" pitchFamily="18" charset="0"/>
                            </a:rPr>
                            <m:t>𝑆</m:t>
                          </m:r>
                        </m:e>
                        <m:sup>
                          <m:r>
                            <a:rPr lang="en-US" sz="1100" b="0" i="1" baseline="0">
                              <a:latin typeface="Cambria Math" panose="02040503050406030204" pitchFamily="18" charset="0"/>
                            </a:rPr>
                            <m:t>∗</m:t>
                          </m:r>
                        </m:sup>
                      </m:sSup>
                    </m:num>
                    <m:den>
                      <m:f>
                        <m:fPr>
                          <m:type m:val="lin"/>
                          <m:ctrlPr>
                            <a:rPr lang="en-US" sz="1100" i="1" baseline="0">
                              <a:latin typeface="Cambria Math" panose="02040503050406030204" pitchFamily="18" charset="0"/>
                            </a:rPr>
                          </m:ctrlPr>
                        </m:fPr>
                        <m:num>
                          <m:r>
                            <a:rPr lang="en-US" sz="1100" i="1" baseline="0">
                              <a:latin typeface="Cambria Math" panose="02040503050406030204" pitchFamily="18" charset="0"/>
                              <a:ea typeface="Cambria Math" panose="02040503050406030204" pitchFamily="18" charset="0"/>
                            </a:rPr>
                            <m:t>𝜀</m:t>
                          </m:r>
                        </m:num>
                        <m:den>
                          <m:r>
                            <a:rPr lang="en-US" sz="1100" b="0" i="1" baseline="0">
                              <a:latin typeface="Cambria Math" panose="02040503050406030204" pitchFamily="18" charset="0"/>
                            </a:rPr>
                            <m:t>2</m:t>
                          </m:r>
                        </m:den>
                      </m:f>
                    </m:den>
                  </m:f>
                  <m:r>
                    <a:rPr lang="en-US" sz="1100" i="1" baseline="0">
                      <a:latin typeface="Cambria Math" panose="02040503050406030204" pitchFamily="18" charset="0"/>
                      <a:ea typeface="Cambria Math" panose="02040503050406030204" pitchFamily="18" charset="0"/>
                    </a:rPr>
                    <m:t>𝜂</m:t>
                  </m:r>
                </m:oMath>
              </a14:m>
              <a:r>
                <a:rPr lang="en-US" sz="1100"/>
                <a:t>, where </a:t>
              </a:r>
              <a14:m>
                <m:oMath xmlns:m="http://schemas.openxmlformats.org/officeDocument/2006/math">
                  <m:r>
                    <a:rPr lang="en-US" sz="1100" i="1">
                      <a:latin typeface="Cambria Math" panose="02040503050406030204" pitchFamily="18" charset="0"/>
                      <a:ea typeface="Cambria Math" panose="02040503050406030204" pitchFamily="18" charset="0"/>
                    </a:rPr>
                    <m:t>𝜂</m:t>
                  </m:r>
                </m:oMath>
              </a14:m>
              <a:r>
                <a:rPr lang="en-US" sz="1100"/>
                <a:t> is a sample from </a:t>
              </a:r>
              <a14:m>
                <m:oMath xmlns:m="http://schemas.openxmlformats.org/officeDocument/2006/math">
                  <m:r>
                    <m:rPr>
                      <m:nor/>
                    </m:rPr>
                    <a:rPr lang="en-US" sz="1100" b="0" i="0">
                      <a:latin typeface="Cambria Math" panose="02040503050406030204" pitchFamily="18" charset="0"/>
                    </a:rPr>
                    <m:t>Lap</m:t>
                  </m:r>
                  <m:d>
                    <m:dPr>
                      <m:ctrlPr>
                        <a:rPr lang="en-US" sz="1100" b="0" i="1">
                          <a:latin typeface="Cambria Math" panose="02040503050406030204" pitchFamily="18" charset="0"/>
                        </a:rPr>
                      </m:ctrlPr>
                    </m:dPr>
                    <m:e>
                      <m:r>
                        <a:rPr lang="en-US" sz="1100" b="0" i="1">
                          <a:latin typeface="Cambria Math" panose="02040503050406030204" pitchFamily="18" charset="0"/>
                        </a:rPr>
                        <m:t>1</m:t>
                      </m:r>
                    </m:e>
                  </m:d>
                </m:oMath>
              </a14:m>
              <a:r>
                <a:rPr lang="en-US" sz="1100"/>
                <a:t>.</a:t>
              </a:r>
            </a:p>
            <a:p>
              <a:endParaRPr lang="en-US" sz="1100"/>
            </a:p>
            <a:p>
              <a:r>
                <a:rPr lang="en-US" sz="1100"/>
                <a:t>There is one more factor that determines whether the differential privacy factor holds that is not covered here. However it</a:t>
              </a:r>
              <a:r>
                <a:rPr lang="en-US" sz="1100" baseline="0"/>
                <a:t> affects the combinations of </a:t>
              </a:r>
              <a14:m>
                <m:oMath xmlns:m="http://schemas.openxmlformats.org/officeDocument/2006/math">
                  <m:r>
                    <a:rPr lang="en-US" sz="1100" i="1" baseline="0">
                      <a:latin typeface="Cambria Math" panose="02040503050406030204" pitchFamily="18" charset="0"/>
                      <a:ea typeface="Cambria Math" panose="02040503050406030204" pitchFamily="18" charset="0"/>
                    </a:rPr>
                    <m:t>𝛼</m:t>
                  </m:r>
                </m:oMath>
              </a14:m>
              <a:r>
                <a:rPr lang="en-US" sz="1100"/>
                <a:t> and </a:t>
              </a:r>
              <a14:m>
                <m:oMath xmlns:m="http://schemas.openxmlformats.org/officeDocument/2006/math">
                  <m:r>
                    <a:rPr lang="en-US" sz="1100" i="1">
                      <a:latin typeface="Cambria Math" panose="02040503050406030204" pitchFamily="18" charset="0"/>
                      <a:ea typeface="Cambria Math" panose="02040503050406030204" pitchFamily="18" charset="0"/>
                    </a:rPr>
                    <m:t>𝜀</m:t>
                  </m:r>
                </m:oMath>
              </a14:m>
              <a:r>
                <a:rPr lang="en-US" sz="1100"/>
                <a:t> that are acceptable to use together. </a:t>
              </a:r>
              <a:r>
                <a:rPr lang="en-US" sz="1100">
                  <a:solidFill>
                    <a:srgbClr val="FF0000"/>
                  </a:solidFill>
                </a:rPr>
                <a:t>SEE NEXT TAB</a:t>
              </a:r>
            </a:p>
          </xdr:txBody>
        </xdr:sp>
      </mc:Choice>
      <mc:Fallback xmlns="">
        <xdr:sp macro="" textlink="">
          <xdr:nvSpPr>
            <xdr:cNvPr id="2" name="TextBox 1"/>
            <xdr:cNvSpPr txBox="1"/>
          </xdr:nvSpPr>
          <xdr:spPr>
            <a:xfrm>
              <a:off x="1" y="0"/>
              <a:ext cx="7772400" cy="3805978"/>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This tab shows an alternative approach</a:t>
              </a:r>
              <a:r>
                <a:rPr lang="en-US" sz="1100" baseline="0"/>
                <a:t> for protecting employment based on an implementation of differential privacy within the Pufferfish framework. (In the Haney paper, this was referred to as </a:t>
              </a:r>
              <a:r>
                <a:rPr lang="en-US" sz="1100">
                  <a:solidFill>
                    <a:schemeClr val="tx1"/>
                  </a:solidFill>
                  <a:effectLst/>
                  <a:latin typeface="+mn-lt"/>
                  <a:ea typeface="+mn-ea"/>
                  <a:cs typeface="+mn-cs"/>
                </a:rPr>
                <a:t>the </a:t>
              </a:r>
              <a:r>
                <a:rPr lang="en-US" sz="1100" i="0">
                  <a:solidFill>
                    <a:schemeClr val="tx1"/>
                  </a:solidFill>
                  <a:effectLst/>
                  <a:latin typeface="+mn-lt"/>
                  <a:ea typeface="+mn-ea"/>
                  <a:cs typeface="+mn-cs"/>
                </a:rPr>
                <a:t>(𝛼,𝜀,𝛿)</a:t>
              </a:r>
              <a:r>
                <a:rPr lang="en-US" sz="1100">
                  <a:solidFill>
                    <a:schemeClr val="tx1"/>
                  </a:solidFill>
                  <a:effectLst/>
                  <a:latin typeface="+mn-lt"/>
                  <a:ea typeface="+mn-ea"/>
                  <a:cs typeface="+mn-cs"/>
                </a:rPr>
                <a:t>-ER-EE Privacy.)</a:t>
              </a:r>
              <a:endParaRPr lang="en-US" sz="1100" baseline="0"/>
            </a:p>
            <a:p>
              <a:endParaRPr lang="en-US" sz="1100" baseline="0"/>
            </a:p>
            <a:p>
              <a:r>
                <a:rPr lang="en-US" sz="1100" baseline="0"/>
                <a:t>Briefly, we relax our privacy constraint from a situation in which we must protect the addition or removal of an entire firm from the database to an arrangement in which we provide protection only within a specific range of some characteristic (employment in this case).</a:t>
              </a:r>
            </a:p>
            <a:p>
              <a:endParaRPr lang="en-US" sz="1100" baseline="0"/>
            </a:p>
            <a:p>
              <a:r>
                <a:rPr lang="en-US" sz="1100" baseline="0"/>
                <a:t>This range of "indistiguishability" is parameterized by a multiplicative factor, </a:t>
              </a:r>
              <a:r>
                <a:rPr lang="en-US" sz="1100" i="0" baseline="0">
                  <a:latin typeface="Cambria Math" panose="02040503050406030204" pitchFamily="18" charset="0"/>
                  <a:ea typeface="Cambria Math" panose="02040503050406030204" pitchFamily="18" charset="0"/>
                </a:rPr>
                <a:t>𝛼</a:t>
              </a:r>
              <a:r>
                <a:rPr lang="en-US" sz="1100" b="0" i="0" baseline="0">
                  <a:latin typeface="Cambria Math" panose="02040503050406030204" pitchFamily="18" charset="0"/>
                  <a:ea typeface="Cambria Math" panose="02040503050406030204" pitchFamily="18" charset="0"/>
                </a:rPr>
                <a:t>.</a:t>
              </a:r>
              <a:r>
                <a:rPr lang="en-US" sz="1100"/>
                <a:t> For a given value of </a:t>
              </a:r>
              <a:r>
                <a:rPr lang="en-US" sz="1100" i="0">
                  <a:latin typeface="Cambria Math" panose="02040503050406030204" pitchFamily="18" charset="0"/>
                  <a:ea typeface="Cambria Math" panose="02040503050406030204" pitchFamily="18" charset="0"/>
                </a:rPr>
                <a:t>𝛼</a:t>
              </a:r>
              <a:r>
                <a:rPr lang="en-US" sz="1100"/>
                <a:t> the differential privacy guarantee bounding</a:t>
              </a:r>
              <a:r>
                <a:rPr lang="en-US" sz="1100" baseline="0"/>
                <a:t> an attacker's ability to distinguish between two firms with employment values of </a:t>
              </a:r>
              <a:r>
                <a:rPr lang="en-US" sz="1100" b="0" i="0" baseline="0">
                  <a:latin typeface="Cambria Math" panose="02040503050406030204" pitchFamily="18" charset="0"/>
                </a:rPr>
                <a:t>𝑥</a:t>
              </a:r>
              <a:r>
                <a:rPr lang="en-US" sz="1100"/>
                <a:t> and </a:t>
              </a:r>
              <a:r>
                <a:rPr lang="en-US" sz="1100" b="0" i="0">
                  <a:latin typeface="Cambria Math" panose="02040503050406030204" pitchFamily="18" charset="0"/>
                </a:rPr>
                <a:t>𝑦</a:t>
              </a:r>
              <a:r>
                <a:rPr lang="en-US" sz="1100"/>
                <a:t> will be guaranteed if the following</a:t>
              </a:r>
              <a:r>
                <a:rPr lang="en-US" sz="1100" baseline="0"/>
                <a:t> inequalities are true:</a:t>
              </a:r>
            </a:p>
            <a:p>
              <a:pPr/>
              <a:r>
                <a:rPr lang="en-US" sz="1100" b="0" i="0">
                  <a:latin typeface="Cambria Math" panose="02040503050406030204" pitchFamily="18" charset="0"/>
                </a:rPr>
                <a:t>𝑥</a:t>
              </a:r>
              <a:r>
                <a:rPr lang="en-US" sz="1100" b="0" i="0">
                  <a:latin typeface="Cambria Math" panose="02040503050406030204" pitchFamily="18" charset="0"/>
                  <a:ea typeface="Cambria Math" panose="02040503050406030204" pitchFamily="18" charset="0"/>
                </a:rPr>
                <a:t>≤𝑦≤"ceil" [(1+𝛼)𝑥]</a:t>
              </a:r>
              <a:endParaRPr lang="en-US" sz="1100"/>
            </a:p>
            <a:p>
              <a:endParaRPr lang="en-US" sz="1100"/>
            </a:p>
            <a:p>
              <a:r>
                <a:rPr lang="en-US" sz="1100"/>
                <a:t>A rule of thumb (not an exact solution) is that the range of indistinguishability is </a:t>
              </a:r>
              <a:r>
                <a:rPr lang="en-US" sz="1100" i="0">
                  <a:latin typeface="Cambria Math" panose="02040503050406030204" pitchFamily="18" charset="0"/>
                  <a:ea typeface="Cambria Math" panose="02040503050406030204" pitchFamily="18" charset="0"/>
                </a:rPr>
                <a:t>±𝛼∙100%</a:t>
              </a:r>
              <a:r>
                <a:rPr lang="en-US" sz="1100"/>
                <a:t>.</a:t>
              </a:r>
            </a:p>
            <a:p>
              <a:endParaRPr lang="en-US" sz="1100"/>
            </a:p>
            <a:p>
              <a:r>
                <a:rPr lang="en-US" sz="1100"/>
                <a:t>The other key piece of this method is the use of a smooth sensitivity</a:t>
              </a:r>
              <a:r>
                <a:rPr lang="en-US" sz="1100" baseline="0"/>
                <a:t>, based on local sensitivity (the sensitivity within each cell). In this case, the smooth sensitivity is </a:t>
              </a:r>
              <a:r>
                <a:rPr lang="en-US" sz="1100" b="0" i="0" baseline="0">
                  <a:latin typeface="Cambria Math" panose="02040503050406030204" pitchFamily="18" charset="0"/>
                </a:rPr>
                <a:t>𝑆^∗="max" (𝑥_𝑣</a:t>
              </a:r>
              <a:r>
                <a:rPr lang="en-US" sz="1100" b="0" i="0" baseline="0">
                  <a:latin typeface="Cambria Math" panose="02040503050406030204" pitchFamily="18" charset="0"/>
                  <a:ea typeface="Cambria Math" panose="02040503050406030204" pitchFamily="18" charset="0"/>
                </a:rPr>
                <a:t>∙𝛼,1)</a:t>
              </a:r>
              <a:r>
                <a:rPr lang="en-US" sz="1100"/>
                <a:t>, where </a:t>
              </a:r>
              <a:r>
                <a:rPr lang="en-US" sz="1100" b="0" i="0">
                  <a:latin typeface="Cambria Math" panose="02040503050406030204" pitchFamily="18" charset="0"/>
                </a:rPr>
                <a:t>𝑥_𝑣</a:t>
              </a:r>
              <a:r>
                <a:rPr lang="en-US" sz="1100"/>
                <a:t> is employment of the largest firm in the cell.</a:t>
              </a:r>
            </a:p>
            <a:p>
              <a:endParaRPr lang="en-US" sz="1100"/>
            </a:p>
            <a:p>
              <a:r>
                <a:rPr lang="en-US" sz="1100"/>
                <a:t>Then</a:t>
              </a:r>
              <a:r>
                <a:rPr lang="en-US" sz="1100" baseline="0"/>
                <a:t> the noise factor we add to each cell's unprotected count is </a:t>
              </a:r>
              <a:r>
                <a:rPr lang="en-US" sz="1100" b="0" i="0" baseline="0">
                  <a:latin typeface="Cambria Math" panose="02040503050406030204" pitchFamily="18" charset="0"/>
                </a:rPr>
                <a:t>𝑆^∗/(</a:t>
              </a:r>
              <a:r>
                <a:rPr lang="en-US" sz="1100" i="0" baseline="0">
                  <a:latin typeface="Cambria Math" panose="02040503050406030204" pitchFamily="18" charset="0"/>
                  <a:ea typeface="Cambria Math" panose="02040503050406030204" pitchFamily="18" charset="0"/>
                </a:rPr>
                <a:t>𝜀∕</a:t>
              </a:r>
              <a:r>
                <a:rPr lang="en-US" sz="1100" b="0" i="0" baseline="0">
                  <a:latin typeface="Cambria Math" panose="02040503050406030204" pitchFamily="18" charset="0"/>
                </a:rPr>
                <a:t>2)</a:t>
              </a:r>
              <a:r>
                <a:rPr lang="en-US" sz="1100" b="0" i="0" baseline="0">
                  <a:latin typeface="Cambria Math" panose="02040503050406030204" pitchFamily="18" charset="0"/>
                  <a:ea typeface="Cambria Math" panose="02040503050406030204" pitchFamily="18" charset="0"/>
                </a:rPr>
                <a:t> </a:t>
              </a:r>
              <a:r>
                <a:rPr lang="en-US" sz="1100" i="0" baseline="0">
                  <a:latin typeface="Cambria Math" panose="02040503050406030204" pitchFamily="18" charset="0"/>
                  <a:ea typeface="Cambria Math" panose="02040503050406030204" pitchFamily="18" charset="0"/>
                </a:rPr>
                <a:t>𝜂</a:t>
              </a:r>
              <a:r>
                <a:rPr lang="en-US" sz="1100"/>
                <a:t>, where </a:t>
              </a:r>
              <a:r>
                <a:rPr lang="en-US" sz="1100" i="0">
                  <a:latin typeface="Cambria Math" panose="02040503050406030204" pitchFamily="18" charset="0"/>
                  <a:ea typeface="Cambria Math" panose="02040503050406030204" pitchFamily="18" charset="0"/>
                </a:rPr>
                <a:t>𝜂</a:t>
              </a:r>
              <a:r>
                <a:rPr lang="en-US" sz="1100"/>
                <a:t> is a sample from </a:t>
              </a:r>
              <a:r>
                <a:rPr lang="en-US" sz="1100" b="0" i="0">
                  <a:latin typeface="Cambria Math" panose="02040503050406030204" pitchFamily="18" charset="0"/>
                </a:rPr>
                <a:t>"Lap" (1)</a:t>
              </a:r>
              <a:r>
                <a:rPr lang="en-US" sz="1100"/>
                <a:t>.</a:t>
              </a:r>
            </a:p>
            <a:p>
              <a:endParaRPr lang="en-US" sz="1100"/>
            </a:p>
            <a:p>
              <a:r>
                <a:rPr lang="en-US" sz="1100"/>
                <a:t>There is one more factor that determines whether the differential privacy factor holds that is not covered here. However it</a:t>
              </a:r>
              <a:r>
                <a:rPr lang="en-US" sz="1100" baseline="0"/>
                <a:t> affects the combinations of </a:t>
              </a:r>
              <a:r>
                <a:rPr lang="en-US" sz="1100" i="0" baseline="0">
                  <a:latin typeface="Cambria Math" panose="02040503050406030204" pitchFamily="18" charset="0"/>
                  <a:ea typeface="Cambria Math" panose="02040503050406030204" pitchFamily="18" charset="0"/>
                </a:rPr>
                <a:t>𝛼</a:t>
              </a:r>
              <a:r>
                <a:rPr lang="en-US" sz="1100"/>
                <a:t> and </a:t>
              </a:r>
              <a:r>
                <a:rPr lang="en-US" sz="1100" i="0">
                  <a:latin typeface="Cambria Math" panose="02040503050406030204" pitchFamily="18" charset="0"/>
                  <a:ea typeface="Cambria Math" panose="02040503050406030204" pitchFamily="18" charset="0"/>
                </a:rPr>
                <a:t>𝜀</a:t>
              </a:r>
              <a:r>
                <a:rPr lang="en-US" sz="1100"/>
                <a:t> that are acceptable to use together. </a:t>
              </a:r>
              <a:r>
                <a:rPr lang="en-US" sz="1100">
                  <a:solidFill>
                    <a:srgbClr val="FF0000"/>
                  </a:solidFill>
                </a:rPr>
                <a:t>SEE NEXT TAB</a:t>
              </a:r>
            </a:p>
          </xdr:txBody>
        </xdr:sp>
      </mc:Fallback>
    </mc:AlternateContent>
    <xdr:clientData/>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4777740" cy="2385205"/>
    <mc:AlternateContent xmlns:mc="http://schemas.openxmlformats.org/markup-compatibility/2006" xmlns:a14="http://schemas.microsoft.com/office/drawing/2010/main">
      <mc:Choice Requires="a14">
        <xdr:sp macro="" textlink="">
          <xdr:nvSpPr>
            <xdr:cNvPr id="2" name="TextBox 1"/>
            <xdr:cNvSpPr txBox="1"/>
          </xdr:nvSpPr>
          <xdr:spPr>
            <a:xfrm>
              <a:off x="0" y="0"/>
              <a:ext cx="4777740" cy="2385205"/>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 </a:t>
              </a:r>
              <a:r>
                <a:rPr lang="en-US" sz="1100">
                  <a:solidFill>
                    <a:schemeClr val="tx1"/>
                  </a:solidFill>
                  <a:effectLst/>
                  <a:latin typeface="+mn-lt"/>
                  <a:ea typeface="+mn-ea"/>
                  <a:cs typeface="+mn-cs"/>
                </a:rPr>
                <a:t>the </a:t>
              </a:r>
              <a14:m>
                <m:oMath xmlns:m="http://schemas.openxmlformats.org/officeDocument/2006/math">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𝛼</m:t>
                  </m:r>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𝜀</m:t>
                  </m:r>
                  <m:r>
                    <a:rPr lang="en-US" sz="1100" i="1">
                      <a:solidFill>
                        <a:schemeClr val="tx1"/>
                      </a:solidFill>
                      <a:effectLst/>
                      <a:latin typeface="Cambria Math" panose="02040503050406030204" pitchFamily="18" charset="0"/>
                      <a:ea typeface="+mn-ea"/>
                      <a:cs typeface="+mn-cs"/>
                    </a:rPr>
                    <m:t>,</m:t>
                  </m:r>
                  <m:r>
                    <a:rPr lang="en-US" sz="1100" i="1">
                      <a:solidFill>
                        <a:schemeClr val="tx1"/>
                      </a:solidFill>
                      <a:effectLst/>
                      <a:latin typeface="Cambria Math" panose="02040503050406030204" pitchFamily="18" charset="0"/>
                      <a:ea typeface="+mn-ea"/>
                      <a:cs typeface="+mn-cs"/>
                    </a:rPr>
                    <m:t>𝛿</m:t>
                  </m:r>
                  <m:r>
                    <a:rPr lang="en-US" sz="1100" i="1">
                      <a:solidFill>
                        <a:schemeClr val="tx1"/>
                      </a:solidFill>
                      <a:effectLst/>
                      <a:latin typeface="Cambria Math" panose="02040503050406030204" pitchFamily="18" charset="0"/>
                      <a:ea typeface="+mn-ea"/>
                      <a:cs typeface="+mn-cs"/>
                    </a:rPr>
                    <m:t>)</m:t>
                  </m:r>
                </m:oMath>
              </a14:m>
              <a:r>
                <a:rPr lang="en-US" sz="1100">
                  <a:solidFill>
                    <a:schemeClr val="tx1"/>
                  </a:solidFill>
                  <a:effectLst/>
                  <a:latin typeface="+mn-lt"/>
                  <a:ea typeface="+mn-ea"/>
                  <a:cs typeface="+mn-cs"/>
                </a:rPr>
                <a:t>-ER-EE Privacy, the following inequality</a:t>
              </a:r>
              <a:r>
                <a:rPr lang="en-US" sz="1100" baseline="0">
                  <a:solidFill>
                    <a:schemeClr val="tx1"/>
                  </a:solidFill>
                  <a:effectLst/>
                  <a:latin typeface="+mn-lt"/>
                  <a:ea typeface="+mn-ea"/>
                  <a:cs typeface="+mn-cs"/>
                </a:rPr>
                <a:t> must be satisfied for the guarantee to hold. </a:t>
              </a:r>
            </a:p>
            <a:p>
              <a:pPr/>
              <a14:m>
                <m:oMathPara xmlns:m="http://schemas.openxmlformats.org/officeDocument/2006/math">
                  <m:oMathParaPr>
                    <m:jc m:val="centerGroup"/>
                  </m:oMathParaPr>
                  <m:oMath xmlns:m="http://schemas.openxmlformats.org/officeDocument/2006/math">
                    <m:r>
                      <a:rPr lang="en-US" sz="1100" i="1">
                        <a:solidFill>
                          <a:schemeClr val="tx1"/>
                        </a:solidFill>
                        <a:effectLst/>
                        <a:latin typeface="Cambria Math" panose="02040503050406030204" pitchFamily="18" charset="0"/>
                        <a:ea typeface="+mn-ea"/>
                        <a:cs typeface="+mn-cs"/>
                      </a:rPr>
                      <m:t>𝛼</m:t>
                    </m:r>
                    <m:r>
                      <a:rPr lang="en-US" sz="1100" i="1">
                        <a:solidFill>
                          <a:schemeClr val="tx1"/>
                        </a:solidFill>
                        <a:effectLst/>
                        <a:latin typeface="Cambria Math" panose="02040503050406030204" pitchFamily="18" charset="0"/>
                        <a:ea typeface="+mn-ea"/>
                        <a:cs typeface="+mn-cs"/>
                      </a:rPr>
                      <m:t>+1≤</m:t>
                    </m:r>
                    <m:sSup>
                      <m:sSupPr>
                        <m:ctrlPr>
                          <a:rPr lang="en-US" sz="1100" i="1">
                            <a:solidFill>
                              <a:schemeClr val="tx1"/>
                            </a:solidFill>
                            <a:effectLst/>
                            <a:latin typeface="Cambria Math" panose="02040503050406030204" pitchFamily="18" charset="0"/>
                            <a:ea typeface="+mn-ea"/>
                            <a:cs typeface="+mn-cs"/>
                          </a:rPr>
                        </m:ctrlPr>
                      </m:sSupPr>
                      <m:e>
                        <m:r>
                          <a:rPr lang="en-US" sz="1100" i="1">
                            <a:solidFill>
                              <a:schemeClr val="tx1"/>
                            </a:solidFill>
                            <a:effectLst/>
                            <a:latin typeface="Cambria Math" panose="02040503050406030204" pitchFamily="18" charset="0"/>
                            <a:ea typeface="+mn-ea"/>
                            <a:cs typeface="+mn-cs"/>
                          </a:rPr>
                          <m:t>𝑒</m:t>
                        </m:r>
                      </m:e>
                      <m:sup>
                        <m:f>
                          <m:fPr>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𝜀</m:t>
                            </m:r>
                          </m:num>
                          <m:den>
                            <m:r>
                              <a:rPr lang="en-US" sz="1100" i="1">
                                <a:solidFill>
                                  <a:schemeClr val="tx1"/>
                                </a:solidFill>
                                <a:effectLst/>
                                <a:latin typeface="Cambria Math" panose="02040503050406030204" pitchFamily="18" charset="0"/>
                                <a:ea typeface="+mn-ea"/>
                                <a:cs typeface="+mn-cs"/>
                              </a:rPr>
                              <m:t>2</m:t>
                            </m:r>
                            <m:func>
                              <m:funcPr>
                                <m:ctrlPr>
                                  <a:rPr lang="en-US" sz="1100" i="1">
                                    <a:solidFill>
                                      <a:schemeClr val="tx1"/>
                                    </a:solidFill>
                                    <a:effectLst/>
                                    <a:latin typeface="Cambria Math" panose="02040503050406030204" pitchFamily="18" charset="0"/>
                                    <a:ea typeface="+mn-ea"/>
                                    <a:cs typeface="+mn-cs"/>
                                  </a:rPr>
                                </m:ctrlPr>
                              </m:funcPr>
                              <m:fName>
                                <m:r>
                                  <m:rPr>
                                    <m:sty m:val="p"/>
                                  </m:rPr>
                                  <a:rPr lang="en-US" sz="1100">
                                    <a:solidFill>
                                      <a:schemeClr val="tx1"/>
                                    </a:solidFill>
                                    <a:effectLst/>
                                    <a:latin typeface="Cambria Math" panose="02040503050406030204" pitchFamily="18" charset="0"/>
                                    <a:ea typeface="+mn-ea"/>
                                    <a:cs typeface="+mn-cs"/>
                                  </a:rPr>
                                  <m:t>ln</m:t>
                                </m:r>
                              </m:fName>
                              <m:e>
                                <m:d>
                                  <m:dPr>
                                    <m:ctrlPr>
                                      <a:rPr lang="en-US" sz="1100" i="1">
                                        <a:solidFill>
                                          <a:schemeClr val="tx1"/>
                                        </a:solidFill>
                                        <a:effectLst/>
                                        <a:latin typeface="Cambria Math" panose="02040503050406030204" pitchFamily="18" charset="0"/>
                                        <a:ea typeface="+mn-ea"/>
                                        <a:cs typeface="+mn-cs"/>
                                      </a:rPr>
                                    </m:ctrlPr>
                                  </m:dPr>
                                  <m:e>
                                    <m:f>
                                      <m:fPr>
                                        <m:type m:val="lin"/>
                                        <m:ctrlPr>
                                          <a:rPr lang="en-US" sz="1100" i="1">
                                            <a:solidFill>
                                              <a:schemeClr val="tx1"/>
                                            </a:solidFill>
                                            <a:effectLst/>
                                            <a:latin typeface="Cambria Math" panose="02040503050406030204" pitchFamily="18" charset="0"/>
                                            <a:ea typeface="+mn-ea"/>
                                            <a:cs typeface="+mn-cs"/>
                                          </a:rPr>
                                        </m:ctrlPr>
                                      </m:fPr>
                                      <m:num>
                                        <m:r>
                                          <a:rPr lang="en-US" sz="1100" i="1">
                                            <a:solidFill>
                                              <a:schemeClr val="tx1"/>
                                            </a:solidFill>
                                            <a:effectLst/>
                                            <a:latin typeface="Cambria Math" panose="02040503050406030204" pitchFamily="18" charset="0"/>
                                            <a:ea typeface="+mn-ea"/>
                                            <a:cs typeface="+mn-cs"/>
                                          </a:rPr>
                                          <m:t>1</m:t>
                                        </m:r>
                                      </m:num>
                                      <m:den>
                                        <m:r>
                                          <a:rPr lang="en-US" sz="1100" i="1">
                                            <a:solidFill>
                                              <a:schemeClr val="tx1"/>
                                            </a:solidFill>
                                            <a:effectLst/>
                                            <a:latin typeface="Cambria Math" panose="02040503050406030204" pitchFamily="18" charset="0"/>
                                            <a:ea typeface="+mn-ea"/>
                                            <a:cs typeface="+mn-cs"/>
                                          </a:rPr>
                                          <m:t>𝛿</m:t>
                                        </m:r>
                                      </m:den>
                                    </m:f>
                                  </m:e>
                                </m:d>
                              </m:e>
                            </m:func>
                          </m:den>
                        </m:f>
                      </m:sup>
                    </m:sSup>
                  </m:oMath>
                </m:oMathPara>
              </a14:m>
              <a:endParaRPr lang="en-US" sz="1100" baseline="0">
                <a:solidFill>
                  <a:schemeClr val="tx1"/>
                </a:solidFill>
                <a:effectLst/>
                <a:latin typeface="+mn-lt"/>
                <a:ea typeface="+mn-ea"/>
                <a:cs typeface="+mn-cs"/>
              </a:endParaRPr>
            </a:p>
            <a:p>
              <a:r>
                <a:rPr lang="en-US" sz="1100" baseline="0">
                  <a:solidFill>
                    <a:schemeClr val="tx1"/>
                  </a:solidFill>
                  <a:effectLst/>
                  <a:latin typeface="+mn-lt"/>
                  <a:ea typeface="+mn-ea"/>
                  <a:cs typeface="+mn-cs"/>
                </a:rPr>
                <a:t>Ideally, the third parameter, </a:t>
              </a:r>
              <a14:m>
                <m:oMath xmlns:m="http://schemas.openxmlformats.org/officeDocument/2006/math">
                  <m:r>
                    <a:rPr lang="en-US" sz="1100" i="1" baseline="0">
                      <a:solidFill>
                        <a:schemeClr val="tx1"/>
                      </a:solidFill>
                      <a:effectLst/>
                      <a:latin typeface="Cambria Math" panose="02040503050406030204" pitchFamily="18" charset="0"/>
                      <a:ea typeface="Cambria Math" panose="02040503050406030204" pitchFamily="18" charset="0"/>
                      <a:cs typeface="+mn-cs"/>
                    </a:rPr>
                    <m:t>𝛿</m:t>
                  </m:r>
                </m:oMath>
              </a14:m>
              <a:r>
                <a:rPr lang="en-US" sz="1100"/>
                <a:t>, should be smaller than </a:t>
              </a:r>
              <a14:m>
                <m:oMath xmlns:m="http://schemas.openxmlformats.org/officeDocument/2006/math">
                  <m:f>
                    <m:fPr>
                      <m:ctrlPr>
                        <a:rPr lang="en-US" sz="1100" i="1">
                          <a:latin typeface="Cambria Math" panose="02040503050406030204" pitchFamily="18" charset="0"/>
                        </a:rPr>
                      </m:ctrlPr>
                    </m:fPr>
                    <m:num>
                      <m:r>
                        <a:rPr lang="en-US" sz="1100" b="0" i="1">
                          <a:latin typeface="Cambria Math" panose="02040503050406030204" pitchFamily="18" charset="0"/>
                        </a:rPr>
                        <m:t>1</m:t>
                      </m:r>
                    </m:num>
                    <m:den>
                      <m:r>
                        <a:rPr lang="en-US" sz="1100" b="0" i="1">
                          <a:latin typeface="Cambria Math" panose="02040503050406030204" pitchFamily="18" charset="0"/>
                        </a:rPr>
                        <m:t>𝑁</m:t>
                      </m:r>
                    </m:den>
                  </m:f>
                </m:oMath>
              </a14:m>
              <a:r>
                <a:rPr lang="en-US" sz="1100"/>
                <a:t> where </a:t>
              </a:r>
              <a14:m>
                <m:oMath xmlns:m="http://schemas.openxmlformats.org/officeDocument/2006/math">
                  <m:r>
                    <a:rPr lang="en-US" sz="1100" b="0" i="1">
                      <a:latin typeface="Cambria Math" panose="02040503050406030204" pitchFamily="18" charset="0"/>
                    </a:rPr>
                    <m:t>𝑁</m:t>
                  </m:r>
                </m:oMath>
              </a14:m>
              <a:r>
                <a:rPr lang="en-US" sz="1100"/>
                <a:t> is the size of the database.</a:t>
              </a:r>
            </a:p>
            <a:p>
              <a:endParaRPr lang="en-US" sz="1100"/>
            </a:p>
            <a:p>
              <a:r>
                <a:rPr lang="en-US" sz="1100"/>
                <a:t>Below is a table with various combinations of </a:t>
              </a:r>
              <a14:m>
                <m:oMath xmlns:m="http://schemas.openxmlformats.org/officeDocument/2006/math">
                  <m:r>
                    <a:rPr lang="en-US" sz="1100" i="1">
                      <a:latin typeface="Cambria Math" panose="02040503050406030204" pitchFamily="18" charset="0"/>
                      <a:ea typeface="Cambria Math" panose="02040503050406030204" pitchFamily="18" charset="0"/>
                    </a:rPr>
                    <m:t>𝛼</m:t>
                  </m:r>
                </m:oMath>
              </a14:m>
              <a:r>
                <a:rPr lang="en-US" sz="1100"/>
                <a:t> and </a:t>
              </a:r>
              <a14:m>
                <m:oMath xmlns:m="http://schemas.openxmlformats.org/officeDocument/2006/math">
                  <m:r>
                    <a:rPr lang="en-US" sz="1100" i="1">
                      <a:latin typeface="Cambria Math" panose="02040503050406030204" pitchFamily="18" charset="0"/>
                      <a:ea typeface="Cambria Math" panose="02040503050406030204" pitchFamily="18" charset="0"/>
                    </a:rPr>
                    <m:t>𝜀</m:t>
                  </m:r>
                </m:oMath>
              </a14:m>
              <a:r>
                <a:rPr lang="en-US" sz="1100"/>
                <a:t>, showing the largest value of </a:t>
              </a:r>
              <a14:m>
                <m:oMath xmlns:m="http://schemas.openxmlformats.org/officeDocument/2006/math">
                  <m:r>
                    <a:rPr lang="en-US" sz="1100" i="1">
                      <a:latin typeface="Cambria Math" panose="02040503050406030204" pitchFamily="18" charset="0"/>
                      <a:ea typeface="Cambria Math" panose="02040503050406030204" pitchFamily="18" charset="0"/>
                    </a:rPr>
                    <m:t>𝛿</m:t>
                  </m:r>
                </m:oMath>
              </a14:m>
              <a:r>
                <a:rPr lang="en-US" sz="1100"/>
                <a:t> that still satisfies the inequality. The cells that are highlighted in red identify</a:t>
              </a:r>
              <a:r>
                <a:rPr lang="en-US" sz="1100" baseline="0"/>
                <a:t> which combinations of </a:t>
              </a:r>
              <a14:m>
                <m:oMath xmlns:m="http://schemas.openxmlformats.org/officeDocument/2006/math">
                  <m:r>
                    <a:rPr lang="en-US" sz="1100" i="1">
                      <a:solidFill>
                        <a:schemeClr val="tx1"/>
                      </a:solidFill>
                      <a:effectLst/>
                      <a:latin typeface="Cambria Math" panose="02040503050406030204" pitchFamily="18" charset="0"/>
                      <a:ea typeface="+mn-ea"/>
                      <a:cs typeface="+mn-cs"/>
                    </a:rPr>
                    <m:t>𝛼</m:t>
                  </m:r>
                </m:oMath>
              </a14:m>
              <a:r>
                <a:rPr lang="en-US" sz="1100">
                  <a:solidFill>
                    <a:schemeClr val="tx1"/>
                  </a:solidFill>
                  <a:effectLst/>
                  <a:latin typeface="+mn-lt"/>
                  <a:ea typeface="+mn-ea"/>
                  <a:cs typeface="+mn-cs"/>
                </a:rPr>
                <a:t> and </a:t>
              </a:r>
              <a14:m>
                <m:oMath xmlns:m="http://schemas.openxmlformats.org/officeDocument/2006/math">
                  <m:r>
                    <a:rPr lang="en-US" sz="1100" i="1">
                      <a:solidFill>
                        <a:schemeClr val="tx1"/>
                      </a:solidFill>
                      <a:effectLst/>
                      <a:latin typeface="Cambria Math" panose="02040503050406030204" pitchFamily="18" charset="0"/>
                      <a:ea typeface="+mn-ea"/>
                      <a:cs typeface="+mn-cs"/>
                    </a:rPr>
                    <m:t>𝜀</m:t>
                  </m:r>
                </m:oMath>
              </a14:m>
              <a:r>
                <a:rPr lang="en-US" sz="1100"/>
                <a:t> produce a </a:t>
              </a:r>
              <a14:m>
                <m:oMath xmlns:m="http://schemas.openxmlformats.org/officeDocument/2006/math">
                  <m:r>
                    <a:rPr lang="en-US" sz="1100" i="1">
                      <a:solidFill>
                        <a:schemeClr val="tx1"/>
                      </a:solidFill>
                      <a:effectLst/>
                      <a:latin typeface="Cambria Math" panose="02040503050406030204" pitchFamily="18" charset="0"/>
                      <a:ea typeface="+mn-ea"/>
                      <a:cs typeface="+mn-cs"/>
                    </a:rPr>
                    <m:t>𝛿</m:t>
                  </m:r>
                </m:oMath>
              </a14:m>
              <a:r>
                <a:rPr lang="en-US" sz="1100"/>
                <a:t> that is larger than </a:t>
              </a:r>
              <a14:m>
                <m:oMath xmlns:m="http://schemas.openxmlformats.org/officeDocument/2006/math">
                  <m:f>
                    <m:fPr>
                      <m:ctrlPr>
                        <a:rPr lang="en-US" sz="110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panose="02040503050406030204" pitchFamily="18" charset="0"/>
                          <a:ea typeface="+mn-ea"/>
                          <a:cs typeface="+mn-cs"/>
                        </a:rPr>
                        <m:t>1</m:t>
                      </m:r>
                    </m:num>
                    <m:den>
                      <m:r>
                        <a:rPr lang="en-US" sz="1100" b="0" i="1">
                          <a:solidFill>
                            <a:schemeClr val="tx1"/>
                          </a:solidFill>
                          <a:effectLst/>
                          <a:latin typeface="Cambria Math" panose="02040503050406030204" pitchFamily="18" charset="0"/>
                          <a:ea typeface="+mn-ea"/>
                          <a:cs typeface="+mn-cs"/>
                        </a:rPr>
                        <m:t>𝑁</m:t>
                      </m:r>
                    </m:den>
                  </m:f>
                </m:oMath>
              </a14:m>
              <a:r>
                <a:rPr lang="en-US" sz="1100">
                  <a:solidFill>
                    <a:schemeClr val="tx1"/>
                  </a:solidFill>
                  <a:effectLst/>
                  <a:latin typeface="+mn-lt"/>
                  <a:ea typeface="+mn-ea"/>
                  <a:cs typeface="+mn-cs"/>
                </a:rPr>
                <a:t> where </a:t>
              </a:r>
              <a14:m>
                <m:oMath xmlns:m="http://schemas.openxmlformats.org/officeDocument/2006/math">
                  <m:r>
                    <a:rPr lang="en-US" sz="1100" b="0" i="1">
                      <a:solidFill>
                        <a:schemeClr val="tx1"/>
                      </a:solidFill>
                      <a:effectLst/>
                      <a:latin typeface="Cambria Math" panose="02040503050406030204" pitchFamily="18" charset="0"/>
                      <a:ea typeface="+mn-ea"/>
                      <a:cs typeface="+mn-cs"/>
                    </a:rPr>
                    <m:t>𝑁</m:t>
                  </m:r>
                </m:oMath>
              </a14:m>
              <a:r>
                <a:rPr lang="en-US" sz="1100">
                  <a:solidFill>
                    <a:schemeClr val="tx1"/>
                  </a:solidFill>
                  <a:effectLst/>
                  <a:latin typeface="+mn-lt"/>
                  <a:ea typeface="+mn-ea"/>
                  <a:cs typeface="+mn-cs"/>
                </a:rPr>
                <a:t> can be set to any size.</a:t>
              </a:r>
              <a:r>
                <a:rPr lang="en-US" sz="1100" baseline="0">
                  <a:solidFill>
                    <a:schemeClr val="tx1"/>
                  </a:solidFill>
                  <a:effectLst/>
                  <a:latin typeface="+mn-lt"/>
                  <a:ea typeface="+mn-ea"/>
                  <a:cs typeface="+mn-cs"/>
                </a:rPr>
                <a:t> Because this example was developed for the protection of the BDS data product, </a:t>
              </a:r>
              <a14:m>
                <m:oMath xmlns:m="http://schemas.openxmlformats.org/officeDocument/2006/math">
                  <m:r>
                    <a:rPr lang="en-US" sz="1100" b="0" i="1">
                      <a:solidFill>
                        <a:schemeClr val="tx1"/>
                      </a:solidFill>
                      <a:effectLst/>
                      <a:latin typeface="Cambria Math" panose="02040503050406030204" pitchFamily="18" charset="0"/>
                      <a:ea typeface="+mn-ea"/>
                      <a:cs typeface="+mn-cs"/>
                    </a:rPr>
                    <m:t>𝑁</m:t>
                  </m:r>
                </m:oMath>
              </a14:m>
              <a:r>
                <a:rPr lang="en-US" sz="1100"/>
                <a:t> is currently set to the number of establishments</a:t>
              </a:r>
              <a:r>
                <a:rPr lang="en-US" sz="1100" baseline="0"/>
                <a:t> identified in the 2015 release of the BDS.</a:t>
              </a:r>
              <a:endParaRPr lang="en-US" sz="1100"/>
            </a:p>
          </xdr:txBody>
        </xdr:sp>
      </mc:Choice>
      <mc:Fallback xmlns="">
        <xdr:sp macro="" textlink="">
          <xdr:nvSpPr>
            <xdr:cNvPr id="2" name="TextBox 1"/>
            <xdr:cNvSpPr txBox="1"/>
          </xdr:nvSpPr>
          <xdr:spPr>
            <a:xfrm>
              <a:off x="0" y="0"/>
              <a:ext cx="4777740" cy="2385205"/>
            </a:xfrm>
            <a:prstGeom prst="rect">
              <a:avLst/>
            </a:prstGeom>
            <a:solidFill>
              <a:sysClr val="window" lastClr="FFFFFF"/>
            </a:solidFill>
            <a:ln>
              <a:solidFill>
                <a:sysClr val="windowText" lastClr="000000"/>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In </a:t>
              </a:r>
              <a:r>
                <a:rPr lang="en-US" sz="1100">
                  <a:solidFill>
                    <a:schemeClr val="tx1"/>
                  </a:solidFill>
                  <a:effectLst/>
                  <a:latin typeface="+mn-lt"/>
                  <a:ea typeface="+mn-ea"/>
                  <a:cs typeface="+mn-cs"/>
                </a:rPr>
                <a:t>the </a:t>
              </a:r>
              <a:r>
                <a:rPr lang="en-US" sz="1100" i="0">
                  <a:solidFill>
                    <a:schemeClr val="tx1"/>
                  </a:solidFill>
                  <a:effectLst/>
                  <a:latin typeface="+mn-lt"/>
                  <a:ea typeface="+mn-ea"/>
                  <a:cs typeface="+mn-cs"/>
                </a:rPr>
                <a:t>(𝛼,𝜀,𝛿)</a:t>
              </a:r>
              <a:r>
                <a:rPr lang="en-US" sz="1100">
                  <a:solidFill>
                    <a:schemeClr val="tx1"/>
                  </a:solidFill>
                  <a:effectLst/>
                  <a:latin typeface="+mn-lt"/>
                  <a:ea typeface="+mn-ea"/>
                  <a:cs typeface="+mn-cs"/>
                </a:rPr>
                <a:t>-ER-EE Privacy, the following inequality</a:t>
              </a:r>
              <a:r>
                <a:rPr lang="en-US" sz="1100" baseline="0">
                  <a:solidFill>
                    <a:schemeClr val="tx1"/>
                  </a:solidFill>
                  <a:effectLst/>
                  <a:latin typeface="+mn-lt"/>
                  <a:ea typeface="+mn-ea"/>
                  <a:cs typeface="+mn-cs"/>
                </a:rPr>
                <a:t> must be satisfied for the guarantee to hold. </a:t>
              </a:r>
            </a:p>
            <a:p>
              <a:r>
                <a:rPr lang="en-US" sz="1100" i="0">
                  <a:solidFill>
                    <a:schemeClr val="tx1"/>
                  </a:solidFill>
                  <a:effectLst/>
                  <a:latin typeface="+mn-lt"/>
                  <a:ea typeface="+mn-ea"/>
                  <a:cs typeface="+mn-cs"/>
                </a:rPr>
                <a:t>𝛼+1≤𝑒^(𝜀/(2 ln⁡(1∕𝛿) ))</a:t>
              </a:r>
              <a:endParaRPr lang="en-US" sz="1100" baseline="0">
                <a:solidFill>
                  <a:schemeClr val="tx1"/>
                </a:solidFill>
                <a:effectLst/>
                <a:latin typeface="+mn-lt"/>
                <a:ea typeface="+mn-ea"/>
                <a:cs typeface="+mn-cs"/>
              </a:endParaRPr>
            </a:p>
            <a:p>
              <a:r>
                <a:rPr lang="en-US" sz="1100" baseline="0">
                  <a:solidFill>
                    <a:schemeClr val="tx1"/>
                  </a:solidFill>
                  <a:effectLst/>
                  <a:latin typeface="+mn-lt"/>
                  <a:ea typeface="+mn-ea"/>
                  <a:cs typeface="+mn-cs"/>
                </a:rPr>
                <a:t>Ideally, the third parameter, </a:t>
              </a:r>
              <a:r>
                <a:rPr lang="en-US" sz="1100" i="0" baseline="0">
                  <a:solidFill>
                    <a:schemeClr val="tx1"/>
                  </a:solidFill>
                  <a:effectLst/>
                  <a:latin typeface="Cambria Math" panose="02040503050406030204" pitchFamily="18" charset="0"/>
                  <a:ea typeface="Cambria Math" panose="02040503050406030204" pitchFamily="18" charset="0"/>
                  <a:cs typeface="+mn-cs"/>
                </a:rPr>
                <a:t>𝛿</a:t>
              </a:r>
              <a:r>
                <a:rPr lang="en-US" sz="1100"/>
                <a:t>, should be smaller than </a:t>
              </a:r>
              <a:r>
                <a:rPr lang="en-US" sz="1100" b="0" i="0">
                  <a:latin typeface="Cambria Math" panose="02040503050406030204" pitchFamily="18" charset="0"/>
                </a:rPr>
                <a:t>1/𝑁</a:t>
              </a:r>
              <a:r>
                <a:rPr lang="en-US" sz="1100"/>
                <a:t> where </a:t>
              </a:r>
              <a:r>
                <a:rPr lang="en-US" sz="1100" b="0" i="0">
                  <a:latin typeface="Cambria Math" panose="02040503050406030204" pitchFamily="18" charset="0"/>
                </a:rPr>
                <a:t>𝑁</a:t>
              </a:r>
              <a:r>
                <a:rPr lang="en-US" sz="1100"/>
                <a:t> is the size of the database.</a:t>
              </a:r>
            </a:p>
            <a:p>
              <a:endParaRPr lang="en-US" sz="1100"/>
            </a:p>
            <a:p>
              <a:pPr/>
              <a:r>
                <a:rPr lang="en-US" sz="1100"/>
                <a:t>Below is a table with various combinations of </a:t>
              </a:r>
              <a:r>
                <a:rPr lang="en-US" sz="1100" i="0">
                  <a:latin typeface="Cambria Math" panose="02040503050406030204" pitchFamily="18" charset="0"/>
                  <a:ea typeface="Cambria Math" panose="02040503050406030204" pitchFamily="18" charset="0"/>
                </a:rPr>
                <a:t>𝛼</a:t>
              </a:r>
              <a:r>
                <a:rPr lang="en-US" sz="1100"/>
                <a:t> and </a:t>
              </a:r>
              <a:r>
                <a:rPr lang="en-US" sz="1100" i="0">
                  <a:latin typeface="Cambria Math" panose="02040503050406030204" pitchFamily="18" charset="0"/>
                  <a:ea typeface="Cambria Math" panose="02040503050406030204" pitchFamily="18" charset="0"/>
                </a:rPr>
                <a:t>𝜀</a:t>
              </a:r>
              <a:r>
                <a:rPr lang="en-US" sz="1100"/>
                <a:t>, showing the largest value of </a:t>
              </a:r>
              <a:r>
                <a:rPr lang="en-US" sz="1100" i="0">
                  <a:latin typeface="Cambria Math" panose="02040503050406030204" pitchFamily="18" charset="0"/>
                  <a:ea typeface="Cambria Math" panose="02040503050406030204" pitchFamily="18" charset="0"/>
                </a:rPr>
                <a:t>𝛿</a:t>
              </a:r>
              <a:r>
                <a:rPr lang="en-US" sz="1100"/>
                <a:t> that still satisfies the inequality. The cells that are highlighted in red identify</a:t>
              </a:r>
              <a:r>
                <a:rPr lang="en-US" sz="1100" baseline="0"/>
                <a:t> which combinations of </a:t>
              </a:r>
              <a:r>
                <a:rPr lang="en-US" sz="1100" i="0">
                  <a:solidFill>
                    <a:schemeClr val="tx1"/>
                  </a:solidFill>
                  <a:effectLst/>
                  <a:latin typeface="+mn-lt"/>
                  <a:ea typeface="+mn-ea"/>
                  <a:cs typeface="+mn-cs"/>
                </a:rPr>
                <a:t>𝛼</a:t>
              </a:r>
              <a:r>
                <a:rPr lang="en-US" sz="1100">
                  <a:solidFill>
                    <a:schemeClr val="tx1"/>
                  </a:solidFill>
                  <a:effectLst/>
                  <a:latin typeface="+mn-lt"/>
                  <a:ea typeface="+mn-ea"/>
                  <a:cs typeface="+mn-cs"/>
                </a:rPr>
                <a:t> and </a:t>
              </a:r>
              <a:r>
                <a:rPr lang="en-US" sz="1100" i="0">
                  <a:solidFill>
                    <a:schemeClr val="tx1"/>
                  </a:solidFill>
                  <a:effectLst/>
                  <a:latin typeface="+mn-lt"/>
                  <a:ea typeface="+mn-ea"/>
                  <a:cs typeface="+mn-cs"/>
                </a:rPr>
                <a:t>𝜀</a:t>
              </a:r>
              <a:r>
                <a:rPr lang="en-US" sz="1100"/>
                <a:t> produce a </a:t>
              </a:r>
              <a:r>
                <a:rPr lang="en-US" sz="1100" i="0">
                  <a:solidFill>
                    <a:schemeClr val="tx1"/>
                  </a:solidFill>
                  <a:effectLst/>
                  <a:latin typeface="+mn-lt"/>
                  <a:ea typeface="+mn-ea"/>
                  <a:cs typeface="+mn-cs"/>
                </a:rPr>
                <a:t>𝛿</a:t>
              </a:r>
              <a:r>
                <a:rPr lang="en-US" sz="1100"/>
                <a:t> that is larger than </a:t>
              </a:r>
              <a:r>
                <a:rPr lang="en-US" sz="1100" b="0" i="0">
                  <a:solidFill>
                    <a:schemeClr val="tx1"/>
                  </a:solidFill>
                  <a:effectLst/>
                  <a:latin typeface="+mn-lt"/>
                  <a:ea typeface="+mn-ea"/>
                  <a:cs typeface="+mn-cs"/>
                </a:rPr>
                <a:t>1/𝑁</a:t>
              </a:r>
              <a:r>
                <a:rPr lang="en-US" sz="1100">
                  <a:solidFill>
                    <a:schemeClr val="tx1"/>
                  </a:solidFill>
                  <a:effectLst/>
                  <a:latin typeface="+mn-lt"/>
                  <a:ea typeface="+mn-ea"/>
                  <a:cs typeface="+mn-cs"/>
                </a:rPr>
                <a:t> where </a:t>
              </a:r>
              <a:r>
                <a:rPr lang="en-US" sz="1100" b="0" i="0">
                  <a:solidFill>
                    <a:schemeClr val="tx1"/>
                  </a:solidFill>
                  <a:effectLst/>
                  <a:latin typeface="+mn-lt"/>
                  <a:ea typeface="+mn-ea"/>
                  <a:cs typeface="+mn-cs"/>
                </a:rPr>
                <a:t>𝑁</a:t>
              </a:r>
              <a:r>
                <a:rPr lang="en-US" sz="1100">
                  <a:solidFill>
                    <a:schemeClr val="tx1"/>
                  </a:solidFill>
                  <a:effectLst/>
                  <a:latin typeface="+mn-lt"/>
                  <a:ea typeface="+mn-ea"/>
                  <a:cs typeface="+mn-cs"/>
                </a:rPr>
                <a:t> can be set to any size.</a:t>
              </a:r>
              <a:r>
                <a:rPr lang="en-US" sz="1100" baseline="0">
                  <a:solidFill>
                    <a:schemeClr val="tx1"/>
                  </a:solidFill>
                  <a:effectLst/>
                  <a:latin typeface="+mn-lt"/>
                  <a:ea typeface="+mn-ea"/>
                  <a:cs typeface="+mn-cs"/>
                </a:rPr>
                <a:t> Because this example was developed for the protection of the BDS data product, </a:t>
              </a:r>
              <a:r>
                <a:rPr lang="en-US" sz="1100" b="0" i="0">
                  <a:solidFill>
                    <a:schemeClr val="tx1"/>
                  </a:solidFill>
                  <a:effectLst/>
                  <a:latin typeface="+mn-lt"/>
                  <a:ea typeface="+mn-ea"/>
                  <a:cs typeface="+mn-cs"/>
                </a:rPr>
                <a:t>𝑁</a:t>
              </a:r>
              <a:r>
                <a:rPr lang="en-US" sz="1100"/>
                <a:t> is currently set to the number of establishments</a:t>
              </a:r>
              <a:r>
                <a:rPr lang="en-US" sz="1100" baseline="0"/>
                <a:t> identified in the 2015 release of the BDS.</a:t>
              </a:r>
              <a:endParaRPr lang="en-US" sz="1100"/>
            </a:p>
          </xdr:txBody>
        </xdr:sp>
      </mc:Fallback>
    </mc:AlternateContent>
    <xdr:clientData/>
  </xdr:oneCellAnchor>
</xdr:wsDr>
</file>

<file path=xl/drawings/drawing9.xml><?xml version="1.0" encoding="utf-8"?>
<xdr:wsDr xmlns:xdr="http://schemas.openxmlformats.org/drawingml/2006/spreadsheetDrawing" xmlns:a="http://schemas.openxmlformats.org/drawingml/2006/main">
  <xdr:twoCellAnchor>
    <xdr:from>
      <xdr:col>9</xdr:col>
      <xdr:colOff>0</xdr:colOff>
      <xdr:row>3</xdr:row>
      <xdr:rowOff>104774</xdr:rowOff>
    </xdr:from>
    <xdr:to>
      <xdr:col>17</xdr:col>
      <xdr:colOff>323850</xdr:colOff>
      <xdr:row>23</xdr:row>
      <xdr:rowOff>190499</xdr:rowOff>
    </xdr:to>
    <mc:AlternateContent xmlns:mc="http://schemas.openxmlformats.org/markup-compatibility/2006">
      <mc:Choice xmlns:cx1="http://schemas.microsoft.com/office/drawing/2015/9/8/chartex" Requires="cx1">
        <xdr:graphicFrame macro="">
          <xdr:nvGraphicFramePr>
            <xdr:cNvPr id="3" name="Chart 2"/>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0</xdr:colOff>
      <xdr:row>24</xdr:row>
      <xdr:rowOff>14286</xdr:rowOff>
    </xdr:from>
    <xdr:to>
      <xdr:col>17</xdr:col>
      <xdr:colOff>323849</xdr:colOff>
      <xdr:row>44</xdr:row>
      <xdr:rowOff>95249</xdr:rowOff>
    </xdr:to>
    <mc:AlternateContent xmlns:mc="http://schemas.openxmlformats.org/markup-compatibility/2006">
      <mc:Choice xmlns:cx1="http://schemas.microsoft.com/office/drawing/2015/9/8/chartex" Requires="cx1">
        <xdr:graphicFrame macro="">
          <xdr:nvGraphicFramePr>
            <xdr:cNvPr id="6" name="Chart 5"/>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104775</xdr:colOff>
      <xdr:row>4</xdr:row>
      <xdr:rowOff>161925</xdr:rowOff>
    </xdr:from>
    <xdr:to>
      <xdr:col>6</xdr:col>
      <xdr:colOff>731520</xdr:colOff>
      <xdr:row>39</xdr:row>
      <xdr:rowOff>142875</xdr:rowOff>
    </xdr:to>
    <mc:AlternateContent xmlns:mc="http://schemas.openxmlformats.org/markup-compatibility/2006" xmlns:a14="http://schemas.microsoft.com/office/drawing/2010/main">
      <mc:Choice Requires="a14">
        <xdr:sp macro="" textlink="">
          <xdr:nvSpPr>
            <xdr:cNvPr id="9" name="TextBox 8"/>
            <xdr:cNvSpPr txBox="1"/>
          </xdr:nvSpPr>
          <xdr:spPr>
            <a:xfrm>
              <a:off x="104775" y="1114425"/>
              <a:ext cx="5370195" cy="66484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Sampling</a:t>
              </a:r>
              <a:r>
                <a:rPr lang="en-US" sz="1400" b="1" baseline="0"/>
                <a:t> from the Geometric Distribution</a:t>
              </a:r>
              <a:endParaRPr lang="en-US" sz="1400" b="1"/>
            </a:p>
            <a:p>
              <a:r>
                <a:rPr lang="en-US" sz="1100"/>
                <a:t>The Geometric</a:t>
              </a:r>
              <a:r>
                <a:rPr lang="en-US" sz="1100" baseline="0"/>
                <a:t> distribution can be used as an integer analog to the Laplace distribution for adding differentially private noise.</a:t>
              </a:r>
            </a:p>
            <a:p>
              <a:endParaRPr lang="en-US" sz="1100" baseline="0"/>
            </a:p>
            <a:p>
              <a:r>
                <a:rPr lang="en-US" sz="1100" baseline="0"/>
                <a:t>The geometric distrbution is described by the equation:</a:t>
              </a:r>
            </a:p>
            <a:p>
              <a:pPr/>
              <a14:m>
                <m:oMathPara xmlns:m="http://schemas.openxmlformats.org/officeDocument/2006/math">
                  <m:oMathParaPr>
                    <m:jc m:val="centerGroup"/>
                  </m:oMathParaPr>
                  <m:oMath xmlns:m="http://schemas.openxmlformats.org/officeDocument/2006/math">
                    <m:r>
                      <a:rPr lang="en-US" sz="1100" b="0" i="1">
                        <a:latin typeface="Cambria Math" panose="02040503050406030204" pitchFamily="18" charset="0"/>
                      </a:rPr>
                      <m:t>𝑓</m:t>
                    </m:r>
                    <m:d>
                      <m:dPr>
                        <m:ctrlPr>
                          <a:rPr lang="en-US" sz="1100" b="0" i="1">
                            <a:latin typeface="Cambria Math" panose="02040503050406030204" pitchFamily="18" charset="0"/>
                          </a:rPr>
                        </m:ctrlPr>
                      </m:dPr>
                      <m:e>
                        <m:r>
                          <a:rPr lang="en-US" sz="1100" b="0" i="1">
                            <a:latin typeface="Cambria Math" panose="02040503050406030204" pitchFamily="18" charset="0"/>
                          </a:rPr>
                          <m:t>𝑘</m:t>
                        </m:r>
                      </m:e>
                      <m:e>
                        <m:r>
                          <a:rPr lang="en-US" sz="1100" b="0" i="1">
                            <a:latin typeface="Cambria Math" panose="02040503050406030204" pitchFamily="18" charset="0"/>
                          </a:rPr>
                          <m:t>𝑝</m:t>
                        </m:r>
                      </m:e>
                    </m:d>
                    <m:r>
                      <a:rPr lang="en-US" sz="1100" b="0" i="1">
                        <a:latin typeface="Cambria Math" panose="02040503050406030204" pitchFamily="18" charset="0"/>
                      </a:rPr>
                      <m:t>=</m:t>
                    </m:r>
                    <m:sSup>
                      <m:sSupPr>
                        <m:ctrlPr>
                          <a:rPr lang="en-US" sz="1100" b="0" i="1">
                            <a:latin typeface="Cambria Math" panose="02040503050406030204" pitchFamily="18" charset="0"/>
                          </a:rPr>
                        </m:ctrlPr>
                      </m:sSupPr>
                      <m:e>
                        <m:d>
                          <m:dPr>
                            <m:ctrlPr>
                              <a:rPr lang="en-US" sz="1100" b="0" i="1">
                                <a:solidFill>
                                  <a:schemeClr val="dk1"/>
                                </a:solidFill>
                                <a:effectLst/>
                                <a:latin typeface="Cambria Math" panose="02040503050406030204" pitchFamily="18" charset="0"/>
                                <a:ea typeface="+mn-ea"/>
                                <a:cs typeface="+mn-cs"/>
                              </a:rPr>
                            </m:ctrlPr>
                          </m:dPr>
                          <m:e>
                            <m:r>
                              <a:rPr lang="en-US" sz="1100" b="0" i="1">
                                <a:solidFill>
                                  <a:schemeClr val="dk1"/>
                                </a:solidFill>
                                <a:effectLst/>
                                <a:latin typeface="Cambria Math" panose="02040503050406030204" pitchFamily="18" charset="0"/>
                                <a:ea typeface="+mn-ea"/>
                                <a:cs typeface="+mn-cs"/>
                              </a:rPr>
                              <m:t>1−</m:t>
                            </m:r>
                            <m:r>
                              <a:rPr lang="en-US" sz="1100" b="0" i="1">
                                <a:solidFill>
                                  <a:schemeClr val="dk1"/>
                                </a:solidFill>
                                <a:effectLst/>
                                <a:latin typeface="Cambria Math" panose="02040503050406030204" pitchFamily="18" charset="0"/>
                                <a:ea typeface="+mn-ea"/>
                                <a:cs typeface="+mn-cs"/>
                              </a:rPr>
                              <m:t>𝑝</m:t>
                            </m:r>
                          </m:e>
                        </m:d>
                      </m:e>
                      <m:sup>
                        <m:r>
                          <a:rPr lang="en-US" sz="1100" b="0" i="1">
                            <a:latin typeface="Cambria Math" panose="02040503050406030204" pitchFamily="18" charset="0"/>
                          </a:rPr>
                          <m:t>𝑘</m:t>
                        </m:r>
                      </m:sup>
                    </m:sSup>
                    <m:r>
                      <a:rPr lang="en-US" sz="1100" b="0" i="1">
                        <a:latin typeface="Cambria Math" panose="02040503050406030204" pitchFamily="18" charset="0"/>
                      </a:rPr>
                      <m:t>𝑝</m:t>
                    </m:r>
                  </m:oMath>
                </m:oMathPara>
              </a14:m>
              <a:endParaRPr lang="en-US" sz="1100" b="0"/>
            </a:p>
            <a:p>
              <a:r>
                <a:rPr lang="en-US" sz="1100"/>
                <a:t>where</a:t>
              </a:r>
              <a:r>
                <a:rPr lang="en-US" sz="1100" baseline="0"/>
                <a:t> </a:t>
              </a:r>
              <a14:m>
                <m:oMath xmlns:m="http://schemas.openxmlformats.org/officeDocument/2006/math">
                  <m:r>
                    <a:rPr lang="en-US" sz="1100" i="1" baseline="0">
                      <a:latin typeface="Cambria Math" panose="02040503050406030204" pitchFamily="18" charset="0"/>
                    </a:rPr>
                    <m:t>𝑘</m:t>
                  </m:r>
                </m:oMath>
              </a14:m>
              <a:r>
                <a:rPr lang="en-US" sz="1100" baseline="0"/>
                <a:t> is a whole number </a:t>
              </a:r>
              <a14:m>
                <m:oMath xmlns:m="http://schemas.openxmlformats.org/officeDocument/2006/math">
                  <m:r>
                    <a:rPr lang="en-US" sz="1100" i="1" baseline="0">
                      <a:latin typeface="Cambria Math" panose="02040503050406030204" pitchFamily="18" charset="0"/>
                    </a:rPr>
                    <m:t>0,1,…,</m:t>
                  </m:r>
                  <m:r>
                    <a:rPr lang="en-US" sz="1100" i="1" baseline="0">
                      <a:latin typeface="Cambria Math" panose="02040503050406030204" pitchFamily="18" charset="0"/>
                      <a:ea typeface="Cambria Math" panose="02040503050406030204" pitchFamily="18" charset="0"/>
                    </a:rPr>
                    <m:t>∞</m:t>
                  </m:r>
                </m:oMath>
              </a14:m>
              <a:r>
                <a:rPr lang="en-US" sz="1100" baseline="0"/>
                <a:t> and </a:t>
              </a:r>
              <a14:m>
                <m:oMath xmlns:m="http://schemas.openxmlformats.org/officeDocument/2006/math">
                  <m:r>
                    <a:rPr lang="en-US" sz="1100" i="1" baseline="0">
                      <a:latin typeface="Cambria Math" panose="02040503050406030204" pitchFamily="18" charset="0"/>
                    </a:rPr>
                    <m:t>𝑝</m:t>
                  </m:r>
                </m:oMath>
              </a14:m>
              <a:r>
                <a:rPr lang="en-US" sz="1100" baseline="0"/>
                <a:t> is the probability that success will come after the </a:t>
              </a:r>
              <a14:m>
                <m:oMath xmlns:m="http://schemas.openxmlformats.org/officeDocument/2006/math">
                  <m:sSup>
                    <m:sSupPr>
                      <m:ctrlPr>
                        <a:rPr lang="en-US" sz="1100" i="1" baseline="0">
                          <a:latin typeface="Cambria Math" panose="02040503050406030204" pitchFamily="18" charset="0"/>
                        </a:rPr>
                      </m:ctrlPr>
                    </m:sSupPr>
                    <m:e>
                      <m:r>
                        <a:rPr lang="en-US" sz="1100" b="0" i="1" baseline="0">
                          <a:latin typeface="Cambria Math" panose="02040503050406030204" pitchFamily="18" charset="0"/>
                        </a:rPr>
                        <m:t>𝑘</m:t>
                      </m:r>
                    </m:e>
                    <m:sup>
                      <m:r>
                        <m:rPr>
                          <m:nor/>
                        </m:rPr>
                        <a:rPr lang="en-US" sz="1100" b="0" i="0" baseline="0">
                          <a:latin typeface="Cambria Math" panose="02040503050406030204" pitchFamily="18" charset="0"/>
                        </a:rPr>
                        <m:t>th</m:t>
                      </m:r>
                    </m:sup>
                  </m:sSup>
                </m:oMath>
              </a14:m>
              <a:r>
                <a:rPr lang="en-US" sz="1100" baseline="0"/>
                <a:t> failure. (Note that there are two versions of the Geometric distribution, one in which </a:t>
              </a:r>
              <a14:m>
                <m:oMath xmlns:m="http://schemas.openxmlformats.org/officeDocument/2006/math">
                  <m:r>
                    <a:rPr lang="en-US" sz="1100" i="1" baseline="0">
                      <a:latin typeface="Cambria Math" panose="02040503050406030204" pitchFamily="18" charset="0"/>
                    </a:rPr>
                    <m:t>𝑘</m:t>
                  </m:r>
                </m:oMath>
              </a14:m>
              <a:r>
                <a:rPr lang="en-US" sz="1100" baseline="0"/>
                <a:t> is 0-indexed and one in which </a:t>
              </a:r>
              <a14:m>
                <m:oMath xmlns:m="http://schemas.openxmlformats.org/officeDocument/2006/math">
                  <m:r>
                    <a:rPr lang="en-US" sz="1100" i="1" baseline="0">
                      <a:latin typeface="Cambria Math" panose="02040503050406030204" pitchFamily="18" charset="0"/>
                    </a:rPr>
                    <m:t>𝑘</m:t>
                  </m:r>
                </m:oMath>
              </a14:m>
              <a:r>
                <a:rPr lang="en-US" sz="1100" baseline="0"/>
                <a:t> is 1-indexed, and they have slightly different semantic interpretations. As long we are consistent it does not matter which one we choose.)</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Sampling into this distribution means finding a </a:t>
              </a:r>
              <a14:m>
                <m:oMath xmlns:m="http://schemas.openxmlformats.org/officeDocument/2006/math">
                  <m:r>
                    <a:rPr lang="en-US" sz="1100" i="1" baseline="0">
                      <a:latin typeface="Cambria Math" panose="02040503050406030204" pitchFamily="18" charset="0"/>
                    </a:rPr>
                    <m:t>𝑘</m:t>
                  </m:r>
                </m:oMath>
              </a14:m>
              <a:r>
                <a:rPr lang="en-US" sz="1100" baseline="0"/>
                <a:t> for a uniformly generated value of </a:t>
              </a:r>
              <a14:m>
                <m:oMath xmlns:m="http://schemas.openxmlformats.org/officeDocument/2006/math">
                  <m:r>
                    <a:rPr lang="en-US" sz="1100" i="1" baseline="0">
                      <a:latin typeface="Cambria Math" panose="02040503050406030204" pitchFamily="18" charset="0"/>
                    </a:rPr>
                    <m:t>𝑓</m:t>
                  </m:r>
                </m:oMath>
              </a14:m>
              <a:r>
                <a:rPr lang="en-US" sz="1100" baseline="0"/>
                <a:t>. The value of </a:t>
              </a:r>
              <a14:m>
                <m:oMath xmlns:m="http://schemas.openxmlformats.org/officeDocument/2006/math">
                  <m:r>
                    <a:rPr lang="en-US" sz="1100" i="1" baseline="0">
                      <a:latin typeface="Cambria Math" panose="02040503050406030204" pitchFamily="18" charset="0"/>
                    </a:rPr>
                    <m:t>𝑘</m:t>
                  </m:r>
                </m:oMath>
              </a14:m>
              <a:r>
                <a:rPr lang="en-US" sz="1100" baseline="0"/>
                <a:t> is then the noise that we add to a cell. </a:t>
              </a:r>
              <a:r>
                <a:rPr lang="en-US" sz="1100" baseline="0">
                  <a:solidFill>
                    <a:schemeClr val="dk1"/>
                  </a:solidFill>
                  <a:effectLst/>
                  <a:latin typeface="+mn-lt"/>
                  <a:ea typeface="+mn-ea"/>
                  <a:cs typeface="+mn-cs"/>
                </a:rPr>
                <a:t>Additionally, we set</a:t>
              </a:r>
            </a:p>
            <a:p>
              <a:pPr marL="0" marR="0" lvl="0" indent="0" defTabSz="914400" eaLnBrk="1" fontAlgn="auto" latinLnBrk="0" hangingPunct="1">
                <a:lnSpc>
                  <a:spcPct val="100000"/>
                </a:lnSpc>
                <a:spcBef>
                  <a:spcPts val="0"/>
                </a:spcBef>
                <a:spcAft>
                  <a:spcPts val="0"/>
                </a:spcAft>
                <a:buClrTx/>
                <a:buSzTx/>
                <a:buFontTx/>
                <a:buNone/>
                <a:tabLst/>
                <a:defRPr/>
              </a:pPr>
              <a14:m>
                <m:oMathPara xmlns:m="http://schemas.openxmlformats.org/officeDocument/2006/math">
                  <m:oMathParaPr>
                    <m:jc m:val="centerGroup"/>
                  </m:oMathParaPr>
                  <m:oMath xmlns:m="http://schemas.openxmlformats.org/officeDocument/2006/math">
                    <m:r>
                      <a:rPr lang="en-US" sz="1100" b="0" i="1" baseline="0">
                        <a:solidFill>
                          <a:schemeClr val="dk1"/>
                        </a:solidFill>
                        <a:effectLst/>
                        <a:latin typeface="Cambria Math" panose="02040503050406030204" pitchFamily="18" charset="0"/>
                        <a:ea typeface="+mn-ea"/>
                        <a:cs typeface="+mn-cs"/>
                      </a:rPr>
                      <m:t>𝑝</m:t>
                    </m:r>
                    <m:r>
                      <a:rPr lang="en-US" sz="1100" b="0" i="1" baseline="0">
                        <a:solidFill>
                          <a:schemeClr val="dk1"/>
                        </a:solidFill>
                        <a:effectLst/>
                        <a:latin typeface="Cambria Math" panose="02040503050406030204" pitchFamily="18" charset="0"/>
                        <a:ea typeface="+mn-ea"/>
                        <a:cs typeface="+mn-cs"/>
                      </a:rPr>
                      <m:t>=1−</m:t>
                    </m:r>
                    <m:sSup>
                      <m:sSupPr>
                        <m:ctrlPr>
                          <a:rPr lang="en-US" sz="1100" b="0" i="1" baseline="0">
                            <a:solidFill>
                              <a:schemeClr val="dk1"/>
                            </a:solidFill>
                            <a:effectLst/>
                            <a:latin typeface="Cambria Math" panose="02040503050406030204" pitchFamily="18" charset="0"/>
                            <a:ea typeface="+mn-ea"/>
                            <a:cs typeface="+mn-cs"/>
                          </a:rPr>
                        </m:ctrlPr>
                      </m:sSupPr>
                      <m:e>
                        <m:r>
                          <a:rPr lang="en-US" sz="1100" b="0" i="1" baseline="0">
                            <a:solidFill>
                              <a:schemeClr val="dk1"/>
                            </a:solidFill>
                            <a:effectLst/>
                            <a:latin typeface="Cambria Math" panose="02040503050406030204" pitchFamily="18" charset="0"/>
                            <a:ea typeface="+mn-ea"/>
                            <a:cs typeface="+mn-cs"/>
                          </a:rPr>
                          <m:t>𝑒</m:t>
                        </m:r>
                      </m:e>
                      <m:sup>
                        <m:r>
                          <a:rPr lang="en-US" sz="1100" b="0" i="1" baseline="0">
                            <a:solidFill>
                              <a:schemeClr val="dk1"/>
                            </a:solidFill>
                            <a:effectLst/>
                            <a:latin typeface="Cambria Math" panose="02040503050406030204" pitchFamily="18" charset="0"/>
                            <a:ea typeface="+mn-ea"/>
                            <a:cs typeface="+mn-cs"/>
                          </a:rPr>
                          <m:t>−</m:t>
                        </m:r>
                        <m:f>
                          <m:fPr>
                            <m:ctrlPr>
                              <a:rPr lang="en-US" sz="1100" b="0" i="1" baseline="0">
                                <a:solidFill>
                                  <a:schemeClr val="dk1"/>
                                </a:solidFill>
                                <a:effectLst/>
                                <a:latin typeface="Cambria Math" panose="02040503050406030204" pitchFamily="18" charset="0"/>
                                <a:ea typeface="+mn-ea"/>
                                <a:cs typeface="+mn-cs"/>
                              </a:rPr>
                            </m:ctrlPr>
                          </m:fPr>
                          <m:num>
                            <m:r>
                              <a:rPr lang="en-US" sz="1100" b="0" i="1" baseline="0">
                                <a:solidFill>
                                  <a:schemeClr val="dk1"/>
                                </a:solidFill>
                                <a:effectLst/>
                                <a:latin typeface="Cambria Math" panose="02040503050406030204" pitchFamily="18" charset="0"/>
                                <a:ea typeface="+mn-ea"/>
                                <a:cs typeface="+mn-cs"/>
                              </a:rPr>
                              <m:t>𝜀</m:t>
                            </m:r>
                          </m:num>
                          <m:den>
                            <m:sSup>
                              <m:sSupPr>
                                <m:ctrlPr>
                                  <a:rPr lang="en-US" sz="1100" b="0" i="1" baseline="0">
                                    <a:solidFill>
                                      <a:schemeClr val="dk1"/>
                                    </a:solidFill>
                                    <a:effectLst/>
                                    <a:latin typeface="Cambria Math" panose="02040503050406030204" pitchFamily="18" charset="0"/>
                                    <a:ea typeface="+mn-ea"/>
                                    <a:cs typeface="+mn-cs"/>
                                  </a:rPr>
                                </m:ctrlPr>
                              </m:sSupPr>
                              <m:e>
                                <m:r>
                                  <a:rPr lang="en-US" sz="1100" b="0" i="1" baseline="0">
                                    <a:solidFill>
                                      <a:schemeClr val="dk1"/>
                                    </a:solidFill>
                                    <a:effectLst/>
                                    <a:latin typeface="Cambria Math" panose="02040503050406030204" pitchFamily="18" charset="0"/>
                                    <a:ea typeface="+mn-ea"/>
                                    <a:cs typeface="+mn-cs"/>
                                  </a:rPr>
                                  <m:t>𝑆</m:t>
                                </m:r>
                              </m:e>
                              <m:sup>
                                <m:r>
                                  <a:rPr lang="en-US" sz="1100" b="0" i="1" baseline="0">
                                    <a:solidFill>
                                      <a:schemeClr val="dk1"/>
                                    </a:solidFill>
                                    <a:effectLst/>
                                    <a:latin typeface="Cambria Math" panose="02040503050406030204" pitchFamily="18" charset="0"/>
                                    <a:ea typeface="+mn-ea"/>
                                    <a:cs typeface="+mn-cs"/>
                                  </a:rPr>
                                  <m:t>∗</m:t>
                                </m:r>
                              </m:sup>
                            </m:sSup>
                          </m:den>
                        </m:f>
                      </m:sup>
                    </m:sSup>
                  </m:oMath>
                </m:oMathPara>
              </a14:m>
              <a:endParaRPr lang="en-US">
                <a:effectLst/>
              </a:endParaRPr>
            </a:p>
            <a:p>
              <a:r>
                <a:rPr lang="en-US" sz="1100" baseline="0"/>
                <a:t>where </a:t>
              </a:r>
              <a14:m>
                <m:oMath xmlns:m="http://schemas.openxmlformats.org/officeDocument/2006/math">
                  <m:r>
                    <a:rPr lang="en-US" sz="1100" i="1" baseline="0">
                      <a:latin typeface="Cambria Math" panose="02040503050406030204" pitchFamily="18" charset="0"/>
                      <a:ea typeface="Cambria Math" panose="02040503050406030204" pitchFamily="18" charset="0"/>
                    </a:rPr>
                    <m:t>𝜀</m:t>
                  </m:r>
                </m:oMath>
              </a14:m>
              <a:r>
                <a:rPr lang="en-US" sz="1100" baseline="0"/>
                <a:t> is the privacy parameter and </a:t>
              </a:r>
              <a14:m>
                <m:oMath xmlns:m="http://schemas.openxmlformats.org/officeDocument/2006/math">
                  <m:sSup>
                    <m:sSupPr>
                      <m:ctrlPr>
                        <a:rPr lang="en-US" sz="1100" i="1" baseline="0">
                          <a:latin typeface="Cambria Math" panose="02040503050406030204" pitchFamily="18" charset="0"/>
                        </a:rPr>
                      </m:ctrlPr>
                    </m:sSupPr>
                    <m:e>
                      <m:r>
                        <a:rPr lang="en-US" sz="1100" b="0" i="1" baseline="0">
                          <a:latin typeface="Cambria Math" panose="02040503050406030204" pitchFamily="18" charset="0"/>
                        </a:rPr>
                        <m:t>𝑆</m:t>
                      </m:r>
                    </m:e>
                    <m:sup>
                      <m:r>
                        <a:rPr lang="en-US" sz="1100" b="0" i="1" baseline="0">
                          <a:latin typeface="Cambria Math" panose="02040503050406030204" pitchFamily="18" charset="0"/>
                        </a:rPr>
                        <m:t>∗</m:t>
                      </m:r>
                    </m:sup>
                  </m:sSup>
                </m:oMath>
              </a14:m>
              <a:r>
                <a:rPr lang="en-US" sz="1100" baseline="0"/>
                <a:t> is the sensitivity as discussed in other tabs.</a:t>
              </a:r>
            </a:p>
            <a:p>
              <a:endParaRPr lang="en-US" sz="1100"/>
            </a:p>
            <a:p>
              <a:r>
                <a:rPr lang="en-US" sz="1100" baseline="0"/>
                <a:t>The Geometric distribution is one-sided, but when we add noise we must use samples from a two-sided distribution, which can be constructed by substracting two independent samples into the one-sided distribution. So if we define </a:t>
              </a:r>
              <a14:m>
                <m:oMath xmlns:m="http://schemas.openxmlformats.org/officeDocument/2006/math">
                  <m:r>
                    <a:rPr lang="en-US" sz="1100" i="1" baseline="0">
                      <a:latin typeface="Cambria Math" panose="02040503050406030204" pitchFamily="18" charset="0"/>
                    </a:rPr>
                    <m:t>𝑋</m:t>
                  </m:r>
                </m:oMath>
              </a14:m>
              <a:r>
                <a:rPr lang="en-US" sz="1100" baseline="0"/>
                <a:t> and </a:t>
              </a:r>
              <a14:m>
                <m:oMath xmlns:m="http://schemas.openxmlformats.org/officeDocument/2006/math">
                  <m:r>
                    <a:rPr lang="en-US" sz="1100" i="1" baseline="0">
                      <a:latin typeface="Cambria Math" panose="02040503050406030204" pitchFamily="18" charset="0"/>
                    </a:rPr>
                    <m:t>𝑌</m:t>
                  </m:r>
                </m:oMath>
              </a14:m>
              <a:r>
                <a:rPr lang="en-US" sz="1100" baseline="0"/>
                <a:t> as independent samples into the geometric distribution, then the noise, </a:t>
              </a:r>
              <a14:m>
                <m:oMath xmlns:m="http://schemas.openxmlformats.org/officeDocument/2006/math">
                  <m:r>
                    <a:rPr lang="en-US" sz="1100" i="1" baseline="0">
                      <a:latin typeface="Cambria Math" panose="02040503050406030204" pitchFamily="18" charset="0"/>
                      <a:ea typeface="Cambria Math" panose="02040503050406030204" pitchFamily="18" charset="0"/>
                    </a:rPr>
                    <m:t>𝜂</m:t>
                  </m:r>
                </m:oMath>
              </a14:m>
              <a:r>
                <a:rPr lang="en-US" sz="1100" baseline="0"/>
                <a:t>, we should add is:</a:t>
              </a:r>
            </a:p>
            <a:p>
              <a:pPr/>
              <a14:m>
                <m:oMathPara xmlns:m="http://schemas.openxmlformats.org/officeDocument/2006/math">
                  <m:oMathParaPr>
                    <m:jc m:val="centerGroup"/>
                  </m:oMathParaPr>
                  <m:oMath xmlns:m="http://schemas.openxmlformats.org/officeDocument/2006/math">
                    <m:r>
                      <a:rPr lang="en-US" sz="1100" i="1" baseline="0">
                        <a:latin typeface="Cambria Math" panose="02040503050406030204" pitchFamily="18" charset="0"/>
                        <a:ea typeface="Cambria Math" panose="02040503050406030204" pitchFamily="18" charset="0"/>
                      </a:rPr>
                      <m:t>𝜂</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𝑋</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𝑌</m:t>
                    </m:r>
                  </m:oMath>
                </m:oMathPara>
              </a14:m>
              <a:endParaRPr lang="en-US" sz="1100" baseline="0"/>
            </a:p>
            <a:p>
              <a:endParaRPr lang="en-US" sz="1100"/>
            </a:p>
            <a:p>
              <a:r>
                <a:rPr lang="en-US" sz="1100"/>
                <a:t>Some analysis</a:t>
              </a:r>
              <a:r>
                <a:rPr lang="en-US" sz="1100" baseline="0"/>
                <a:t> tools/languages have a built-in way to sample from the Geometric distribution. If not, one can produce a sample similar to the method used in this Excel tab:</a:t>
              </a:r>
            </a:p>
            <a:p>
              <a:endParaRPr lang="en-US" sz="1100" baseline="0"/>
            </a:p>
            <a:p>
              <a:r>
                <a:rPr lang="en-US" sz="1100" baseline="0"/>
                <a:t>1. Generate a table of </a:t>
              </a:r>
              <a14:m>
                <m:oMath xmlns:m="http://schemas.openxmlformats.org/officeDocument/2006/math">
                  <m:r>
                    <a:rPr lang="en-US" sz="1100" i="1" baseline="0">
                      <a:latin typeface="Cambria Math" panose="02040503050406030204" pitchFamily="18" charset="0"/>
                    </a:rPr>
                    <m:t>𝑘</m:t>
                  </m:r>
                </m:oMath>
              </a14:m>
              <a:r>
                <a:rPr lang="en-US" sz="1100" baseline="0"/>
                <a:t> and </a:t>
              </a:r>
              <a14:m>
                <m:oMath xmlns:m="http://schemas.openxmlformats.org/officeDocument/2006/math">
                  <m:r>
                    <a:rPr lang="en-US" sz="1100" b="0" i="1" baseline="0">
                      <a:latin typeface="Cambria Math" panose="02040503050406030204" pitchFamily="18" charset="0"/>
                    </a:rPr>
                    <m:t>𝐹</m:t>
                  </m:r>
                </m:oMath>
              </a14:m>
              <a:r>
                <a:rPr lang="en-US" sz="1100" baseline="0"/>
                <a:t>, where </a:t>
              </a:r>
              <a14:m>
                <m:oMath xmlns:m="http://schemas.openxmlformats.org/officeDocument/2006/math">
                  <m:r>
                    <a:rPr lang="en-US" sz="1100" b="0" i="1" baseline="0">
                      <a:latin typeface="Cambria Math" panose="02040503050406030204" pitchFamily="18" charset="0"/>
                    </a:rPr>
                    <m:t>𝐹</m:t>
                  </m:r>
                  <m:r>
                    <a:rPr lang="en-US" sz="1100" b="0" i="1" baseline="0">
                      <a:latin typeface="Cambria Math" panose="02040503050406030204" pitchFamily="18" charset="0"/>
                    </a:rPr>
                    <m:t>=</m:t>
                  </m:r>
                  <m:nary>
                    <m:naryPr>
                      <m:chr m:val="∑"/>
                      <m:limLoc m:val="subSup"/>
                      <m:ctrlPr>
                        <a:rPr lang="en-US" sz="1100" b="0" i="1" baseline="0">
                          <a:latin typeface="Cambria Math" panose="02040503050406030204" pitchFamily="18" charset="0"/>
                        </a:rPr>
                      </m:ctrlPr>
                    </m:naryPr>
                    <m:sub>
                      <m:r>
                        <m:rPr>
                          <m:brk m:alnAt="25"/>
                        </m:rPr>
                        <a:rPr lang="en-US" sz="1100" b="0" i="1" baseline="0">
                          <a:latin typeface="Cambria Math" panose="02040503050406030204" pitchFamily="18" charset="0"/>
                        </a:rPr>
                        <m:t>𝑖</m:t>
                      </m:r>
                      <m:r>
                        <a:rPr lang="en-US" sz="1100" b="0" i="1" baseline="0">
                          <a:latin typeface="Cambria Math" panose="02040503050406030204" pitchFamily="18" charset="0"/>
                        </a:rPr>
                        <m:t>=0</m:t>
                      </m:r>
                    </m:sub>
                    <m:sup>
                      <m:r>
                        <a:rPr lang="en-US" sz="1100" b="0" i="1" baseline="0">
                          <a:latin typeface="Cambria Math" panose="02040503050406030204" pitchFamily="18" charset="0"/>
                        </a:rPr>
                        <m:t>𝑘</m:t>
                      </m:r>
                    </m:sup>
                    <m:e>
                      <m:r>
                        <a:rPr lang="en-US" sz="1100" b="0" i="1" baseline="0">
                          <a:latin typeface="Cambria Math" panose="02040503050406030204" pitchFamily="18" charset="0"/>
                        </a:rPr>
                        <m:t>𝑓</m:t>
                      </m:r>
                      <m:d>
                        <m:dPr>
                          <m:ctrlPr>
                            <a:rPr lang="en-US" sz="1100" b="0" i="1" baseline="0">
                              <a:latin typeface="Cambria Math" panose="02040503050406030204" pitchFamily="18" charset="0"/>
                            </a:rPr>
                          </m:ctrlPr>
                        </m:dPr>
                        <m:e>
                          <m:r>
                            <a:rPr lang="en-US" sz="1100" b="0" i="1" baseline="0">
                              <a:latin typeface="Cambria Math" panose="02040503050406030204" pitchFamily="18" charset="0"/>
                            </a:rPr>
                            <m:t>𝑖</m:t>
                          </m:r>
                        </m:e>
                      </m:d>
                    </m:e>
                  </m:nary>
                </m:oMath>
              </a14:m>
              <a:r>
                <a:rPr lang="en-US" sz="1100" baseline="0"/>
                <a:t> , for a given </a:t>
              </a:r>
              <a14:m>
                <m:oMath xmlns:m="http://schemas.openxmlformats.org/officeDocument/2006/math">
                  <m:r>
                    <a:rPr lang="en-US" sz="1100" i="1" baseline="0">
                      <a:latin typeface="Cambria Math" panose="02040503050406030204" pitchFamily="18" charset="0"/>
                    </a:rPr>
                    <m:t>𝑝</m:t>
                  </m:r>
                </m:oMath>
              </a14:m>
              <a:r>
                <a:rPr lang="en-US" sz="1100" baseline="0"/>
                <a:t> and a large range of </a:t>
              </a:r>
              <a14:m>
                <m:oMath xmlns:m="http://schemas.openxmlformats.org/officeDocument/2006/math">
                  <m:r>
                    <a:rPr lang="en-US" sz="1100" i="1" baseline="0">
                      <a:latin typeface="Cambria Math" panose="02040503050406030204" pitchFamily="18" charset="0"/>
                    </a:rPr>
                    <m:t>𝑘</m:t>
                  </m:r>
                </m:oMath>
              </a14:m>
              <a:r>
                <a:rPr lang="en-US" sz="1100" baseline="0"/>
                <a:t> (depending upon how small one wants to allow </a:t>
              </a:r>
              <a14:m>
                <m:oMath xmlns:m="http://schemas.openxmlformats.org/officeDocument/2006/math">
                  <m:r>
                    <a:rPr lang="en-US" sz="1100" i="1" baseline="0">
                      <a:latin typeface="Cambria Math" panose="02040503050406030204" pitchFamily="18" charset="0"/>
                    </a:rPr>
                    <m:t>𝑝</m:t>
                  </m:r>
                </m:oMath>
              </a14:m>
              <a:r>
                <a:rPr lang="en-US" sz="1100" baseline="0"/>
                <a:t> to be one may need a few thousand or more rows in that table before hitting the precision limit of the software - try setting </a:t>
              </a:r>
              <a14:m>
                <m:oMath xmlns:m="http://schemas.openxmlformats.org/officeDocument/2006/math">
                  <m:r>
                    <a:rPr lang="en-US" sz="1100" i="1" baseline="0">
                      <a:latin typeface="Cambria Math" panose="02040503050406030204" pitchFamily="18" charset="0"/>
                    </a:rPr>
                    <m:t>𝑝</m:t>
                  </m:r>
                </m:oMath>
              </a14:m>
              <a:r>
                <a:rPr lang="en-US" sz="1100" baseline="0"/>
                <a:t> to a small value in this tab). </a:t>
              </a:r>
              <a14:m>
                <m:oMath xmlns:m="http://schemas.openxmlformats.org/officeDocument/2006/math">
                  <m:r>
                    <a:rPr lang="en-US" sz="1100" b="0" i="1" baseline="0">
                      <a:solidFill>
                        <a:schemeClr val="dk1"/>
                      </a:solidFill>
                      <a:effectLst/>
                      <a:latin typeface="Cambria Math" panose="02040503050406030204" pitchFamily="18" charset="0"/>
                      <a:ea typeface="+mn-ea"/>
                      <a:cs typeface="+mn-cs"/>
                    </a:rPr>
                    <m:t>𝐹</m:t>
                  </m:r>
                </m:oMath>
              </a14:m>
              <a:r>
                <a:rPr lang="en-US" sz="1100" baseline="0"/>
                <a:t> is the cumulative distribution.</a:t>
              </a:r>
              <a:endParaRPr lang="en-US" sz="1100"/>
            </a:p>
            <a:p>
              <a:r>
                <a:rPr lang="en-US" sz="1100"/>
                <a:t>2. Draw</a:t>
              </a:r>
              <a:r>
                <a:rPr lang="en-US" sz="1100" baseline="0"/>
                <a:t> a sample from the Uniform distribution (bounded by 0 and 1) and lookup that value for </a:t>
              </a:r>
              <a14:m>
                <m:oMath xmlns:m="http://schemas.openxmlformats.org/officeDocument/2006/math">
                  <m:r>
                    <a:rPr lang="en-US" sz="1100" b="0" i="1" baseline="0">
                      <a:latin typeface="Cambria Math" panose="02040503050406030204" pitchFamily="18" charset="0"/>
                    </a:rPr>
                    <m:t>𝐹</m:t>
                  </m:r>
                </m:oMath>
              </a14:m>
              <a:r>
                <a:rPr lang="en-US" sz="1100" baseline="0"/>
                <a:t> in your table.</a:t>
              </a:r>
            </a:p>
            <a:p>
              <a:r>
                <a:rPr lang="en-US" sz="1100" baseline="0"/>
                <a:t>3. In increasing order of </a:t>
              </a:r>
              <a14:m>
                <m:oMath xmlns:m="http://schemas.openxmlformats.org/officeDocument/2006/math">
                  <m:r>
                    <a:rPr lang="en-US" sz="1100" b="0" i="1" baseline="0">
                      <a:latin typeface="Cambria Math" panose="02040503050406030204" pitchFamily="18" charset="0"/>
                    </a:rPr>
                    <m:t>𝐹</m:t>
                  </m:r>
                </m:oMath>
              </a14:m>
              <a:r>
                <a:rPr lang="en-US" sz="1100" baseline="0"/>
                <a:t>, find the first </a:t>
              </a:r>
              <a14:m>
                <m:oMath xmlns:m="http://schemas.openxmlformats.org/officeDocument/2006/math">
                  <m:r>
                    <a:rPr lang="en-US" sz="1100" b="0" i="1" baseline="0">
                      <a:latin typeface="Cambria Math" panose="02040503050406030204" pitchFamily="18" charset="0"/>
                    </a:rPr>
                    <m:t>𝐹</m:t>
                  </m:r>
                </m:oMath>
              </a14:m>
              <a:r>
                <a:rPr lang="en-US" sz="1100" baseline="0"/>
                <a:t> that is larger than your sample and return the value of </a:t>
              </a:r>
              <a14:m>
                <m:oMath xmlns:m="http://schemas.openxmlformats.org/officeDocument/2006/math">
                  <m:r>
                    <a:rPr lang="en-US" sz="1100" i="1" baseline="0">
                      <a:latin typeface="Cambria Math" panose="02040503050406030204" pitchFamily="18" charset="0"/>
                    </a:rPr>
                    <m:t>𝑘</m:t>
                  </m:r>
                  <m:r>
                    <a:rPr lang="en-US" sz="1100" i="1" baseline="0">
                      <a:latin typeface="Cambria Math" panose="02040503050406030204" pitchFamily="18" charset="0"/>
                    </a:rPr>
                    <m:t>−1</m:t>
                  </m:r>
                </m:oMath>
              </a14:m>
              <a:r>
                <a:rPr lang="en-US" sz="1100" baseline="0"/>
                <a:t> associated with that </a:t>
              </a:r>
              <a14:m>
                <m:oMath xmlns:m="http://schemas.openxmlformats.org/officeDocument/2006/math">
                  <m:r>
                    <a:rPr lang="en-US" sz="1100" b="0" i="1" baseline="0">
                      <a:latin typeface="Cambria Math" panose="02040503050406030204" pitchFamily="18" charset="0"/>
                    </a:rPr>
                    <m:t>𝐹</m:t>
                  </m:r>
                </m:oMath>
              </a14:m>
              <a:r>
                <a:rPr lang="en-US" sz="1100" baseline="0"/>
                <a:t>.</a:t>
              </a:r>
              <a:endParaRPr lang="en-US" sz="1100" b="0" baseline="0"/>
            </a:p>
            <a:p>
              <a:endParaRPr lang="en-US" sz="1100"/>
            </a:p>
            <a:p>
              <a:r>
                <a:rPr lang="en-US" sz="1100"/>
                <a:t>In</a:t>
              </a:r>
              <a:r>
                <a:rPr lang="en-US" sz="1100" baseline="0"/>
                <a:t> Excel, values of </a:t>
              </a:r>
              <a14:m>
                <m:oMath xmlns:m="http://schemas.openxmlformats.org/officeDocument/2006/math">
                  <m:r>
                    <a:rPr lang="en-US" sz="1100" i="1" baseline="0">
                      <a:latin typeface="Cambria Math" panose="02040503050406030204" pitchFamily="18" charset="0"/>
                    </a:rPr>
                    <m:t>𝐹</m:t>
                  </m:r>
                </m:oMath>
              </a14:m>
              <a:r>
                <a:rPr lang="en-US" sz="1100" baseline="0"/>
                <a:t> given </a:t>
              </a:r>
              <a14:m>
                <m:oMath xmlns:m="http://schemas.openxmlformats.org/officeDocument/2006/math">
                  <m:r>
                    <a:rPr lang="en-US" sz="1100" i="1" baseline="0">
                      <a:latin typeface="Cambria Math" panose="02040503050406030204" pitchFamily="18" charset="0"/>
                    </a:rPr>
                    <m:t>𝑘</m:t>
                  </m:r>
                </m:oMath>
              </a14:m>
              <a:r>
                <a:rPr lang="en-US" sz="1100" baseline="0"/>
                <a:t> and </a:t>
              </a:r>
              <a14:m>
                <m:oMath xmlns:m="http://schemas.openxmlformats.org/officeDocument/2006/math">
                  <m:r>
                    <a:rPr lang="en-US" sz="1100" i="1" baseline="0">
                      <a:latin typeface="Cambria Math" panose="02040503050406030204" pitchFamily="18" charset="0"/>
                    </a:rPr>
                    <m:t>𝑝</m:t>
                  </m:r>
                </m:oMath>
              </a14:m>
              <a:r>
                <a:rPr lang="en-US" sz="1100" baseline="0"/>
                <a:t> can be calculed with the NEGBINOM.DIST(k-1,1,p,TRUE) function.</a:t>
              </a:r>
              <a:endParaRPr lang="en-US" sz="1100"/>
            </a:p>
          </xdr:txBody>
        </xdr:sp>
      </mc:Choice>
      <mc:Fallback xmlns="">
        <xdr:sp macro="" textlink="">
          <xdr:nvSpPr>
            <xdr:cNvPr id="9" name="TextBox 8"/>
            <xdr:cNvSpPr txBox="1"/>
          </xdr:nvSpPr>
          <xdr:spPr>
            <a:xfrm>
              <a:off x="104775" y="1114425"/>
              <a:ext cx="5370195" cy="66484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Sampling</a:t>
              </a:r>
              <a:r>
                <a:rPr lang="en-US" sz="1400" b="1" baseline="0"/>
                <a:t> from the Geometric Distribution</a:t>
              </a:r>
              <a:endParaRPr lang="en-US" sz="1400" b="1"/>
            </a:p>
            <a:p>
              <a:r>
                <a:rPr lang="en-US" sz="1100"/>
                <a:t>The Geometric</a:t>
              </a:r>
              <a:r>
                <a:rPr lang="en-US" sz="1100" baseline="0"/>
                <a:t> distribution can be used as an integer analog to the Laplace distribution for adding differentially private noise.</a:t>
              </a:r>
            </a:p>
            <a:p>
              <a:endParaRPr lang="en-US" sz="1100" baseline="0"/>
            </a:p>
            <a:p>
              <a:r>
                <a:rPr lang="en-US" sz="1100" baseline="0"/>
                <a:t>The geometric distrbution is described by the equation:</a:t>
              </a:r>
            </a:p>
            <a:p>
              <a:r>
                <a:rPr lang="en-US" sz="1100" b="0" i="0">
                  <a:latin typeface="Cambria Math" panose="02040503050406030204" pitchFamily="18" charset="0"/>
                </a:rPr>
                <a:t>𝑓(𝑘│𝑝)=</a:t>
              </a:r>
              <a:r>
                <a:rPr lang="en-US" sz="1100" b="0" i="0">
                  <a:solidFill>
                    <a:schemeClr val="dk1"/>
                  </a:solidFill>
                  <a:effectLst/>
                  <a:latin typeface="+mn-lt"/>
                  <a:ea typeface="+mn-ea"/>
                  <a:cs typeface="+mn-cs"/>
                </a:rPr>
                <a:t>(1−𝑝)</a:t>
              </a:r>
              <a:r>
                <a:rPr lang="en-US" sz="1100" b="0" i="0">
                  <a:solidFill>
                    <a:schemeClr val="dk1"/>
                  </a:solidFill>
                  <a:effectLst/>
                  <a:latin typeface="Cambria Math" panose="02040503050406030204" pitchFamily="18" charset="0"/>
                  <a:ea typeface="+mn-ea"/>
                  <a:cs typeface="+mn-cs"/>
                </a:rPr>
                <a:t>^</a:t>
              </a:r>
              <a:r>
                <a:rPr lang="en-US" sz="1100" b="0" i="0">
                  <a:latin typeface="Cambria Math" panose="02040503050406030204" pitchFamily="18" charset="0"/>
                </a:rPr>
                <a:t>𝑘 𝑝</a:t>
              </a:r>
              <a:endParaRPr lang="en-US" sz="1100" b="0"/>
            </a:p>
            <a:p>
              <a:r>
                <a:rPr lang="en-US" sz="1100"/>
                <a:t>where</a:t>
              </a:r>
              <a:r>
                <a:rPr lang="en-US" sz="1100" baseline="0"/>
                <a:t> </a:t>
              </a:r>
              <a:r>
                <a:rPr lang="en-US" sz="1100" i="0" baseline="0">
                  <a:latin typeface="Cambria Math" panose="02040503050406030204" pitchFamily="18" charset="0"/>
                </a:rPr>
                <a:t>𝑘</a:t>
              </a:r>
              <a:r>
                <a:rPr lang="en-US" sz="1100" baseline="0"/>
                <a:t> is a whole number </a:t>
              </a:r>
              <a:r>
                <a:rPr lang="en-US" sz="1100" i="0" baseline="0">
                  <a:latin typeface="Cambria Math" panose="02040503050406030204" pitchFamily="18" charset="0"/>
                </a:rPr>
                <a:t>0,1,…,</a:t>
              </a:r>
              <a:r>
                <a:rPr lang="en-US" sz="1100" i="0" baseline="0">
                  <a:latin typeface="Cambria Math" panose="02040503050406030204" pitchFamily="18" charset="0"/>
                  <a:ea typeface="Cambria Math" panose="02040503050406030204" pitchFamily="18" charset="0"/>
                </a:rPr>
                <a:t>∞</a:t>
              </a:r>
              <a:r>
                <a:rPr lang="en-US" sz="1100" baseline="0"/>
                <a:t> and </a:t>
              </a:r>
              <a:r>
                <a:rPr lang="en-US" sz="1100" i="0" baseline="0">
                  <a:latin typeface="Cambria Math" panose="02040503050406030204" pitchFamily="18" charset="0"/>
                </a:rPr>
                <a:t>𝑝</a:t>
              </a:r>
              <a:r>
                <a:rPr lang="en-US" sz="1100" baseline="0"/>
                <a:t> is the probability that success will come after the </a:t>
              </a:r>
              <a:r>
                <a:rPr lang="en-US" sz="1100" b="0" i="0" baseline="0">
                  <a:latin typeface="Cambria Math" panose="02040503050406030204" pitchFamily="18" charset="0"/>
                </a:rPr>
                <a:t>𝑘^"th" </a:t>
              </a:r>
              <a:r>
                <a:rPr lang="en-US" sz="1100" baseline="0"/>
                <a:t> failure. (Note that there are two versions of the Geometric distribution, one in which </a:t>
              </a:r>
              <a:r>
                <a:rPr lang="en-US" sz="1100" i="0" baseline="0">
                  <a:latin typeface="Cambria Math" panose="02040503050406030204" pitchFamily="18" charset="0"/>
                </a:rPr>
                <a:t>𝑘</a:t>
              </a:r>
              <a:r>
                <a:rPr lang="en-US" sz="1100" baseline="0"/>
                <a:t> is 0-indexed and one in which </a:t>
              </a:r>
              <a:r>
                <a:rPr lang="en-US" sz="1100" i="0" baseline="0">
                  <a:latin typeface="Cambria Math" panose="02040503050406030204" pitchFamily="18" charset="0"/>
                </a:rPr>
                <a:t>𝑘</a:t>
              </a:r>
              <a:r>
                <a:rPr lang="en-US" sz="1100" baseline="0"/>
                <a:t> is 1-indexed, and they have slightly different semantic interpretations. As long we are consistent it does not matter which one we choose.)</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Sampling into this distribution means finding a </a:t>
              </a:r>
              <a:r>
                <a:rPr lang="en-US" sz="1100" i="0" baseline="0">
                  <a:latin typeface="Cambria Math" panose="02040503050406030204" pitchFamily="18" charset="0"/>
                </a:rPr>
                <a:t>𝑘</a:t>
              </a:r>
              <a:r>
                <a:rPr lang="en-US" sz="1100" baseline="0"/>
                <a:t> for a uniformly generated value of </a:t>
              </a:r>
              <a:r>
                <a:rPr lang="en-US" sz="1100" i="0" baseline="0">
                  <a:latin typeface="Cambria Math" panose="02040503050406030204" pitchFamily="18" charset="0"/>
                </a:rPr>
                <a:t>𝑓</a:t>
              </a:r>
              <a:r>
                <a:rPr lang="en-US" sz="1100" baseline="0"/>
                <a:t>. The value of </a:t>
              </a:r>
              <a:r>
                <a:rPr lang="en-US" sz="1100" i="0" baseline="0">
                  <a:latin typeface="Cambria Math" panose="02040503050406030204" pitchFamily="18" charset="0"/>
                </a:rPr>
                <a:t>𝑘</a:t>
              </a:r>
              <a:r>
                <a:rPr lang="en-US" sz="1100" baseline="0"/>
                <a:t> is then the noise that we add to a cell. </a:t>
              </a:r>
              <a:r>
                <a:rPr lang="en-US" sz="1100" baseline="0">
                  <a:solidFill>
                    <a:schemeClr val="dk1"/>
                  </a:solidFill>
                  <a:effectLst/>
                  <a:latin typeface="+mn-lt"/>
                  <a:ea typeface="+mn-ea"/>
                  <a:cs typeface="+mn-cs"/>
                </a:rPr>
                <a:t>Additionally, we set</a:t>
              </a: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dk1"/>
                  </a:solidFill>
                  <a:effectLst/>
                  <a:latin typeface="+mn-lt"/>
                  <a:ea typeface="+mn-ea"/>
                  <a:cs typeface="+mn-cs"/>
                </a:rPr>
                <a:t>𝑝=1−𝑒^(−𝜀/𝑆^∗ )</a:t>
              </a:r>
              <a:endParaRPr lang="en-US">
                <a:effectLst/>
              </a:endParaRPr>
            </a:p>
            <a:p>
              <a:r>
                <a:rPr lang="en-US" sz="1100" baseline="0"/>
                <a:t>where </a:t>
              </a:r>
              <a:r>
                <a:rPr lang="en-US" sz="1100" i="0" baseline="0">
                  <a:latin typeface="Cambria Math" panose="02040503050406030204" pitchFamily="18" charset="0"/>
                  <a:ea typeface="Cambria Math" panose="02040503050406030204" pitchFamily="18" charset="0"/>
                </a:rPr>
                <a:t>𝜀</a:t>
              </a:r>
              <a:r>
                <a:rPr lang="en-US" sz="1100" baseline="0"/>
                <a:t> is the privacy parameter and </a:t>
              </a:r>
              <a:r>
                <a:rPr lang="en-US" sz="1100" b="0" i="0" baseline="0">
                  <a:latin typeface="Cambria Math" panose="02040503050406030204" pitchFamily="18" charset="0"/>
                </a:rPr>
                <a:t>𝑆^∗</a:t>
              </a:r>
              <a:r>
                <a:rPr lang="en-US" sz="1100" baseline="0"/>
                <a:t> is the sensitivity as discussed in other tabs.</a:t>
              </a:r>
            </a:p>
            <a:p>
              <a:endParaRPr lang="en-US" sz="1100"/>
            </a:p>
            <a:p>
              <a:r>
                <a:rPr lang="en-US" sz="1100" baseline="0"/>
                <a:t>The Geometric distribution is one-sided, but when we add noise we must use samples from a two-sided distribution, which can be constructed by substracting two independent samples into the one-sided distribution. So if we define </a:t>
              </a:r>
              <a:r>
                <a:rPr lang="en-US" sz="1100" i="0" baseline="0">
                  <a:latin typeface="Cambria Math" panose="02040503050406030204" pitchFamily="18" charset="0"/>
                </a:rPr>
                <a:t>𝑋</a:t>
              </a:r>
              <a:r>
                <a:rPr lang="en-US" sz="1100" baseline="0"/>
                <a:t> and </a:t>
              </a:r>
              <a:r>
                <a:rPr lang="en-US" sz="1100" i="0" baseline="0">
                  <a:latin typeface="Cambria Math" panose="02040503050406030204" pitchFamily="18" charset="0"/>
                </a:rPr>
                <a:t>𝑌</a:t>
              </a:r>
              <a:r>
                <a:rPr lang="en-US" sz="1100" baseline="0"/>
                <a:t> as independent samples into the geometric distribution, then the noise, </a:t>
              </a:r>
              <a:r>
                <a:rPr lang="en-US" sz="1100" i="0" baseline="0">
                  <a:latin typeface="Cambria Math" panose="02040503050406030204" pitchFamily="18" charset="0"/>
                  <a:ea typeface="Cambria Math" panose="02040503050406030204" pitchFamily="18" charset="0"/>
                </a:rPr>
                <a:t>𝜂</a:t>
              </a:r>
              <a:r>
                <a:rPr lang="en-US" sz="1100" baseline="0"/>
                <a:t>, we should add is:</a:t>
              </a:r>
            </a:p>
            <a:p>
              <a:r>
                <a:rPr lang="en-US" sz="1100" i="0" baseline="0">
                  <a:latin typeface="Cambria Math" panose="02040503050406030204" pitchFamily="18" charset="0"/>
                  <a:ea typeface="Cambria Math" panose="02040503050406030204" pitchFamily="18" charset="0"/>
                </a:rPr>
                <a:t>𝜂</a:t>
              </a:r>
              <a:r>
                <a:rPr lang="en-US" sz="1100" b="0" i="0" baseline="0">
                  <a:latin typeface="Cambria Math" panose="02040503050406030204" pitchFamily="18" charset="0"/>
                  <a:ea typeface="Cambria Math" panose="02040503050406030204" pitchFamily="18" charset="0"/>
                </a:rPr>
                <a:t>=𝑋−𝑌</a:t>
              </a:r>
              <a:endParaRPr lang="en-US" sz="1100" baseline="0"/>
            </a:p>
            <a:p>
              <a:endParaRPr lang="en-US" sz="1100"/>
            </a:p>
            <a:p>
              <a:r>
                <a:rPr lang="en-US" sz="1100"/>
                <a:t>Some analysis</a:t>
              </a:r>
              <a:r>
                <a:rPr lang="en-US" sz="1100" baseline="0"/>
                <a:t> tools/languages have a built-in way to sample from the Geometric distribution. If not, one can produce a sample similar to the method used in this Excel tab:</a:t>
              </a:r>
            </a:p>
            <a:p>
              <a:endParaRPr lang="en-US" sz="1100" baseline="0"/>
            </a:p>
            <a:p>
              <a:r>
                <a:rPr lang="en-US" sz="1100" baseline="0"/>
                <a:t>1. Generate a table of </a:t>
              </a:r>
              <a:r>
                <a:rPr lang="en-US" sz="1100" i="0" baseline="0">
                  <a:latin typeface="Cambria Math" panose="02040503050406030204" pitchFamily="18" charset="0"/>
                </a:rPr>
                <a:t>𝑘</a:t>
              </a:r>
              <a:r>
                <a:rPr lang="en-US" sz="1100" baseline="0"/>
                <a:t> and </a:t>
              </a:r>
              <a:r>
                <a:rPr lang="en-US" sz="1100" b="0" i="0" baseline="0">
                  <a:latin typeface="Cambria Math" panose="02040503050406030204" pitchFamily="18" charset="0"/>
                </a:rPr>
                <a:t>𝐹</a:t>
              </a:r>
              <a:r>
                <a:rPr lang="en-US" sz="1100" baseline="0"/>
                <a:t>, where </a:t>
              </a:r>
              <a:r>
                <a:rPr lang="en-US" sz="1100" b="0" i="0" baseline="0">
                  <a:latin typeface="Cambria Math" panose="02040503050406030204" pitchFamily="18" charset="0"/>
                </a:rPr>
                <a:t>𝐹=∑26_(𝑖=0)^𝑘▒𝑓(𝑖) </a:t>
              </a:r>
              <a:r>
                <a:rPr lang="en-US" sz="1100" baseline="0"/>
                <a:t> , for a given </a:t>
              </a:r>
              <a:r>
                <a:rPr lang="en-US" sz="1100" i="0" baseline="0">
                  <a:latin typeface="Cambria Math" panose="02040503050406030204" pitchFamily="18" charset="0"/>
                </a:rPr>
                <a:t>𝑝</a:t>
              </a:r>
              <a:r>
                <a:rPr lang="en-US" sz="1100" baseline="0"/>
                <a:t> and a large range of </a:t>
              </a:r>
              <a:r>
                <a:rPr lang="en-US" sz="1100" i="0" baseline="0">
                  <a:latin typeface="Cambria Math" panose="02040503050406030204" pitchFamily="18" charset="0"/>
                </a:rPr>
                <a:t>𝑘</a:t>
              </a:r>
              <a:r>
                <a:rPr lang="en-US" sz="1100" baseline="0"/>
                <a:t> (depending upon how small one wants to allow </a:t>
              </a:r>
              <a:r>
                <a:rPr lang="en-US" sz="1100" i="0" baseline="0">
                  <a:latin typeface="Cambria Math" panose="02040503050406030204" pitchFamily="18" charset="0"/>
                </a:rPr>
                <a:t>𝑝</a:t>
              </a:r>
              <a:r>
                <a:rPr lang="en-US" sz="1100" baseline="0"/>
                <a:t> to be one may need a few thousand or more rows in that table before hitting the precision limit of the software - try setting </a:t>
              </a:r>
              <a:r>
                <a:rPr lang="en-US" sz="1100" i="0" baseline="0">
                  <a:latin typeface="Cambria Math" panose="02040503050406030204" pitchFamily="18" charset="0"/>
                </a:rPr>
                <a:t>𝑝</a:t>
              </a:r>
              <a:r>
                <a:rPr lang="en-US" sz="1100" baseline="0"/>
                <a:t> to a small value in this tab). </a:t>
              </a:r>
              <a:r>
                <a:rPr lang="en-US" sz="1100" b="0" i="0" baseline="0">
                  <a:solidFill>
                    <a:schemeClr val="dk1"/>
                  </a:solidFill>
                  <a:effectLst/>
                  <a:latin typeface="+mn-lt"/>
                  <a:ea typeface="+mn-ea"/>
                  <a:cs typeface="+mn-cs"/>
                </a:rPr>
                <a:t>𝐹</a:t>
              </a:r>
              <a:r>
                <a:rPr lang="en-US" sz="1100" baseline="0"/>
                <a:t> is the cumulative distribution.</a:t>
              </a:r>
              <a:endParaRPr lang="en-US" sz="1100"/>
            </a:p>
            <a:p>
              <a:r>
                <a:rPr lang="en-US" sz="1100"/>
                <a:t>2. Draw</a:t>
              </a:r>
              <a:r>
                <a:rPr lang="en-US" sz="1100" baseline="0"/>
                <a:t> a sample from the Uniform distribution (bounded by 0 and 1) and lookup that value for </a:t>
              </a:r>
              <a:r>
                <a:rPr lang="en-US" sz="1100" b="0" i="0" baseline="0">
                  <a:latin typeface="Cambria Math" panose="02040503050406030204" pitchFamily="18" charset="0"/>
                </a:rPr>
                <a:t>𝐹</a:t>
              </a:r>
              <a:r>
                <a:rPr lang="en-US" sz="1100" baseline="0"/>
                <a:t> in your table.</a:t>
              </a:r>
            </a:p>
            <a:p>
              <a:r>
                <a:rPr lang="en-US" sz="1100" baseline="0"/>
                <a:t>3. In increasing order of </a:t>
              </a:r>
              <a:r>
                <a:rPr lang="en-US" sz="1100" b="0" i="0" baseline="0">
                  <a:latin typeface="Cambria Math" panose="02040503050406030204" pitchFamily="18" charset="0"/>
                </a:rPr>
                <a:t>𝐹</a:t>
              </a:r>
              <a:r>
                <a:rPr lang="en-US" sz="1100" baseline="0"/>
                <a:t>, find the first </a:t>
              </a:r>
              <a:r>
                <a:rPr lang="en-US" sz="1100" b="0" i="0" baseline="0">
                  <a:latin typeface="Cambria Math" panose="02040503050406030204" pitchFamily="18" charset="0"/>
                </a:rPr>
                <a:t>𝐹</a:t>
              </a:r>
              <a:r>
                <a:rPr lang="en-US" sz="1100" baseline="0"/>
                <a:t> that is larger than your sample and return the value of </a:t>
              </a:r>
              <a:r>
                <a:rPr lang="en-US" sz="1100" i="0" baseline="0">
                  <a:latin typeface="Cambria Math" panose="02040503050406030204" pitchFamily="18" charset="0"/>
                </a:rPr>
                <a:t>𝑘−1</a:t>
              </a:r>
              <a:r>
                <a:rPr lang="en-US" sz="1100" baseline="0"/>
                <a:t> associated with that </a:t>
              </a:r>
              <a:r>
                <a:rPr lang="en-US" sz="1100" b="0" i="0" baseline="0">
                  <a:latin typeface="Cambria Math" panose="02040503050406030204" pitchFamily="18" charset="0"/>
                </a:rPr>
                <a:t>𝐹</a:t>
              </a:r>
              <a:r>
                <a:rPr lang="en-US" sz="1100" baseline="0"/>
                <a:t>.</a:t>
              </a:r>
              <a:endParaRPr lang="en-US" sz="1100" b="0" baseline="0"/>
            </a:p>
            <a:p>
              <a:endParaRPr lang="en-US" sz="1100"/>
            </a:p>
            <a:p>
              <a:r>
                <a:rPr lang="en-US" sz="1100"/>
                <a:t>In</a:t>
              </a:r>
              <a:r>
                <a:rPr lang="en-US" sz="1100" baseline="0"/>
                <a:t> Excel, values of </a:t>
              </a:r>
              <a:r>
                <a:rPr lang="en-US" sz="1100" i="0" baseline="0">
                  <a:latin typeface="Cambria Math" panose="02040503050406030204" pitchFamily="18" charset="0"/>
                </a:rPr>
                <a:t>𝐹</a:t>
              </a:r>
              <a:r>
                <a:rPr lang="en-US" sz="1100" baseline="0"/>
                <a:t> given </a:t>
              </a:r>
              <a:r>
                <a:rPr lang="en-US" sz="1100" i="0" baseline="0">
                  <a:latin typeface="Cambria Math" panose="02040503050406030204" pitchFamily="18" charset="0"/>
                </a:rPr>
                <a:t>𝑘</a:t>
              </a:r>
              <a:r>
                <a:rPr lang="en-US" sz="1100" baseline="0"/>
                <a:t> and </a:t>
              </a:r>
              <a:r>
                <a:rPr lang="en-US" sz="1100" i="0" baseline="0">
                  <a:latin typeface="Cambria Math" panose="02040503050406030204" pitchFamily="18" charset="0"/>
                </a:rPr>
                <a:t>𝑝</a:t>
              </a:r>
              <a:r>
                <a:rPr lang="en-US" sz="1100" baseline="0"/>
                <a:t> can be calculed with the NEGBINOM.DIST(k-1,1,p,TRUE) function.</a:t>
              </a:r>
              <a:endParaRPr lang="en-US" sz="1100"/>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uthor" refreshedDate="43447.487299768516" createdVersion="6" refreshedVersion="6" minRefreshableVersion="3" recordCount="40">
  <cacheSource type="worksheet">
    <worksheetSource ref="A55:G95" sheet="Basic Laplace Implementation"/>
  </cacheSource>
  <cacheFields count="7">
    <cacheField name="Industry" numFmtId="0">
      <sharedItems containsSemiMixedTypes="0" containsString="0" containsNumber="1" containsInteger="1" minValue="1" maxValue="5" count="5">
        <n v="1"/>
        <n v="2"/>
        <n v="3"/>
        <n v="4"/>
        <n v="5"/>
      </sharedItems>
    </cacheField>
    <cacheField name="Firm Size" numFmtId="0">
      <sharedItems containsSemiMixedTypes="0" containsString="0" containsNumber="1" containsInteger="1" minValue="1" maxValue="8" count="8">
        <n v="1"/>
        <n v="2"/>
        <n v="3"/>
        <n v="4"/>
        <n v="5"/>
        <n v="6"/>
        <n v="7"/>
        <n v="8"/>
      </sharedItems>
    </cacheField>
    <cacheField name="Unprotected Firm Count" numFmtId="1">
      <sharedItems containsSemiMixedTypes="0" containsString="0" containsNumber="1" containsInteger="1" minValue="0" maxValue="22"/>
    </cacheField>
    <cacheField name="Random Draw" numFmtId="0">
      <sharedItems containsSemiMixedTypes="0" containsString="0" containsNumber="1" minValue="7.0009943580090384E-2" maxValue="0.95381985377938305"/>
    </cacheField>
    <cacheField name="Noise Factor" numFmtId="0">
      <sharedItems containsSemiMixedTypes="0" containsString="0" containsNumber="1" minValue="-1.1910290640908678" maxValue="0.9829854076584964"/>
    </cacheField>
    <cacheField name="Protected Counts" numFmtId="2">
      <sharedItems containsSemiMixedTypes="0" containsString="0" containsNumber="1" minValue="-2.4349297608451288E-2" maxValue="22.462957308403439"/>
    </cacheField>
    <cacheField name="L1 Error" numFmtId="2">
      <sharedItems containsSemiMixedTypes="0" containsString="0" containsNumber="1" minValue="1.4515136584843935E-3" maxValue="1.1910290640908678"/>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3447.487300115739" createdVersion="6" refreshedVersion="6" minRefreshableVersion="3" recordCount="250">
  <cacheSource type="worksheet">
    <worksheetSource ref="A8:F258" sheet="Test Firm Data"/>
  </cacheSource>
  <cacheFields count="6">
    <cacheField name="Index" numFmtId="0">
      <sharedItems containsSemiMixedTypes="0" containsString="0" containsNumber="1" containsInteger="1" minValue="1" maxValue="250"/>
    </cacheField>
    <cacheField name="Firm" numFmtId="0">
      <sharedItems/>
    </cacheField>
    <cacheField name="Employment" numFmtId="0">
      <sharedItems containsSemiMixedTypes="0" containsString="0" containsNumber="1" containsInteger="1" minValue="1" maxValue="21906"/>
    </cacheField>
    <cacheField name="Industry" numFmtId="0">
      <sharedItems containsSemiMixedTypes="0" containsString="0" containsNumber="1" containsInteger="1" minValue="1" maxValue="5" count="5">
        <n v="4"/>
        <n v="3"/>
        <n v="5"/>
        <n v="2"/>
        <n v="1"/>
      </sharedItems>
    </cacheField>
    <cacheField name="Geography" numFmtId="0">
      <sharedItems containsSemiMixedTypes="0" containsString="0" containsNumber="1" containsInteger="1" minValue="1" maxValue="20" count="20">
        <n v="6"/>
        <n v="1"/>
        <n v="17"/>
        <n v="20"/>
        <n v="8"/>
        <n v="3"/>
        <n v="7"/>
        <n v="5"/>
        <n v="2"/>
        <n v="13"/>
        <n v="11"/>
        <n v="9"/>
        <n v="4"/>
        <n v="16"/>
        <n v="14"/>
        <n v="18"/>
        <n v="10"/>
        <n v="12"/>
        <n v="19"/>
        <n v="15"/>
      </sharedItems>
    </cacheField>
    <cacheField name="Firm Size" numFmtId="0">
      <sharedItems containsSemiMixedTypes="0" containsString="0" containsNumber="1" containsInteger="1" minValue="1" maxValue="8" count="8">
        <n v="1"/>
        <n v="6"/>
        <n v="8"/>
        <n v="4"/>
        <n v="7"/>
        <n v="5"/>
        <n v="3"/>
        <n v="2"/>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0">
  <r>
    <x v="0"/>
    <x v="0"/>
    <n v="8"/>
    <n v="0.78669475442040548"/>
    <n v="-0.42594194037517519"/>
    <n v="7.574058059624825"/>
    <n v="0.42594194037517497"/>
  </r>
  <r>
    <x v="0"/>
    <x v="1"/>
    <n v="1"/>
    <n v="0.61743007627943491"/>
    <n v="-0.13384832737509844"/>
    <n v="0.86615167262490156"/>
    <n v="0.13384832737509844"/>
  </r>
  <r>
    <x v="0"/>
    <x v="2"/>
    <n v="0"/>
    <n v="0.52376591754995527"/>
    <n v="-2.4349297608451288E-2"/>
    <n v="-2.4349297608451288E-2"/>
    <n v="2.4349297608451288E-2"/>
  </r>
  <r>
    <x v="0"/>
    <x v="3"/>
    <n v="1"/>
    <n v="0.28899103839531737"/>
    <n v="0.2741062099016458"/>
    <n v="1.2741062099016458"/>
    <n v="0.2741062099016458"/>
  </r>
  <r>
    <x v="0"/>
    <x v="4"/>
    <n v="1"/>
    <n v="0.5014494088038931"/>
    <n v="-1.4515136584844295E-3"/>
    <n v="0.99854848634151561"/>
    <n v="1.4515136584843935E-3"/>
  </r>
  <r>
    <x v="0"/>
    <x v="5"/>
    <n v="2"/>
    <n v="0.3330929839768646"/>
    <n v="0.20309320812887877"/>
    <n v="2.2030932081288785"/>
    <n v="0.20309320812887854"/>
  </r>
  <r>
    <x v="0"/>
    <x v="6"/>
    <n v="1"/>
    <n v="0.30945440284433356"/>
    <n v="0.23989867118560709"/>
    <n v="1.239898671185607"/>
    <n v="0.23989867118560704"/>
  </r>
  <r>
    <x v="0"/>
    <x v="7"/>
    <n v="2"/>
    <n v="0.95381985377938305"/>
    <n v="-1.1910290640908678"/>
    <n v="0.80897093590913216"/>
    <n v="1.1910290640908678"/>
  </r>
  <r>
    <x v="1"/>
    <x v="0"/>
    <n v="11"/>
    <n v="0.45293785532014319"/>
    <n v="4.9426583536794168E-2"/>
    <n v="11.049426583536794"/>
    <n v="4.9426583536794411E-2"/>
  </r>
  <r>
    <x v="1"/>
    <x v="1"/>
    <n v="4"/>
    <n v="0.83219072683819051"/>
    <n v="-0.54589002136740739"/>
    <n v="3.4541099786325926"/>
    <n v="0.54589002136740739"/>
  </r>
  <r>
    <x v="1"/>
    <x v="2"/>
    <n v="2"/>
    <n v="0.79466227268629186"/>
    <n v="-0.44497601226533517"/>
    <n v="1.5550239877346648"/>
    <n v="0.44497601226533523"/>
  </r>
  <r>
    <x v="1"/>
    <x v="3"/>
    <n v="4"/>
    <n v="0.55364686385733164"/>
    <n v="-5.6748837312658305E-2"/>
    <n v="3.9432511626873419"/>
    <n v="5.6748837312658118E-2"/>
  </r>
  <r>
    <x v="1"/>
    <x v="4"/>
    <n v="2"/>
    <n v="0.14244679711447816"/>
    <n v="0.62781976100494863"/>
    <n v="2.6278197610049485"/>
    <n v="0.62781976100494852"/>
  </r>
  <r>
    <x v="1"/>
    <x v="5"/>
    <n v="3"/>
    <n v="0.30490952634507729"/>
    <n v="0.24729650037689874"/>
    <n v="3.2472965003768985"/>
    <n v="0.24729650037689854"/>
  </r>
  <r>
    <x v="1"/>
    <x v="6"/>
    <n v="4"/>
    <n v="0.71627748716450979"/>
    <n v="-0.28330570269161776"/>
    <n v="3.7166942973083823"/>
    <n v="0.2833057026916177"/>
  </r>
  <r>
    <x v="1"/>
    <x v="7"/>
    <n v="1"/>
    <n v="7.0009943580090384E-2"/>
    <n v="0.9829854076584964"/>
    <n v="1.9829854076584965"/>
    <n v="0.98298540765849651"/>
  </r>
  <r>
    <x v="2"/>
    <x v="0"/>
    <n v="14"/>
    <n v="0.10314818185466934"/>
    <n v="0.789220742643713"/>
    <n v="14.789220742643714"/>
    <n v="0.78922074264371389"/>
  </r>
  <r>
    <x v="2"/>
    <x v="1"/>
    <n v="3"/>
    <n v="0.11647451459730684"/>
    <n v="0.72846780408451905"/>
    <n v="3.7284678040845192"/>
    <n v="0.72846780408451917"/>
  </r>
  <r>
    <x v="2"/>
    <x v="2"/>
    <n v="3"/>
    <n v="0.43930399505827378"/>
    <n v="6.4708226667977542E-2"/>
    <n v="3.0647082266679777"/>
    <n v="6.4708226667977709E-2"/>
  </r>
  <r>
    <x v="2"/>
    <x v="3"/>
    <n v="9"/>
    <n v="0.20803962575500878"/>
    <n v="0.43843976421387976"/>
    <n v="9.4384397642138804"/>
    <n v="0.43843976421388042"/>
  </r>
  <r>
    <x v="2"/>
    <x v="4"/>
    <n v="3"/>
    <n v="0.93064651660380726"/>
    <n v="-0.98769586185294278"/>
    <n v="2.0123041381470572"/>
    <n v="0.98769586185294278"/>
  </r>
  <r>
    <x v="2"/>
    <x v="5"/>
    <n v="5"/>
    <n v="0.25562043092500064"/>
    <n v="0.33545722295844826"/>
    <n v="5.335457222958448"/>
    <n v="0.33545722295844804"/>
  </r>
  <r>
    <x v="2"/>
    <x v="6"/>
    <n v="5"/>
    <n v="0.63040668116914778"/>
    <n v="-0.15110241778720068"/>
    <n v="4.8488975822127998"/>
    <n v="0.15110241778720024"/>
  </r>
  <r>
    <x v="2"/>
    <x v="7"/>
    <n v="3"/>
    <n v="0.10266655167328775"/>
    <n v="0.79156086209136667"/>
    <n v="3.7915608620913668"/>
    <n v="0.79156086209136678"/>
  </r>
  <r>
    <x v="3"/>
    <x v="0"/>
    <n v="16"/>
    <n v="0.48489117167355555"/>
    <n v="1.5341810482738754E-2"/>
    <n v="16.015341810482738"/>
    <n v="1.5341810482738083E-2"/>
  </r>
  <r>
    <x v="3"/>
    <x v="1"/>
    <n v="10"/>
    <n v="0.29311744345376001"/>
    <n v="0.26701736940808241"/>
    <n v="10.267017369408082"/>
    <n v="0.26701736940808196"/>
  </r>
  <r>
    <x v="3"/>
    <x v="2"/>
    <n v="7"/>
    <n v="0.82561000510180527"/>
    <n v="-0.52665697864798566"/>
    <n v="6.4733430213520142"/>
    <n v="0.52665697864798577"/>
  </r>
  <r>
    <x v="3"/>
    <x v="3"/>
    <n v="4"/>
    <n v="0.73863359220011504"/>
    <n v="-0.32434240714462464"/>
    <n v="3.6756575928553752"/>
    <n v="0.32434240714462481"/>
  </r>
  <r>
    <x v="3"/>
    <x v="4"/>
    <n v="6"/>
    <n v="0.84330493846455812"/>
    <n v="-0.58015323248281603"/>
    <n v="5.4198467675171837"/>
    <n v="0.58015323248281625"/>
  </r>
  <r>
    <x v="3"/>
    <x v="5"/>
    <n v="13"/>
    <n v="0.89835830532980421"/>
    <n v="-0.79657713342436987"/>
    <n v="12.203422866575631"/>
    <n v="0.79657713342436942"/>
  </r>
  <r>
    <x v="3"/>
    <x v="6"/>
    <n v="9"/>
    <n v="0.2959943310743427"/>
    <n v="0.26213389802869913"/>
    <n v="9.2621338980286989"/>
    <n v="0.26213389802869891"/>
  </r>
  <r>
    <x v="3"/>
    <x v="7"/>
    <n v="7"/>
    <n v="0.62104697254176267"/>
    <n v="-0.13859791956282083"/>
    <n v="6.8614020804371796"/>
    <n v="0.13859791956282042"/>
  </r>
  <r>
    <x v="4"/>
    <x v="0"/>
    <n v="22"/>
    <n v="0.19808445528905272"/>
    <n v="0.46295730840343746"/>
    <n v="22.462957308403439"/>
    <n v="0.46295730840343907"/>
  </r>
  <r>
    <x v="4"/>
    <x v="1"/>
    <n v="10"/>
    <n v="0.13125664020581307"/>
    <n v="0.66872680309295141"/>
    <n v="10.668726803092952"/>
    <n v="0.66872680309295163"/>
  </r>
  <r>
    <x v="4"/>
    <x v="2"/>
    <n v="6"/>
    <n v="0.33473297000507629"/>
    <n v="0.2006374944581337"/>
    <n v="6.2006374944581335"/>
    <n v="0.2006374944581335"/>
  </r>
  <r>
    <x v="4"/>
    <x v="3"/>
    <n v="11"/>
    <n v="0.33815239481382753"/>
    <n v="0.1955557161606282"/>
    <n v="11.195555716160628"/>
    <n v="0.19555571616062828"/>
  </r>
  <r>
    <x v="4"/>
    <x v="4"/>
    <n v="4"/>
    <n v="0.6623991935344099"/>
    <n v="-0.19637197344168353"/>
    <n v="3.8036280265583167"/>
    <n v="0.19637197344168333"/>
  </r>
  <r>
    <x v="4"/>
    <x v="5"/>
    <n v="12"/>
    <n v="0.50347685521210905"/>
    <n v="-3.4890000682301632E-3"/>
    <n v="11.99651099993177"/>
    <n v="3.4890000682299416E-3"/>
  </r>
  <r>
    <x v="4"/>
    <x v="6"/>
    <n v="7"/>
    <n v="0.75166972138440014"/>
    <n v="-0.34992423483158869"/>
    <n v="6.6500757651684115"/>
    <n v="0.34992423483158852"/>
  </r>
  <r>
    <x v="4"/>
    <x v="7"/>
    <n v="14"/>
    <n v="0.941912331234947"/>
    <n v="-1.0763273493280536"/>
    <n v="12.923672650671946"/>
    <n v="1.0763273493280536"/>
  </r>
</pivotCacheRecords>
</file>

<file path=xl/pivotCache/pivotCacheRecords2.xml><?xml version="1.0" encoding="utf-8"?>
<pivotCacheRecords xmlns="http://schemas.openxmlformats.org/spreadsheetml/2006/main" xmlns:r="http://schemas.openxmlformats.org/officeDocument/2006/relationships" count="250">
  <r>
    <n v="1"/>
    <s v="AA"/>
    <n v="5"/>
    <x v="0"/>
    <x v="0"/>
    <x v="0"/>
  </r>
  <r>
    <n v="2"/>
    <s v="AB"/>
    <n v="4636"/>
    <x v="0"/>
    <x v="1"/>
    <x v="1"/>
  </r>
  <r>
    <n v="3"/>
    <s v="AC"/>
    <n v="1"/>
    <x v="1"/>
    <x v="2"/>
    <x v="0"/>
  </r>
  <r>
    <n v="4"/>
    <s v="AD"/>
    <n v="3124"/>
    <x v="0"/>
    <x v="3"/>
    <x v="1"/>
  </r>
  <r>
    <n v="5"/>
    <s v="AE"/>
    <n v="20670"/>
    <x v="2"/>
    <x v="4"/>
    <x v="2"/>
  </r>
  <r>
    <n v="6"/>
    <s v="AF"/>
    <n v="133"/>
    <x v="0"/>
    <x v="5"/>
    <x v="3"/>
  </r>
  <r>
    <n v="7"/>
    <s v="AG"/>
    <n v="18721"/>
    <x v="2"/>
    <x v="1"/>
    <x v="2"/>
  </r>
  <r>
    <n v="8"/>
    <s v="AH"/>
    <n v="6282"/>
    <x v="0"/>
    <x v="1"/>
    <x v="4"/>
  </r>
  <r>
    <n v="9"/>
    <s v="AI"/>
    <n v="16726"/>
    <x v="0"/>
    <x v="2"/>
    <x v="2"/>
  </r>
  <r>
    <n v="10"/>
    <s v="AJ"/>
    <n v="1618"/>
    <x v="2"/>
    <x v="0"/>
    <x v="1"/>
  </r>
  <r>
    <n v="11"/>
    <s v="AK"/>
    <n v="5"/>
    <x v="1"/>
    <x v="6"/>
    <x v="0"/>
  </r>
  <r>
    <n v="12"/>
    <s v="AL"/>
    <n v="594"/>
    <x v="2"/>
    <x v="5"/>
    <x v="5"/>
  </r>
  <r>
    <n v="13"/>
    <s v="AM"/>
    <n v="4"/>
    <x v="0"/>
    <x v="7"/>
    <x v="0"/>
  </r>
  <r>
    <n v="14"/>
    <s v="AN"/>
    <n v="1"/>
    <x v="0"/>
    <x v="2"/>
    <x v="0"/>
  </r>
  <r>
    <n v="15"/>
    <s v="AO"/>
    <n v="690"/>
    <x v="0"/>
    <x v="8"/>
    <x v="5"/>
  </r>
  <r>
    <n v="16"/>
    <s v="AP"/>
    <n v="5181"/>
    <x v="3"/>
    <x v="9"/>
    <x v="4"/>
  </r>
  <r>
    <n v="17"/>
    <s v="AQ"/>
    <n v="9"/>
    <x v="2"/>
    <x v="10"/>
    <x v="0"/>
  </r>
  <r>
    <n v="18"/>
    <s v="AR"/>
    <n v="2135"/>
    <x v="0"/>
    <x v="8"/>
    <x v="1"/>
  </r>
  <r>
    <n v="19"/>
    <s v="AS"/>
    <n v="1013"/>
    <x v="0"/>
    <x v="10"/>
    <x v="1"/>
  </r>
  <r>
    <n v="20"/>
    <s v="AT"/>
    <n v="2"/>
    <x v="3"/>
    <x v="11"/>
    <x v="0"/>
  </r>
  <r>
    <n v="21"/>
    <s v="AU"/>
    <n v="9647"/>
    <x v="0"/>
    <x v="10"/>
    <x v="4"/>
  </r>
  <r>
    <n v="22"/>
    <s v="AV"/>
    <n v="488"/>
    <x v="0"/>
    <x v="12"/>
    <x v="3"/>
  </r>
  <r>
    <n v="23"/>
    <s v="AW"/>
    <n v="5084"/>
    <x v="2"/>
    <x v="8"/>
    <x v="4"/>
  </r>
  <r>
    <n v="24"/>
    <s v="AX"/>
    <n v="16674"/>
    <x v="0"/>
    <x v="13"/>
    <x v="2"/>
  </r>
  <r>
    <n v="25"/>
    <s v="AY"/>
    <n v="2670"/>
    <x v="0"/>
    <x v="1"/>
    <x v="1"/>
  </r>
  <r>
    <n v="26"/>
    <s v="AZ"/>
    <n v="707"/>
    <x v="1"/>
    <x v="8"/>
    <x v="5"/>
  </r>
  <r>
    <n v="27"/>
    <s v="BA"/>
    <n v="94"/>
    <x v="0"/>
    <x v="14"/>
    <x v="6"/>
  </r>
  <r>
    <n v="28"/>
    <s v="BB"/>
    <n v="1"/>
    <x v="1"/>
    <x v="7"/>
    <x v="0"/>
  </r>
  <r>
    <n v="29"/>
    <s v="BC"/>
    <n v="2"/>
    <x v="2"/>
    <x v="1"/>
    <x v="0"/>
  </r>
  <r>
    <n v="30"/>
    <s v="BD"/>
    <n v="8868"/>
    <x v="0"/>
    <x v="1"/>
    <x v="4"/>
  </r>
  <r>
    <n v="31"/>
    <s v="BE"/>
    <n v="21114"/>
    <x v="1"/>
    <x v="5"/>
    <x v="2"/>
  </r>
  <r>
    <n v="32"/>
    <s v="BF"/>
    <n v="10176"/>
    <x v="2"/>
    <x v="15"/>
    <x v="2"/>
  </r>
  <r>
    <n v="33"/>
    <s v="BG"/>
    <n v="75"/>
    <x v="1"/>
    <x v="10"/>
    <x v="6"/>
  </r>
  <r>
    <n v="34"/>
    <s v="BH"/>
    <n v="9"/>
    <x v="3"/>
    <x v="1"/>
    <x v="0"/>
  </r>
  <r>
    <n v="35"/>
    <s v="BI"/>
    <n v="21"/>
    <x v="3"/>
    <x v="8"/>
    <x v="7"/>
  </r>
  <r>
    <n v="36"/>
    <s v="BJ"/>
    <n v="903"/>
    <x v="0"/>
    <x v="1"/>
    <x v="5"/>
  </r>
  <r>
    <n v="37"/>
    <s v="BK"/>
    <n v="16874"/>
    <x v="1"/>
    <x v="12"/>
    <x v="2"/>
  </r>
  <r>
    <n v="38"/>
    <s v="BL"/>
    <n v="1344"/>
    <x v="0"/>
    <x v="1"/>
    <x v="1"/>
  </r>
  <r>
    <n v="39"/>
    <s v="BM"/>
    <n v="2"/>
    <x v="2"/>
    <x v="10"/>
    <x v="0"/>
  </r>
  <r>
    <n v="40"/>
    <s v="BN"/>
    <n v="27"/>
    <x v="0"/>
    <x v="16"/>
    <x v="7"/>
  </r>
  <r>
    <n v="41"/>
    <s v="BO"/>
    <n v="1"/>
    <x v="1"/>
    <x v="9"/>
    <x v="0"/>
  </r>
  <r>
    <n v="42"/>
    <s v="BP"/>
    <n v="4988"/>
    <x v="4"/>
    <x v="6"/>
    <x v="1"/>
  </r>
  <r>
    <n v="43"/>
    <s v="BQ"/>
    <n v="2"/>
    <x v="2"/>
    <x v="12"/>
    <x v="0"/>
  </r>
  <r>
    <n v="44"/>
    <s v="BR"/>
    <n v="2558"/>
    <x v="4"/>
    <x v="10"/>
    <x v="1"/>
  </r>
  <r>
    <n v="45"/>
    <s v="BS"/>
    <n v="701"/>
    <x v="4"/>
    <x v="17"/>
    <x v="5"/>
  </r>
  <r>
    <n v="46"/>
    <s v="BT"/>
    <n v="8268"/>
    <x v="4"/>
    <x v="1"/>
    <x v="4"/>
  </r>
  <r>
    <n v="47"/>
    <s v="BU"/>
    <n v="4"/>
    <x v="2"/>
    <x v="5"/>
    <x v="0"/>
  </r>
  <r>
    <n v="48"/>
    <s v="BV"/>
    <n v="13923"/>
    <x v="2"/>
    <x v="12"/>
    <x v="2"/>
  </r>
  <r>
    <n v="49"/>
    <s v="BW"/>
    <n v="431"/>
    <x v="2"/>
    <x v="1"/>
    <x v="3"/>
  </r>
  <r>
    <n v="50"/>
    <s v="BX"/>
    <n v="4"/>
    <x v="1"/>
    <x v="16"/>
    <x v="0"/>
  </r>
  <r>
    <n v="51"/>
    <s v="BY"/>
    <n v="114"/>
    <x v="2"/>
    <x v="15"/>
    <x v="3"/>
  </r>
  <r>
    <n v="52"/>
    <s v="BZ"/>
    <n v="37"/>
    <x v="2"/>
    <x v="5"/>
    <x v="7"/>
  </r>
  <r>
    <n v="53"/>
    <s v="CA"/>
    <n v="9"/>
    <x v="3"/>
    <x v="1"/>
    <x v="0"/>
  </r>
  <r>
    <n v="54"/>
    <s v="CB"/>
    <n v="651"/>
    <x v="1"/>
    <x v="6"/>
    <x v="5"/>
  </r>
  <r>
    <n v="55"/>
    <s v="CC"/>
    <n v="61"/>
    <x v="0"/>
    <x v="17"/>
    <x v="6"/>
  </r>
  <r>
    <n v="56"/>
    <s v="CD"/>
    <n v="695"/>
    <x v="0"/>
    <x v="1"/>
    <x v="5"/>
  </r>
  <r>
    <n v="57"/>
    <s v="CE"/>
    <n v="6798"/>
    <x v="0"/>
    <x v="5"/>
    <x v="4"/>
  </r>
  <r>
    <n v="58"/>
    <s v="CF"/>
    <n v="49"/>
    <x v="2"/>
    <x v="1"/>
    <x v="7"/>
  </r>
  <r>
    <n v="59"/>
    <s v="CG"/>
    <n v="7"/>
    <x v="2"/>
    <x v="1"/>
    <x v="0"/>
  </r>
  <r>
    <n v="60"/>
    <s v="CH"/>
    <n v="3952"/>
    <x v="2"/>
    <x v="4"/>
    <x v="1"/>
  </r>
  <r>
    <n v="61"/>
    <s v="CI"/>
    <n v="3387"/>
    <x v="0"/>
    <x v="7"/>
    <x v="1"/>
  </r>
  <r>
    <n v="62"/>
    <s v="CJ"/>
    <n v="400"/>
    <x v="3"/>
    <x v="1"/>
    <x v="3"/>
  </r>
  <r>
    <n v="63"/>
    <s v="CK"/>
    <n v="2520"/>
    <x v="1"/>
    <x v="1"/>
    <x v="1"/>
  </r>
  <r>
    <n v="64"/>
    <s v="CL"/>
    <n v="1"/>
    <x v="3"/>
    <x v="3"/>
    <x v="0"/>
  </r>
  <r>
    <n v="65"/>
    <s v="CM"/>
    <n v="6"/>
    <x v="0"/>
    <x v="8"/>
    <x v="0"/>
  </r>
  <r>
    <n v="66"/>
    <s v="CN"/>
    <n v="1190"/>
    <x v="1"/>
    <x v="1"/>
    <x v="1"/>
  </r>
  <r>
    <n v="67"/>
    <s v="CO"/>
    <n v="16"/>
    <x v="0"/>
    <x v="16"/>
    <x v="7"/>
  </r>
  <r>
    <n v="68"/>
    <s v="CP"/>
    <n v="6"/>
    <x v="3"/>
    <x v="10"/>
    <x v="0"/>
  </r>
  <r>
    <n v="69"/>
    <s v="CQ"/>
    <n v="3"/>
    <x v="2"/>
    <x v="1"/>
    <x v="0"/>
  </r>
  <r>
    <n v="70"/>
    <s v="CR"/>
    <n v="14434"/>
    <x v="0"/>
    <x v="5"/>
    <x v="2"/>
  </r>
  <r>
    <n v="71"/>
    <s v="CS"/>
    <n v="19470"/>
    <x v="3"/>
    <x v="13"/>
    <x v="2"/>
  </r>
  <r>
    <n v="72"/>
    <s v="CT"/>
    <n v="8318"/>
    <x v="2"/>
    <x v="14"/>
    <x v="4"/>
  </r>
  <r>
    <n v="73"/>
    <s v="CU"/>
    <n v="130"/>
    <x v="2"/>
    <x v="0"/>
    <x v="3"/>
  </r>
  <r>
    <n v="74"/>
    <s v="CV"/>
    <n v="99"/>
    <x v="1"/>
    <x v="3"/>
    <x v="6"/>
  </r>
  <r>
    <n v="75"/>
    <s v="CW"/>
    <n v="18"/>
    <x v="3"/>
    <x v="8"/>
    <x v="7"/>
  </r>
  <r>
    <n v="76"/>
    <s v="CX"/>
    <n v="1583"/>
    <x v="1"/>
    <x v="4"/>
    <x v="1"/>
  </r>
  <r>
    <n v="77"/>
    <s v="CY"/>
    <n v="8601"/>
    <x v="1"/>
    <x v="2"/>
    <x v="4"/>
  </r>
  <r>
    <n v="78"/>
    <s v="CZ"/>
    <n v="60"/>
    <x v="3"/>
    <x v="5"/>
    <x v="6"/>
  </r>
  <r>
    <n v="79"/>
    <s v="DA"/>
    <n v="618"/>
    <x v="3"/>
    <x v="1"/>
    <x v="5"/>
  </r>
  <r>
    <n v="80"/>
    <s v="DB"/>
    <n v="7612"/>
    <x v="0"/>
    <x v="11"/>
    <x v="4"/>
  </r>
  <r>
    <n v="81"/>
    <s v="DC"/>
    <n v="2"/>
    <x v="0"/>
    <x v="16"/>
    <x v="0"/>
  </r>
  <r>
    <n v="82"/>
    <s v="DD"/>
    <n v="1"/>
    <x v="3"/>
    <x v="5"/>
    <x v="0"/>
  </r>
  <r>
    <n v="83"/>
    <s v="DE"/>
    <n v="36"/>
    <x v="2"/>
    <x v="1"/>
    <x v="7"/>
  </r>
  <r>
    <n v="84"/>
    <s v="DF"/>
    <n v="1373"/>
    <x v="2"/>
    <x v="17"/>
    <x v="1"/>
  </r>
  <r>
    <n v="85"/>
    <s v="DG"/>
    <n v="5"/>
    <x v="2"/>
    <x v="2"/>
    <x v="0"/>
  </r>
  <r>
    <n v="86"/>
    <s v="DH"/>
    <n v="1407"/>
    <x v="2"/>
    <x v="18"/>
    <x v="1"/>
  </r>
  <r>
    <n v="87"/>
    <s v="DI"/>
    <n v="1"/>
    <x v="2"/>
    <x v="2"/>
    <x v="0"/>
  </r>
  <r>
    <n v="88"/>
    <s v="DJ"/>
    <n v="179"/>
    <x v="2"/>
    <x v="1"/>
    <x v="3"/>
  </r>
  <r>
    <n v="89"/>
    <s v="DK"/>
    <n v="61"/>
    <x v="0"/>
    <x v="2"/>
    <x v="6"/>
  </r>
  <r>
    <n v="90"/>
    <s v="DL"/>
    <n v="5"/>
    <x v="4"/>
    <x v="16"/>
    <x v="0"/>
  </r>
  <r>
    <n v="91"/>
    <s v="DM"/>
    <n v="5"/>
    <x v="4"/>
    <x v="2"/>
    <x v="0"/>
  </r>
  <r>
    <n v="92"/>
    <s v="DN"/>
    <n v="222"/>
    <x v="3"/>
    <x v="16"/>
    <x v="3"/>
  </r>
  <r>
    <n v="93"/>
    <s v="DO"/>
    <n v="11"/>
    <x v="0"/>
    <x v="1"/>
    <x v="7"/>
  </r>
  <r>
    <n v="94"/>
    <s v="DP"/>
    <n v="68"/>
    <x v="0"/>
    <x v="19"/>
    <x v="6"/>
  </r>
  <r>
    <n v="95"/>
    <s v="DQ"/>
    <n v="11"/>
    <x v="0"/>
    <x v="6"/>
    <x v="7"/>
  </r>
  <r>
    <n v="96"/>
    <s v="DR"/>
    <n v="392"/>
    <x v="1"/>
    <x v="1"/>
    <x v="3"/>
  </r>
  <r>
    <n v="97"/>
    <s v="DS"/>
    <n v="5813"/>
    <x v="3"/>
    <x v="15"/>
    <x v="4"/>
  </r>
  <r>
    <n v="98"/>
    <s v="DT"/>
    <n v="9"/>
    <x v="1"/>
    <x v="15"/>
    <x v="0"/>
  </r>
  <r>
    <n v="99"/>
    <s v="DU"/>
    <n v="5270"/>
    <x v="0"/>
    <x v="4"/>
    <x v="4"/>
  </r>
  <r>
    <n v="100"/>
    <s v="DV"/>
    <n v="9786"/>
    <x v="0"/>
    <x v="5"/>
    <x v="4"/>
  </r>
  <r>
    <n v="101"/>
    <s v="DW"/>
    <n v="1"/>
    <x v="0"/>
    <x v="10"/>
    <x v="0"/>
  </r>
  <r>
    <n v="102"/>
    <s v="DX"/>
    <n v="1"/>
    <x v="3"/>
    <x v="5"/>
    <x v="0"/>
  </r>
  <r>
    <n v="103"/>
    <s v="DY"/>
    <n v="3"/>
    <x v="0"/>
    <x v="8"/>
    <x v="0"/>
  </r>
  <r>
    <n v="104"/>
    <s v="DZ"/>
    <n v="538"/>
    <x v="2"/>
    <x v="6"/>
    <x v="5"/>
  </r>
  <r>
    <n v="105"/>
    <s v="EA"/>
    <n v="5"/>
    <x v="1"/>
    <x v="7"/>
    <x v="0"/>
  </r>
  <r>
    <n v="106"/>
    <s v="EB"/>
    <n v="343"/>
    <x v="1"/>
    <x v="0"/>
    <x v="3"/>
  </r>
  <r>
    <n v="107"/>
    <s v="EC"/>
    <n v="286"/>
    <x v="1"/>
    <x v="5"/>
    <x v="3"/>
  </r>
  <r>
    <n v="108"/>
    <s v="ED"/>
    <n v="13"/>
    <x v="0"/>
    <x v="17"/>
    <x v="7"/>
  </r>
  <r>
    <n v="109"/>
    <s v="EE"/>
    <n v="1"/>
    <x v="1"/>
    <x v="5"/>
    <x v="0"/>
  </r>
  <r>
    <n v="110"/>
    <s v="EF"/>
    <n v="12"/>
    <x v="2"/>
    <x v="7"/>
    <x v="7"/>
  </r>
  <r>
    <n v="111"/>
    <s v="EG"/>
    <n v="263"/>
    <x v="2"/>
    <x v="0"/>
    <x v="3"/>
  </r>
  <r>
    <n v="112"/>
    <s v="EH"/>
    <n v="4"/>
    <x v="3"/>
    <x v="5"/>
    <x v="0"/>
  </r>
  <r>
    <n v="113"/>
    <s v="EI"/>
    <n v="2684"/>
    <x v="3"/>
    <x v="1"/>
    <x v="1"/>
  </r>
  <r>
    <n v="114"/>
    <s v="EJ"/>
    <n v="12426"/>
    <x v="2"/>
    <x v="18"/>
    <x v="2"/>
  </r>
  <r>
    <n v="115"/>
    <s v="EK"/>
    <n v="2"/>
    <x v="0"/>
    <x v="17"/>
    <x v="0"/>
  </r>
  <r>
    <n v="116"/>
    <s v="EL"/>
    <n v="2559"/>
    <x v="0"/>
    <x v="12"/>
    <x v="1"/>
  </r>
  <r>
    <n v="117"/>
    <s v="EM"/>
    <n v="9941"/>
    <x v="1"/>
    <x v="17"/>
    <x v="4"/>
  </r>
  <r>
    <n v="118"/>
    <s v="EN"/>
    <n v="14472"/>
    <x v="2"/>
    <x v="1"/>
    <x v="2"/>
  </r>
  <r>
    <n v="119"/>
    <s v="EO"/>
    <n v="58"/>
    <x v="2"/>
    <x v="8"/>
    <x v="6"/>
  </r>
  <r>
    <n v="120"/>
    <s v="EP"/>
    <n v="3"/>
    <x v="4"/>
    <x v="1"/>
    <x v="0"/>
  </r>
  <r>
    <n v="121"/>
    <s v="EQ"/>
    <n v="3"/>
    <x v="3"/>
    <x v="16"/>
    <x v="0"/>
  </r>
  <r>
    <n v="122"/>
    <s v="ER"/>
    <n v="17"/>
    <x v="3"/>
    <x v="17"/>
    <x v="7"/>
  </r>
  <r>
    <n v="123"/>
    <s v="ES"/>
    <n v="2"/>
    <x v="1"/>
    <x v="1"/>
    <x v="0"/>
  </r>
  <r>
    <n v="124"/>
    <s v="ET"/>
    <n v="210"/>
    <x v="2"/>
    <x v="18"/>
    <x v="3"/>
  </r>
  <r>
    <n v="125"/>
    <s v="EU"/>
    <n v="3"/>
    <x v="2"/>
    <x v="17"/>
    <x v="0"/>
  </r>
  <r>
    <n v="126"/>
    <s v="EV"/>
    <n v="20"/>
    <x v="1"/>
    <x v="1"/>
    <x v="7"/>
  </r>
  <r>
    <n v="127"/>
    <s v="EW"/>
    <n v="4084"/>
    <x v="1"/>
    <x v="1"/>
    <x v="1"/>
  </r>
  <r>
    <n v="128"/>
    <s v="EX"/>
    <n v="180"/>
    <x v="1"/>
    <x v="1"/>
    <x v="3"/>
  </r>
  <r>
    <n v="129"/>
    <s v="EY"/>
    <n v="11632"/>
    <x v="2"/>
    <x v="7"/>
    <x v="2"/>
  </r>
  <r>
    <n v="130"/>
    <s v="EZ"/>
    <n v="7"/>
    <x v="0"/>
    <x v="1"/>
    <x v="0"/>
  </r>
  <r>
    <n v="131"/>
    <s v="FA"/>
    <n v="25"/>
    <x v="2"/>
    <x v="16"/>
    <x v="7"/>
  </r>
  <r>
    <n v="132"/>
    <s v="FB"/>
    <n v="5213"/>
    <x v="2"/>
    <x v="1"/>
    <x v="4"/>
  </r>
  <r>
    <n v="133"/>
    <s v="FC"/>
    <n v="14841"/>
    <x v="2"/>
    <x v="12"/>
    <x v="2"/>
  </r>
  <r>
    <n v="134"/>
    <s v="FD"/>
    <n v="16"/>
    <x v="0"/>
    <x v="5"/>
    <x v="7"/>
  </r>
  <r>
    <n v="135"/>
    <s v="FE"/>
    <n v="1"/>
    <x v="2"/>
    <x v="1"/>
    <x v="0"/>
  </r>
  <r>
    <n v="136"/>
    <s v="FF"/>
    <n v="2"/>
    <x v="2"/>
    <x v="1"/>
    <x v="0"/>
  </r>
  <r>
    <n v="137"/>
    <s v="FG"/>
    <n v="5906"/>
    <x v="2"/>
    <x v="13"/>
    <x v="4"/>
  </r>
  <r>
    <n v="138"/>
    <s v="FH"/>
    <n v="2557"/>
    <x v="3"/>
    <x v="8"/>
    <x v="1"/>
  </r>
  <r>
    <n v="139"/>
    <s v="FI"/>
    <n v="10"/>
    <x v="2"/>
    <x v="6"/>
    <x v="0"/>
  </r>
  <r>
    <n v="140"/>
    <s v="FJ"/>
    <n v="25"/>
    <x v="2"/>
    <x v="10"/>
    <x v="7"/>
  </r>
  <r>
    <n v="141"/>
    <s v="FK"/>
    <n v="1"/>
    <x v="2"/>
    <x v="17"/>
    <x v="0"/>
  </r>
  <r>
    <n v="142"/>
    <s v="FL"/>
    <n v="49"/>
    <x v="2"/>
    <x v="3"/>
    <x v="7"/>
  </r>
  <r>
    <n v="143"/>
    <s v="FM"/>
    <n v="287"/>
    <x v="0"/>
    <x v="9"/>
    <x v="3"/>
  </r>
  <r>
    <n v="144"/>
    <s v="FN"/>
    <n v="1289"/>
    <x v="2"/>
    <x v="1"/>
    <x v="1"/>
  </r>
  <r>
    <n v="145"/>
    <s v="FO"/>
    <n v="163"/>
    <x v="2"/>
    <x v="15"/>
    <x v="3"/>
  </r>
  <r>
    <n v="146"/>
    <s v="FP"/>
    <n v="7"/>
    <x v="2"/>
    <x v="1"/>
    <x v="0"/>
  </r>
  <r>
    <n v="147"/>
    <s v="FQ"/>
    <n v="22"/>
    <x v="1"/>
    <x v="1"/>
    <x v="7"/>
  </r>
  <r>
    <n v="148"/>
    <s v="FR"/>
    <n v="683"/>
    <x v="2"/>
    <x v="5"/>
    <x v="5"/>
  </r>
  <r>
    <n v="149"/>
    <s v="FS"/>
    <n v="3245"/>
    <x v="0"/>
    <x v="13"/>
    <x v="1"/>
  </r>
  <r>
    <n v="150"/>
    <s v="FT"/>
    <n v="1254"/>
    <x v="0"/>
    <x v="1"/>
    <x v="1"/>
  </r>
  <r>
    <n v="151"/>
    <s v="FU"/>
    <n v="2954"/>
    <x v="2"/>
    <x v="14"/>
    <x v="1"/>
  </r>
  <r>
    <n v="152"/>
    <s v="FV"/>
    <n v="307"/>
    <x v="3"/>
    <x v="1"/>
    <x v="3"/>
  </r>
  <r>
    <n v="153"/>
    <s v="FW"/>
    <n v="10122"/>
    <x v="2"/>
    <x v="4"/>
    <x v="2"/>
  </r>
  <r>
    <n v="154"/>
    <s v="FX"/>
    <n v="72"/>
    <x v="2"/>
    <x v="5"/>
    <x v="6"/>
  </r>
  <r>
    <n v="155"/>
    <s v="FY"/>
    <n v="14"/>
    <x v="0"/>
    <x v="1"/>
    <x v="7"/>
  </r>
  <r>
    <n v="156"/>
    <s v="FZ"/>
    <n v="1"/>
    <x v="0"/>
    <x v="8"/>
    <x v="0"/>
  </r>
  <r>
    <n v="157"/>
    <s v="GA"/>
    <n v="122"/>
    <x v="2"/>
    <x v="6"/>
    <x v="3"/>
  </r>
  <r>
    <n v="158"/>
    <s v="GB"/>
    <n v="8"/>
    <x v="0"/>
    <x v="5"/>
    <x v="0"/>
  </r>
  <r>
    <n v="159"/>
    <s v="GC"/>
    <n v="20640"/>
    <x v="2"/>
    <x v="9"/>
    <x v="2"/>
  </r>
  <r>
    <n v="160"/>
    <s v="GD"/>
    <n v="3"/>
    <x v="0"/>
    <x v="0"/>
    <x v="0"/>
  </r>
  <r>
    <n v="161"/>
    <s v="GE"/>
    <n v="4"/>
    <x v="3"/>
    <x v="12"/>
    <x v="0"/>
  </r>
  <r>
    <n v="162"/>
    <s v="GF"/>
    <n v="74"/>
    <x v="1"/>
    <x v="4"/>
    <x v="6"/>
  </r>
  <r>
    <n v="163"/>
    <s v="GG"/>
    <n v="22"/>
    <x v="3"/>
    <x v="11"/>
    <x v="7"/>
  </r>
  <r>
    <n v="164"/>
    <s v="GH"/>
    <n v="116"/>
    <x v="2"/>
    <x v="12"/>
    <x v="3"/>
  </r>
  <r>
    <n v="165"/>
    <s v="GI"/>
    <n v="65"/>
    <x v="2"/>
    <x v="9"/>
    <x v="6"/>
  </r>
  <r>
    <n v="166"/>
    <s v="GJ"/>
    <n v="2"/>
    <x v="2"/>
    <x v="18"/>
    <x v="0"/>
  </r>
  <r>
    <n v="167"/>
    <s v="GK"/>
    <n v="2"/>
    <x v="0"/>
    <x v="1"/>
    <x v="0"/>
  </r>
  <r>
    <n v="168"/>
    <s v="GL"/>
    <n v="24"/>
    <x v="2"/>
    <x v="5"/>
    <x v="7"/>
  </r>
  <r>
    <n v="169"/>
    <s v="GM"/>
    <n v="15"/>
    <x v="0"/>
    <x v="1"/>
    <x v="7"/>
  </r>
  <r>
    <n v="170"/>
    <s v="GN"/>
    <n v="5"/>
    <x v="4"/>
    <x v="2"/>
    <x v="0"/>
  </r>
  <r>
    <n v="171"/>
    <s v="GO"/>
    <n v="9416"/>
    <x v="0"/>
    <x v="13"/>
    <x v="4"/>
  </r>
  <r>
    <n v="172"/>
    <s v="GP"/>
    <n v="15516"/>
    <x v="0"/>
    <x v="8"/>
    <x v="2"/>
  </r>
  <r>
    <n v="173"/>
    <s v="GQ"/>
    <n v="10510"/>
    <x v="2"/>
    <x v="1"/>
    <x v="2"/>
  </r>
  <r>
    <n v="174"/>
    <s v="GR"/>
    <n v="127"/>
    <x v="1"/>
    <x v="3"/>
    <x v="3"/>
  </r>
  <r>
    <n v="175"/>
    <s v="GS"/>
    <n v="18"/>
    <x v="0"/>
    <x v="12"/>
    <x v="7"/>
  </r>
  <r>
    <n v="176"/>
    <s v="GT"/>
    <n v="976"/>
    <x v="3"/>
    <x v="1"/>
    <x v="5"/>
  </r>
  <r>
    <n v="177"/>
    <s v="GU"/>
    <n v="17964"/>
    <x v="1"/>
    <x v="10"/>
    <x v="2"/>
  </r>
  <r>
    <n v="178"/>
    <s v="GV"/>
    <n v="1962"/>
    <x v="2"/>
    <x v="0"/>
    <x v="1"/>
  </r>
  <r>
    <n v="179"/>
    <s v="GW"/>
    <n v="5840"/>
    <x v="2"/>
    <x v="1"/>
    <x v="4"/>
  </r>
  <r>
    <n v="180"/>
    <s v="GX"/>
    <n v="2840"/>
    <x v="3"/>
    <x v="1"/>
    <x v="1"/>
  </r>
  <r>
    <n v="181"/>
    <s v="GY"/>
    <n v="12552"/>
    <x v="2"/>
    <x v="1"/>
    <x v="2"/>
  </r>
  <r>
    <n v="182"/>
    <s v="GZ"/>
    <n v="1"/>
    <x v="2"/>
    <x v="1"/>
    <x v="0"/>
  </r>
  <r>
    <n v="183"/>
    <s v="HA"/>
    <n v="13907"/>
    <x v="2"/>
    <x v="1"/>
    <x v="2"/>
  </r>
  <r>
    <n v="184"/>
    <s v="HB"/>
    <n v="265"/>
    <x v="1"/>
    <x v="16"/>
    <x v="3"/>
  </r>
  <r>
    <n v="185"/>
    <s v="HC"/>
    <n v="91"/>
    <x v="0"/>
    <x v="3"/>
    <x v="6"/>
  </r>
  <r>
    <n v="186"/>
    <s v="HD"/>
    <n v="42"/>
    <x v="4"/>
    <x v="0"/>
    <x v="7"/>
  </r>
  <r>
    <n v="187"/>
    <s v="HE"/>
    <n v="9648"/>
    <x v="3"/>
    <x v="0"/>
    <x v="4"/>
  </r>
  <r>
    <n v="188"/>
    <s v="HF"/>
    <n v="4997"/>
    <x v="2"/>
    <x v="1"/>
    <x v="1"/>
  </r>
  <r>
    <n v="189"/>
    <s v="HG"/>
    <n v="3654"/>
    <x v="2"/>
    <x v="5"/>
    <x v="1"/>
  </r>
  <r>
    <n v="190"/>
    <s v="HH"/>
    <n v="131"/>
    <x v="2"/>
    <x v="0"/>
    <x v="3"/>
  </r>
  <r>
    <n v="191"/>
    <s v="HI"/>
    <n v="11017"/>
    <x v="0"/>
    <x v="6"/>
    <x v="2"/>
  </r>
  <r>
    <n v="192"/>
    <s v="HJ"/>
    <n v="52"/>
    <x v="3"/>
    <x v="1"/>
    <x v="6"/>
  </r>
  <r>
    <n v="193"/>
    <s v="HK"/>
    <n v="570"/>
    <x v="0"/>
    <x v="8"/>
    <x v="5"/>
  </r>
  <r>
    <n v="194"/>
    <s v="HL"/>
    <n v="2072"/>
    <x v="2"/>
    <x v="12"/>
    <x v="1"/>
  </r>
  <r>
    <n v="195"/>
    <s v="HM"/>
    <n v="6200"/>
    <x v="2"/>
    <x v="4"/>
    <x v="4"/>
  </r>
  <r>
    <n v="196"/>
    <s v="HN"/>
    <n v="2"/>
    <x v="4"/>
    <x v="12"/>
    <x v="0"/>
  </r>
  <r>
    <n v="197"/>
    <s v="HO"/>
    <n v="5209"/>
    <x v="2"/>
    <x v="7"/>
    <x v="4"/>
  </r>
  <r>
    <n v="198"/>
    <s v="HP"/>
    <n v="66"/>
    <x v="2"/>
    <x v="1"/>
    <x v="6"/>
  </r>
  <r>
    <n v="199"/>
    <s v="HQ"/>
    <n v="29"/>
    <x v="2"/>
    <x v="1"/>
    <x v="7"/>
  </r>
  <r>
    <n v="200"/>
    <s v="HR"/>
    <n v="73"/>
    <x v="0"/>
    <x v="8"/>
    <x v="6"/>
  </r>
  <r>
    <n v="201"/>
    <s v="HS"/>
    <n v="4029"/>
    <x v="2"/>
    <x v="19"/>
    <x v="1"/>
  </r>
  <r>
    <n v="202"/>
    <s v="HT"/>
    <n v="3089"/>
    <x v="2"/>
    <x v="1"/>
    <x v="1"/>
  </r>
  <r>
    <n v="203"/>
    <s v="HU"/>
    <n v="334"/>
    <x v="0"/>
    <x v="10"/>
    <x v="3"/>
  </r>
  <r>
    <n v="204"/>
    <s v="HV"/>
    <n v="512"/>
    <x v="0"/>
    <x v="1"/>
    <x v="5"/>
  </r>
  <r>
    <n v="205"/>
    <s v="HW"/>
    <n v="1"/>
    <x v="1"/>
    <x v="18"/>
    <x v="0"/>
  </r>
  <r>
    <n v="206"/>
    <s v="HX"/>
    <n v="287"/>
    <x v="3"/>
    <x v="1"/>
    <x v="3"/>
  </r>
  <r>
    <n v="207"/>
    <s v="HY"/>
    <n v="1202"/>
    <x v="0"/>
    <x v="6"/>
    <x v="1"/>
  </r>
  <r>
    <n v="208"/>
    <s v="HZ"/>
    <n v="7"/>
    <x v="2"/>
    <x v="0"/>
    <x v="0"/>
  </r>
  <r>
    <n v="209"/>
    <s v="IA"/>
    <n v="5"/>
    <x v="4"/>
    <x v="12"/>
    <x v="0"/>
  </r>
  <r>
    <n v="210"/>
    <s v="IB"/>
    <n v="186"/>
    <x v="1"/>
    <x v="1"/>
    <x v="3"/>
  </r>
  <r>
    <n v="211"/>
    <s v="IC"/>
    <n v="4"/>
    <x v="1"/>
    <x v="11"/>
    <x v="0"/>
  </r>
  <r>
    <n v="212"/>
    <s v="ID"/>
    <n v="1"/>
    <x v="4"/>
    <x v="7"/>
    <x v="0"/>
  </r>
  <r>
    <n v="213"/>
    <s v="IE"/>
    <n v="57"/>
    <x v="2"/>
    <x v="2"/>
    <x v="6"/>
  </r>
  <r>
    <n v="214"/>
    <s v="IF"/>
    <n v="20"/>
    <x v="2"/>
    <x v="1"/>
    <x v="7"/>
  </r>
  <r>
    <n v="215"/>
    <s v="IG"/>
    <n v="326"/>
    <x v="4"/>
    <x v="5"/>
    <x v="3"/>
  </r>
  <r>
    <n v="216"/>
    <s v="IH"/>
    <n v="1"/>
    <x v="2"/>
    <x v="3"/>
    <x v="0"/>
  </r>
  <r>
    <n v="217"/>
    <s v="II"/>
    <n v="21673"/>
    <x v="4"/>
    <x v="17"/>
    <x v="2"/>
  </r>
  <r>
    <n v="218"/>
    <s v="IJ"/>
    <n v="3"/>
    <x v="4"/>
    <x v="1"/>
    <x v="0"/>
  </r>
  <r>
    <n v="219"/>
    <s v="IK"/>
    <n v="1"/>
    <x v="2"/>
    <x v="7"/>
    <x v="0"/>
  </r>
  <r>
    <n v="220"/>
    <s v="IL"/>
    <n v="3"/>
    <x v="2"/>
    <x v="5"/>
    <x v="0"/>
  </r>
  <r>
    <n v="221"/>
    <s v="IM"/>
    <n v="20494"/>
    <x v="2"/>
    <x v="8"/>
    <x v="2"/>
  </r>
  <r>
    <n v="222"/>
    <s v="IN"/>
    <n v="1320"/>
    <x v="1"/>
    <x v="10"/>
    <x v="1"/>
  </r>
  <r>
    <n v="223"/>
    <s v="IO"/>
    <n v="45"/>
    <x v="0"/>
    <x v="3"/>
    <x v="7"/>
  </r>
  <r>
    <n v="224"/>
    <s v="IP"/>
    <n v="713"/>
    <x v="2"/>
    <x v="9"/>
    <x v="5"/>
  </r>
  <r>
    <n v="225"/>
    <s v="IQ"/>
    <n v="9050"/>
    <x v="3"/>
    <x v="1"/>
    <x v="4"/>
  </r>
  <r>
    <n v="226"/>
    <s v="IR"/>
    <n v="5"/>
    <x v="0"/>
    <x v="16"/>
    <x v="0"/>
  </r>
  <r>
    <n v="227"/>
    <s v="IS"/>
    <n v="1"/>
    <x v="1"/>
    <x v="1"/>
    <x v="0"/>
  </r>
  <r>
    <n v="228"/>
    <s v="IT"/>
    <n v="896"/>
    <x v="1"/>
    <x v="18"/>
    <x v="5"/>
  </r>
  <r>
    <n v="229"/>
    <s v="IU"/>
    <n v="73"/>
    <x v="0"/>
    <x v="1"/>
    <x v="6"/>
  </r>
  <r>
    <n v="230"/>
    <s v="IV"/>
    <n v="8155"/>
    <x v="1"/>
    <x v="9"/>
    <x v="4"/>
  </r>
  <r>
    <n v="231"/>
    <s v="IW"/>
    <n v="10"/>
    <x v="2"/>
    <x v="6"/>
    <x v="0"/>
  </r>
  <r>
    <n v="232"/>
    <s v="IX"/>
    <n v="16525"/>
    <x v="0"/>
    <x v="8"/>
    <x v="2"/>
  </r>
  <r>
    <n v="233"/>
    <s v="IY"/>
    <n v="2"/>
    <x v="1"/>
    <x v="1"/>
    <x v="0"/>
  </r>
  <r>
    <n v="234"/>
    <s v="IZ"/>
    <n v="5115"/>
    <x v="0"/>
    <x v="7"/>
    <x v="4"/>
  </r>
  <r>
    <n v="235"/>
    <s v="JA"/>
    <n v="15485"/>
    <x v="4"/>
    <x v="14"/>
    <x v="2"/>
  </r>
  <r>
    <n v="236"/>
    <s v="JB"/>
    <n v="1"/>
    <x v="1"/>
    <x v="12"/>
    <x v="0"/>
  </r>
  <r>
    <n v="237"/>
    <s v="JC"/>
    <n v="81"/>
    <x v="2"/>
    <x v="1"/>
    <x v="6"/>
  </r>
  <r>
    <n v="238"/>
    <s v="JD"/>
    <n v="1"/>
    <x v="3"/>
    <x v="12"/>
    <x v="0"/>
  </r>
  <r>
    <n v="239"/>
    <s v="JE"/>
    <n v="244"/>
    <x v="2"/>
    <x v="1"/>
    <x v="3"/>
  </r>
  <r>
    <n v="240"/>
    <s v="JF"/>
    <n v="8622"/>
    <x v="1"/>
    <x v="15"/>
    <x v="4"/>
  </r>
  <r>
    <n v="241"/>
    <s v="JG"/>
    <n v="339"/>
    <x v="1"/>
    <x v="1"/>
    <x v="3"/>
  </r>
  <r>
    <n v="242"/>
    <s v="JH"/>
    <n v="2774"/>
    <x v="0"/>
    <x v="12"/>
    <x v="1"/>
  </r>
  <r>
    <n v="243"/>
    <s v="JI"/>
    <n v="152"/>
    <x v="1"/>
    <x v="5"/>
    <x v="3"/>
  </r>
  <r>
    <n v="244"/>
    <s v="JJ"/>
    <n v="630"/>
    <x v="0"/>
    <x v="1"/>
    <x v="5"/>
  </r>
  <r>
    <n v="245"/>
    <s v="JK"/>
    <n v="1"/>
    <x v="0"/>
    <x v="19"/>
    <x v="0"/>
  </r>
  <r>
    <n v="246"/>
    <s v="JL"/>
    <n v="2309"/>
    <x v="0"/>
    <x v="12"/>
    <x v="1"/>
  </r>
  <r>
    <n v="247"/>
    <s v="JM"/>
    <n v="7914"/>
    <x v="1"/>
    <x v="18"/>
    <x v="4"/>
  </r>
  <r>
    <n v="248"/>
    <s v="JN"/>
    <n v="5"/>
    <x v="0"/>
    <x v="1"/>
    <x v="0"/>
  </r>
  <r>
    <n v="249"/>
    <s v="JO"/>
    <n v="24"/>
    <x v="1"/>
    <x v="1"/>
    <x v="7"/>
  </r>
  <r>
    <n v="250"/>
    <s v="JP"/>
    <n v="21906"/>
    <x v="0"/>
    <x v="16"/>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Geography">
  <location ref="C35:D56" firstHeaderRow="1" firstDataRow="1" firstDataCol="1"/>
  <pivotFields count="6">
    <pivotField showAll="0"/>
    <pivotField dataField="1" showAll="0"/>
    <pivotField showAll="0"/>
    <pivotField showAll="0"/>
    <pivotField axis="axisRow" showAll="0">
      <items count="21">
        <item x="1"/>
        <item x="8"/>
        <item x="5"/>
        <item x="12"/>
        <item x="7"/>
        <item x="0"/>
        <item x="6"/>
        <item x="4"/>
        <item x="11"/>
        <item x="16"/>
        <item x="10"/>
        <item x="17"/>
        <item x="9"/>
        <item x="14"/>
        <item x="19"/>
        <item x="13"/>
        <item x="2"/>
        <item x="15"/>
        <item x="18"/>
        <item x="3"/>
        <item t="default"/>
      </items>
    </pivotField>
    <pivotField showAll="0" defaultSubtotal="0"/>
  </pivotFields>
  <rowFields count="1">
    <field x="4"/>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Count of Firm" fld="1" subtotal="count" baseField="0" baseItem="0"/>
  </dataFields>
  <chartFormats count="1">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Firm Size">
  <location ref="C20:D29" firstHeaderRow="1" firstDataRow="1" firstDataCol="1"/>
  <pivotFields count="6">
    <pivotField showAll="0"/>
    <pivotField dataField="1" showAll="0"/>
    <pivotField showAll="0"/>
    <pivotField showAll="0"/>
    <pivotField showAll="0"/>
    <pivotField axis="axisRow" showAll="0">
      <items count="9">
        <item x="0"/>
        <item x="7"/>
        <item x="6"/>
        <item x="3"/>
        <item x="5"/>
        <item x="1"/>
        <item x="4"/>
        <item x="2"/>
        <item t="default"/>
      </items>
    </pivotField>
  </pivotFields>
  <rowFields count="1">
    <field x="5"/>
  </rowFields>
  <rowItems count="9">
    <i>
      <x/>
    </i>
    <i>
      <x v="1"/>
    </i>
    <i>
      <x v="2"/>
    </i>
    <i>
      <x v="3"/>
    </i>
    <i>
      <x v="4"/>
    </i>
    <i>
      <x v="5"/>
    </i>
    <i>
      <x v="6"/>
    </i>
    <i>
      <x v="7"/>
    </i>
    <i t="grand">
      <x/>
    </i>
  </rowItems>
  <colItems count="1">
    <i/>
  </colItems>
  <dataFields count="1">
    <dataField name="Count of Firm" fld="1" subtotal="count" baseField="0" baseItem="0"/>
  </dataFields>
  <chartFormats count="1">
    <chartFormat chart="3"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rowHeaderCaption="Industry">
  <location ref="C3:D9" firstHeaderRow="1" firstDataRow="1" firstDataCol="1"/>
  <pivotFields count="6">
    <pivotField showAll="0"/>
    <pivotField dataField="1" showAll="0"/>
    <pivotField showAll="0"/>
    <pivotField axis="axisRow" showAll="0">
      <items count="6">
        <item x="4"/>
        <item x="3"/>
        <item x="1"/>
        <item x="0"/>
        <item x="2"/>
        <item t="default"/>
      </items>
    </pivotField>
    <pivotField showAll="0"/>
    <pivotField showAll="0" defaultSubtotal="0"/>
  </pivotFields>
  <rowFields count="1">
    <field x="3"/>
  </rowFields>
  <rowItems count="6">
    <i>
      <x/>
    </i>
    <i>
      <x v="1"/>
    </i>
    <i>
      <x v="2"/>
    </i>
    <i>
      <x v="3"/>
    </i>
    <i>
      <x v="4"/>
    </i>
    <i t="grand">
      <x/>
    </i>
  </rowItems>
  <colItems count="1">
    <i/>
  </colItems>
  <dataFields count="1">
    <dataField name="Count of Firm" fld="1" subtotal="count" baseField="0" baseItem="0"/>
  </dataFields>
  <chartFormats count="1">
    <chartFormat chart="6"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rowHeaderCaption="Geography">
  <location ref="A35:B56" firstHeaderRow="1" firstDataRow="1" firstDataCol="1"/>
  <pivotFields count="6">
    <pivotField showAll="0"/>
    <pivotField showAll="0"/>
    <pivotField dataField="1" showAll="0"/>
    <pivotField showAll="0"/>
    <pivotField axis="axisRow" showAll="0">
      <items count="21">
        <item x="1"/>
        <item x="8"/>
        <item x="5"/>
        <item x="12"/>
        <item x="7"/>
        <item x="0"/>
        <item x="6"/>
        <item x="4"/>
        <item x="11"/>
        <item x="16"/>
        <item x="10"/>
        <item x="17"/>
        <item x="9"/>
        <item x="14"/>
        <item x="19"/>
        <item x="13"/>
        <item x="2"/>
        <item x="15"/>
        <item x="18"/>
        <item x="3"/>
        <item t="default"/>
      </items>
    </pivotField>
    <pivotField showAll="0" defaultSubtotal="0"/>
  </pivotFields>
  <rowFields count="1">
    <field x="4"/>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Employment" fld="2" baseField="0" baseItem="0"/>
  </dataField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rowHeaderCaption="Industry">
  <location ref="A3:B9" firstHeaderRow="1" firstDataRow="1" firstDataCol="1"/>
  <pivotFields count="6">
    <pivotField showAll="0"/>
    <pivotField showAll="0"/>
    <pivotField dataField="1" showAll="0"/>
    <pivotField axis="axisRow" showAll="0">
      <items count="6">
        <item x="4"/>
        <item x="3"/>
        <item x="1"/>
        <item x="0"/>
        <item x="2"/>
        <item t="default"/>
      </items>
    </pivotField>
    <pivotField showAll="0"/>
    <pivotField showAll="0" defaultSubtotal="0"/>
  </pivotFields>
  <rowFields count="1">
    <field x="3"/>
  </rowFields>
  <rowItems count="6">
    <i>
      <x/>
    </i>
    <i>
      <x v="1"/>
    </i>
    <i>
      <x v="2"/>
    </i>
    <i>
      <x v="3"/>
    </i>
    <i>
      <x v="4"/>
    </i>
    <i t="grand">
      <x/>
    </i>
  </rowItems>
  <colItems count="1">
    <i/>
  </colItems>
  <dataFields count="1">
    <dataField name="Sum of Employment" fld="2" baseField="0" baseItem="0"/>
  </dataFields>
  <chartFormats count="3">
    <chartFormat chart="1"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rowHeaderCaption="Firm Size">
  <location ref="A20:B29" firstHeaderRow="1" firstDataRow="1" firstDataCol="1"/>
  <pivotFields count="6">
    <pivotField showAll="0"/>
    <pivotField showAll="0"/>
    <pivotField dataField="1" showAll="0"/>
    <pivotField showAll="0"/>
    <pivotField showAll="0"/>
    <pivotField axis="axisRow" showAll="0">
      <items count="9">
        <item x="0"/>
        <item x="7"/>
        <item x="6"/>
        <item x="3"/>
        <item x="5"/>
        <item x="1"/>
        <item x="4"/>
        <item x="2"/>
        <item t="default"/>
      </items>
    </pivotField>
  </pivotFields>
  <rowFields count="1">
    <field x="5"/>
  </rowFields>
  <rowItems count="9">
    <i>
      <x/>
    </i>
    <i>
      <x v="1"/>
    </i>
    <i>
      <x v="2"/>
    </i>
    <i>
      <x v="3"/>
    </i>
    <i>
      <x v="4"/>
    </i>
    <i>
      <x v="5"/>
    </i>
    <i>
      <x v="6"/>
    </i>
    <i>
      <x v="7"/>
    </i>
    <i t="grand">
      <x/>
    </i>
  </rowItems>
  <colItems count="1">
    <i/>
  </colItems>
  <dataFields count="1">
    <dataField name="Sum of Employment" fld="2"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Industry">
  <location ref="A19:B25" firstHeaderRow="1" firstDataRow="1" firstDataCol="1"/>
  <pivotFields count="6">
    <pivotField showAll="0"/>
    <pivotField showAll="0"/>
    <pivotField showAll="0"/>
    <pivotField axis="axisRow" dataField="1" showAll="0">
      <items count="6">
        <item x="4"/>
        <item x="3"/>
        <item x="1"/>
        <item x="0"/>
        <item x="2"/>
        <item t="default"/>
      </items>
    </pivotField>
    <pivotField showAll="0"/>
    <pivotField showAll="0"/>
  </pivotFields>
  <rowFields count="1">
    <field x="3"/>
  </rowFields>
  <rowItems count="6">
    <i>
      <x/>
    </i>
    <i>
      <x v="1"/>
    </i>
    <i>
      <x v="2"/>
    </i>
    <i>
      <x v="3"/>
    </i>
    <i>
      <x v="4"/>
    </i>
    <i t="grand">
      <x/>
    </i>
  </rowItems>
  <colItems count="1">
    <i/>
  </colItems>
  <dataFields count="1">
    <dataField name="Unprotected Firm Count" fld="3" subtotal="count" baseField="3" baseItem="0"/>
  </dataFields>
  <formats count="28">
    <format dxfId="34">
      <pivotArea type="all" dataOnly="0" outline="0" fieldPosition="0"/>
    </format>
    <format dxfId="33">
      <pivotArea outline="0" collapsedLevelsAreSubtotals="1" fieldPosition="0"/>
    </format>
    <format dxfId="32">
      <pivotArea field="3" type="button" dataOnly="0" labelOnly="1" outline="0" axis="axisRow" fieldPosition="0"/>
    </format>
    <format dxfId="31">
      <pivotArea dataOnly="0" labelOnly="1" outline="0" axis="axisValues" fieldPosition="0"/>
    </format>
    <format dxfId="30">
      <pivotArea dataOnly="0" labelOnly="1" fieldPosition="0">
        <references count="1">
          <reference field="3" count="0"/>
        </references>
      </pivotArea>
    </format>
    <format dxfId="29">
      <pivotArea dataOnly="0" labelOnly="1" grandRow="1" outline="0" fieldPosition="0"/>
    </format>
    <format dxfId="28">
      <pivotArea dataOnly="0" labelOnly="1" outline="0" axis="axisValues" fieldPosition="0"/>
    </format>
    <format dxfId="27">
      <pivotArea type="all" dataOnly="0" outline="0" fieldPosition="0"/>
    </format>
    <format dxfId="26">
      <pivotArea outline="0" collapsedLevelsAreSubtotals="1" fieldPosition="0"/>
    </format>
    <format dxfId="25">
      <pivotArea field="3" type="button" dataOnly="0" labelOnly="1" outline="0" axis="axisRow" fieldPosition="0"/>
    </format>
    <format dxfId="24">
      <pivotArea dataOnly="0" labelOnly="1" outline="0" axis="axisValues" fieldPosition="0"/>
    </format>
    <format dxfId="23">
      <pivotArea dataOnly="0" labelOnly="1" fieldPosition="0">
        <references count="1">
          <reference field="3" count="0"/>
        </references>
      </pivotArea>
    </format>
    <format dxfId="22">
      <pivotArea dataOnly="0" labelOnly="1" grandRow="1" outline="0" fieldPosition="0"/>
    </format>
    <format dxfId="21">
      <pivotArea dataOnly="0" labelOnly="1" outline="0" axis="axisValues" fieldPosition="0"/>
    </format>
    <format dxfId="20">
      <pivotArea type="all" dataOnly="0" outline="0" fieldPosition="0"/>
    </format>
    <format dxfId="19">
      <pivotArea outline="0" collapsedLevelsAreSubtotals="1" fieldPosition="0"/>
    </format>
    <format dxfId="18">
      <pivotArea field="3" type="button" dataOnly="0" labelOnly="1" outline="0" axis="axisRow" fieldPosition="0"/>
    </format>
    <format dxfId="17">
      <pivotArea dataOnly="0" labelOnly="1" outline="0" axis="axisValues" fieldPosition="0"/>
    </format>
    <format dxfId="16">
      <pivotArea dataOnly="0" labelOnly="1" fieldPosition="0">
        <references count="1">
          <reference field="3" count="0"/>
        </references>
      </pivotArea>
    </format>
    <format dxfId="15">
      <pivotArea dataOnly="0" labelOnly="1" grandRow="1" outline="0"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field="3" type="button" dataOnly="0" labelOnly="1" outline="0" axis="axisRow" fieldPosition="0"/>
    </format>
    <format dxfId="10">
      <pivotArea dataOnly="0" labelOnly="1" outline="0" axis="axisValues" fieldPosition="0"/>
    </format>
    <format dxfId="9">
      <pivotArea dataOnly="0" labelOnly="1" fieldPosition="0">
        <references count="1">
          <reference field="3" count="0"/>
        </references>
      </pivotArea>
    </format>
    <format dxfId="8">
      <pivotArea dataOnly="0" labelOnly="1" grandRow="1" outline="0" fieldPosition="0"/>
    </format>
    <format dxfId="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Firm Size">
  <location ref="J66:K75" firstHeaderRow="1" firstDataRow="1" firstDataCol="1"/>
  <pivotFields count="7">
    <pivotField showAll="0"/>
    <pivotField axis="axisRow" showAll="0">
      <items count="9">
        <item x="0"/>
        <item x="1"/>
        <item x="2"/>
        <item x="3"/>
        <item x="4"/>
        <item x="5"/>
        <item x="6"/>
        <item x="7"/>
        <item t="default"/>
      </items>
    </pivotField>
    <pivotField numFmtId="1" showAll="0" defaultSubtotal="0"/>
    <pivotField showAll="0" defaultSubtotal="0"/>
    <pivotField showAll="0"/>
    <pivotField dataField="1" numFmtId="2" showAll="0" defaultSubtotal="0"/>
    <pivotField numFmtId="2" showAll="0"/>
  </pivotFields>
  <rowFields count="1">
    <field x="1"/>
  </rowFields>
  <rowItems count="9">
    <i>
      <x/>
    </i>
    <i>
      <x v="1"/>
    </i>
    <i>
      <x v="2"/>
    </i>
    <i>
      <x v="3"/>
    </i>
    <i>
      <x v="4"/>
    </i>
    <i>
      <x v="5"/>
    </i>
    <i>
      <x v="6"/>
    </i>
    <i>
      <x v="7"/>
    </i>
    <i t="grand">
      <x/>
    </i>
  </rowItems>
  <colItems count="1">
    <i/>
  </colItems>
  <dataFields count="1">
    <dataField name="Protected Counts (Agg.)" fld="5" baseField="0" baseItem="0"/>
  </dataFields>
  <formats count="28">
    <format dxfId="62">
      <pivotArea type="all" dataOnly="0" outline="0" fieldPosition="0"/>
    </format>
    <format dxfId="61">
      <pivotArea outline="0" collapsedLevelsAreSubtotals="1" fieldPosition="0"/>
    </format>
    <format dxfId="60">
      <pivotArea field="1" type="button" dataOnly="0" labelOnly="1" outline="0" axis="axisRow" fieldPosition="0"/>
    </format>
    <format dxfId="59">
      <pivotArea dataOnly="0" labelOnly="1" outline="0" axis="axisValues" fieldPosition="0"/>
    </format>
    <format dxfId="58">
      <pivotArea dataOnly="0" labelOnly="1" fieldPosition="0">
        <references count="1">
          <reference field="1" count="0"/>
        </references>
      </pivotArea>
    </format>
    <format dxfId="57">
      <pivotArea dataOnly="0" labelOnly="1" grandRow="1" outline="0" fieldPosition="0"/>
    </format>
    <format dxfId="56">
      <pivotArea dataOnly="0" labelOnly="1" outline="0" axis="axisValues" fieldPosition="0"/>
    </format>
    <format dxfId="55">
      <pivotArea type="all" dataOnly="0" outline="0" fieldPosition="0"/>
    </format>
    <format dxfId="54">
      <pivotArea outline="0" collapsedLevelsAreSubtotals="1" fieldPosition="0"/>
    </format>
    <format dxfId="53">
      <pivotArea field="1" type="button" dataOnly="0" labelOnly="1" outline="0" axis="axisRow" fieldPosition="0"/>
    </format>
    <format dxfId="52">
      <pivotArea dataOnly="0" labelOnly="1" outline="0" axis="axisValues" fieldPosition="0"/>
    </format>
    <format dxfId="51">
      <pivotArea dataOnly="0" labelOnly="1" fieldPosition="0">
        <references count="1">
          <reference field="1" count="0"/>
        </references>
      </pivotArea>
    </format>
    <format dxfId="50">
      <pivotArea dataOnly="0" labelOnly="1" grandRow="1" outline="0" fieldPosition="0"/>
    </format>
    <format dxfId="49">
      <pivotArea dataOnly="0" labelOnly="1" outline="0" axis="axisValues" fieldPosition="0"/>
    </format>
    <format dxfId="48">
      <pivotArea type="all" dataOnly="0" outline="0" fieldPosition="0"/>
    </format>
    <format dxfId="47">
      <pivotArea outline="0" collapsedLevelsAreSubtotals="1" fieldPosition="0"/>
    </format>
    <format dxfId="46">
      <pivotArea field="1" type="button" dataOnly="0" labelOnly="1" outline="0" axis="axisRow" fieldPosition="0"/>
    </format>
    <format dxfId="45">
      <pivotArea dataOnly="0" labelOnly="1" outline="0" axis="axisValues" fieldPosition="0"/>
    </format>
    <format dxfId="44">
      <pivotArea dataOnly="0" labelOnly="1" fieldPosition="0">
        <references count="1">
          <reference field="1" count="0"/>
        </references>
      </pivotArea>
    </format>
    <format dxfId="43">
      <pivotArea dataOnly="0" labelOnly="1" grandRow="1" outline="0" fieldPosition="0"/>
    </format>
    <format dxfId="42">
      <pivotArea dataOnly="0" labelOnly="1" outline="0" axis="axisValues" fieldPosition="0"/>
    </format>
    <format dxfId="41">
      <pivotArea type="all" dataOnly="0" outline="0" fieldPosition="0"/>
    </format>
    <format dxfId="40">
      <pivotArea outline="0" collapsedLevelsAreSubtotals="1" fieldPosition="0"/>
    </format>
    <format dxfId="39">
      <pivotArea field="1" type="button" dataOnly="0" labelOnly="1" outline="0" axis="axisRow" fieldPosition="0"/>
    </format>
    <format dxfId="38">
      <pivotArea dataOnly="0" labelOnly="1" outline="0" axis="axisValues" fieldPosition="0"/>
    </format>
    <format dxfId="37">
      <pivotArea dataOnly="0" labelOnly="1" fieldPosition="0">
        <references count="1">
          <reference field="1" count="0"/>
        </references>
      </pivotArea>
    </format>
    <format dxfId="36">
      <pivotArea dataOnly="0" labelOnly="1" grandRow="1" outline="0" fieldPosition="0"/>
    </format>
    <format dxfId="35">
      <pivotArea dataOnly="0" labelOnly="1" outline="0" axis="axisValues" fieldPosition="0"/>
    </format>
  </formats>
  <conditionalFormats count="1">
    <conditionalFormat priority="2">
      <pivotAreas count="1">
        <pivotArea type="data" collapsedLevelsAreSubtotals="1" fieldPosition="0">
          <references count="2">
            <reference field="4294967294" count="1" selected="0">
              <x v="0"/>
            </reference>
            <reference field="1" count="8">
              <x v="0"/>
              <x v="1"/>
              <x v="2"/>
              <x v="3"/>
              <x v="4"/>
              <x v="5"/>
              <x v="6"/>
              <x v="7"/>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Industry">
  <location ref="J55:K61" firstHeaderRow="1" firstDataRow="1" firstDataCol="1"/>
  <pivotFields count="7">
    <pivotField axis="axisRow" showAll="0">
      <items count="6">
        <item x="0"/>
        <item x="1"/>
        <item x="2"/>
        <item x="3"/>
        <item x="4"/>
        <item t="default"/>
      </items>
    </pivotField>
    <pivotField showAll="0"/>
    <pivotField numFmtId="1" showAll="0" defaultSubtotal="0"/>
    <pivotField showAll="0" defaultSubtotal="0"/>
    <pivotField showAll="0"/>
    <pivotField dataField="1" numFmtId="2" showAll="0" defaultSubtotal="0"/>
    <pivotField numFmtId="2" showAll="0"/>
  </pivotFields>
  <rowFields count="1">
    <field x="0"/>
  </rowFields>
  <rowItems count="6">
    <i>
      <x/>
    </i>
    <i>
      <x v="1"/>
    </i>
    <i>
      <x v="2"/>
    </i>
    <i>
      <x v="3"/>
    </i>
    <i>
      <x v="4"/>
    </i>
    <i t="grand">
      <x/>
    </i>
  </rowItems>
  <colItems count="1">
    <i/>
  </colItems>
  <dataFields count="1">
    <dataField name="Protected Counts (Agg.)" fld="5" baseField="0" baseItem="0"/>
  </dataFields>
  <formats count="28">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outline="0" axis="axisValues" fieldPosition="0"/>
    </format>
    <format dxfId="86">
      <pivotArea dataOnly="0" labelOnly="1" fieldPosition="0">
        <references count="1">
          <reference field="0" count="0"/>
        </references>
      </pivotArea>
    </format>
    <format dxfId="85">
      <pivotArea dataOnly="0" labelOnly="1" grandRow="1" outline="0" fieldPosition="0"/>
    </format>
    <format dxfId="84">
      <pivotArea dataOnly="0" labelOnly="1" outline="0" axis="axisValues" fieldPosition="0"/>
    </format>
    <format dxfId="83">
      <pivotArea type="all" dataOnly="0" outline="0" fieldPosition="0"/>
    </format>
    <format dxfId="82">
      <pivotArea outline="0" collapsedLevelsAreSubtotals="1" fieldPosition="0"/>
    </format>
    <format dxfId="81">
      <pivotArea field="0" type="button" dataOnly="0" labelOnly="1" outline="0" axis="axisRow" fieldPosition="0"/>
    </format>
    <format dxfId="80">
      <pivotArea dataOnly="0" labelOnly="1" outline="0" axis="axisValues" fieldPosition="0"/>
    </format>
    <format dxfId="79">
      <pivotArea dataOnly="0" labelOnly="1" fieldPosition="0">
        <references count="1">
          <reference field="0" count="0"/>
        </references>
      </pivotArea>
    </format>
    <format dxfId="78">
      <pivotArea dataOnly="0" labelOnly="1" grandRow="1" outline="0" fieldPosition="0"/>
    </format>
    <format dxfId="77">
      <pivotArea dataOnly="0" labelOnly="1" outline="0" axis="axisValues" fieldPosition="0"/>
    </format>
    <format dxfId="76">
      <pivotArea type="all" dataOnly="0" outline="0" fieldPosition="0"/>
    </format>
    <format dxfId="75">
      <pivotArea outline="0" collapsedLevelsAreSubtotals="1" fieldPosition="0"/>
    </format>
    <format dxfId="74">
      <pivotArea field="0" type="button" dataOnly="0" labelOnly="1" outline="0" axis="axisRow" fieldPosition="0"/>
    </format>
    <format dxfId="73">
      <pivotArea dataOnly="0" labelOnly="1" outline="0" axis="axisValues" fieldPosition="0"/>
    </format>
    <format dxfId="72">
      <pivotArea dataOnly="0" labelOnly="1" fieldPosition="0">
        <references count="1">
          <reference field="0" count="0"/>
        </references>
      </pivotArea>
    </format>
    <format dxfId="71">
      <pivotArea dataOnly="0" labelOnly="1" grandRow="1" outline="0" fieldPosition="0"/>
    </format>
    <format dxfId="70">
      <pivotArea dataOnly="0" labelOnly="1" outline="0" axis="axisValues" fieldPosition="0"/>
    </format>
    <format dxfId="69">
      <pivotArea type="all" dataOnly="0" outline="0" fieldPosition="0"/>
    </format>
    <format dxfId="68">
      <pivotArea outline="0" collapsedLevelsAreSubtotals="1" fieldPosition="0"/>
    </format>
    <format dxfId="67">
      <pivotArea field="0" type="button" dataOnly="0" labelOnly="1" outline="0" axis="axisRow" fieldPosition="0"/>
    </format>
    <format dxfId="66">
      <pivotArea dataOnly="0" labelOnly="1" outline="0" axis="axisValues" fieldPosition="0"/>
    </format>
    <format dxfId="65">
      <pivotArea dataOnly="0" labelOnly="1" fieldPosition="0">
        <references count="1">
          <reference field="0" count="0"/>
        </references>
      </pivotArea>
    </format>
    <format dxfId="64">
      <pivotArea dataOnly="0" labelOnly="1" grandRow="1" outline="0" fieldPosition="0"/>
    </format>
    <format dxfId="63">
      <pivotArea dataOnly="0" labelOnly="1" outline="0" axis="axisValues" fieldPosition="0"/>
    </format>
  </formats>
  <conditionalFormats count="1">
    <conditionalFormat priority="3">
      <pivotAreas count="1">
        <pivotArea type="data" collapsedLevelsAreSubtotals="1" fieldPosition="0">
          <references count="2">
            <reference field="4294967294" count="1" selected="0">
              <x v="0"/>
            </reference>
            <reference field="0" count="5">
              <x v="0"/>
              <x v="1"/>
              <x v="2"/>
              <x v="3"/>
              <x v="4"/>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0"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Firm Size">
  <location ref="A29:B38" firstHeaderRow="1" firstDataRow="1" firstDataCol="1"/>
  <pivotFields count="6">
    <pivotField showAll="0"/>
    <pivotField showAll="0"/>
    <pivotField showAll="0"/>
    <pivotField showAll="0"/>
    <pivotField showAll="0"/>
    <pivotField axis="axisRow" dataField="1" showAll="0">
      <items count="9">
        <item x="0"/>
        <item x="7"/>
        <item x="6"/>
        <item x="3"/>
        <item x="5"/>
        <item x="1"/>
        <item x="4"/>
        <item x="2"/>
        <item t="default"/>
      </items>
    </pivotField>
  </pivotFields>
  <rowFields count="1">
    <field x="5"/>
  </rowFields>
  <rowItems count="9">
    <i>
      <x/>
    </i>
    <i>
      <x v="1"/>
    </i>
    <i>
      <x v="2"/>
    </i>
    <i>
      <x v="3"/>
    </i>
    <i>
      <x v="4"/>
    </i>
    <i>
      <x v="5"/>
    </i>
    <i>
      <x v="6"/>
    </i>
    <i>
      <x v="7"/>
    </i>
    <i t="grand">
      <x/>
    </i>
  </rowItems>
  <colItems count="1">
    <i/>
  </colItems>
  <dataFields count="1">
    <dataField name="Unprotected Firm Count" fld="5" subtotal="count" baseField="5" baseItem="0"/>
  </dataFields>
  <formats count="28">
    <format dxfId="118">
      <pivotArea type="all" dataOnly="0" outline="0" fieldPosition="0"/>
    </format>
    <format dxfId="117">
      <pivotArea outline="0" collapsedLevelsAreSubtotals="1" fieldPosition="0"/>
    </format>
    <format dxfId="116">
      <pivotArea field="5" type="button" dataOnly="0" labelOnly="1" outline="0" axis="axisRow" fieldPosition="0"/>
    </format>
    <format dxfId="115">
      <pivotArea dataOnly="0" labelOnly="1" outline="0" axis="axisValues" fieldPosition="0"/>
    </format>
    <format dxfId="114">
      <pivotArea dataOnly="0" labelOnly="1" fieldPosition="0">
        <references count="1">
          <reference field="5" count="0"/>
        </references>
      </pivotArea>
    </format>
    <format dxfId="113">
      <pivotArea dataOnly="0" labelOnly="1" grandRow="1" outline="0" fieldPosition="0"/>
    </format>
    <format dxfId="112">
      <pivotArea dataOnly="0" labelOnly="1" outline="0" axis="axisValues" fieldPosition="0"/>
    </format>
    <format dxfId="111">
      <pivotArea type="all" dataOnly="0" outline="0" fieldPosition="0"/>
    </format>
    <format dxfId="110">
      <pivotArea outline="0" collapsedLevelsAreSubtotals="1" fieldPosition="0"/>
    </format>
    <format dxfId="109">
      <pivotArea field="5" type="button" dataOnly="0" labelOnly="1" outline="0" axis="axisRow" fieldPosition="0"/>
    </format>
    <format dxfId="108">
      <pivotArea dataOnly="0" labelOnly="1" outline="0" axis="axisValues" fieldPosition="0"/>
    </format>
    <format dxfId="107">
      <pivotArea dataOnly="0" labelOnly="1" fieldPosition="0">
        <references count="1">
          <reference field="5" count="0"/>
        </references>
      </pivotArea>
    </format>
    <format dxfId="106">
      <pivotArea dataOnly="0" labelOnly="1" grandRow="1" outline="0" fieldPosition="0"/>
    </format>
    <format dxfId="105">
      <pivotArea dataOnly="0" labelOnly="1" outline="0" axis="axisValues" fieldPosition="0"/>
    </format>
    <format dxfId="104">
      <pivotArea type="all" dataOnly="0" outline="0" fieldPosition="0"/>
    </format>
    <format dxfId="103">
      <pivotArea outline="0" collapsedLevelsAreSubtotals="1" fieldPosition="0"/>
    </format>
    <format dxfId="102">
      <pivotArea field="5" type="button" dataOnly="0" labelOnly="1" outline="0" axis="axisRow" fieldPosition="0"/>
    </format>
    <format dxfId="101">
      <pivotArea dataOnly="0" labelOnly="1" outline="0" axis="axisValues" fieldPosition="0"/>
    </format>
    <format dxfId="100">
      <pivotArea dataOnly="0" labelOnly="1" fieldPosition="0">
        <references count="1">
          <reference field="5" count="0"/>
        </references>
      </pivotArea>
    </format>
    <format dxfId="99">
      <pivotArea dataOnly="0" labelOnly="1" grandRow="1" outline="0" fieldPosition="0"/>
    </format>
    <format dxfId="98">
      <pivotArea dataOnly="0" labelOnly="1" outline="0" axis="axisValues" fieldPosition="0"/>
    </format>
    <format dxfId="97">
      <pivotArea type="all" dataOnly="0" outline="0" fieldPosition="0"/>
    </format>
    <format dxfId="96">
      <pivotArea outline="0" collapsedLevelsAreSubtotals="1" fieldPosition="0"/>
    </format>
    <format dxfId="95">
      <pivotArea field="5" type="button" dataOnly="0" labelOnly="1" outline="0" axis="axisRow" fieldPosition="0"/>
    </format>
    <format dxfId="94">
      <pivotArea dataOnly="0" labelOnly="1" outline="0" axis="axisValues" fieldPosition="0"/>
    </format>
    <format dxfId="93">
      <pivotArea dataOnly="0" labelOnly="1" fieldPosition="0">
        <references count="1">
          <reference field="5" count="0"/>
        </references>
      </pivotArea>
    </format>
    <format dxfId="92">
      <pivotArea dataOnly="0" labelOnly="1" grandRow="1" outline="0" fieldPosition="0"/>
    </format>
    <format dxfId="91">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8" cacheId="1"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rowHeaderCaption="Industry">
  <location ref="A55:C96" firstHeaderRow="1" firstDataRow="1" firstDataCol="2"/>
  <pivotFields count="6">
    <pivotField showAll="0"/>
    <pivotField showAll="0"/>
    <pivotField showAll="0"/>
    <pivotField axis="axisRow" outline="0" defaultSubtotal="0">
      <items count="5">
        <item x="4"/>
        <item x="3"/>
        <item x="1"/>
        <item x="0"/>
        <item x="2"/>
      </items>
      <extLst>
        <ext xmlns:x14="http://schemas.microsoft.com/office/spreadsheetml/2009/9/main" uri="{2946ED86-A175-432a-8AC1-64E0C546D7DE}">
          <x14:pivotField fillDownLabels="1"/>
        </ext>
      </extLst>
    </pivotField>
    <pivotField showAll="0"/>
    <pivotField axis="axisRow" dataField="1" outline="0" defaultSubtotal="0">
      <items count="8">
        <item x="0"/>
        <item x="7"/>
        <item x="6"/>
        <item x="3"/>
        <item x="5"/>
        <item x="1"/>
        <item x="4"/>
        <item x="2"/>
      </items>
    </pivotField>
  </pivotFields>
  <rowFields count="2">
    <field x="3"/>
    <field x="5"/>
  </rowFields>
  <rowItems count="41">
    <i>
      <x/>
      <x/>
    </i>
    <i r="1">
      <x v="1"/>
    </i>
    <i r="1">
      <x v="2"/>
    </i>
    <i r="1">
      <x v="3"/>
    </i>
    <i r="1">
      <x v="4"/>
    </i>
    <i r="1">
      <x v="5"/>
    </i>
    <i r="1">
      <x v="6"/>
    </i>
    <i r="1">
      <x v="7"/>
    </i>
    <i>
      <x v="1"/>
      <x/>
    </i>
    <i r="1">
      <x v="1"/>
    </i>
    <i r="1">
      <x v="2"/>
    </i>
    <i r="1">
      <x v="3"/>
    </i>
    <i r="1">
      <x v="4"/>
    </i>
    <i r="1">
      <x v="5"/>
    </i>
    <i r="1">
      <x v="6"/>
    </i>
    <i r="1">
      <x v="7"/>
    </i>
    <i>
      <x v="2"/>
      <x/>
    </i>
    <i r="1">
      <x v="1"/>
    </i>
    <i r="1">
      <x v="2"/>
    </i>
    <i r="1">
      <x v="3"/>
    </i>
    <i r="1">
      <x v="4"/>
    </i>
    <i r="1">
      <x v="5"/>
    </i>
    <i r="1">
      <x v="6"/>
    </i>
    <i r="1">
      <x v="7"/>
    </i>
    <i>
      <x v="3"/>
      <x/>
    </i>
    <i r="1">
      <x v="1"/>
    </i>
    <i r="1">
      <x v="2"/>
    </i>
    <i r="1">
      <x v="3"/>
    </i>
    <i r="1">
      <x v="4"/>
    </i>
    <i r="1">
      <x v="5"/>
    </i>
    <i r="1">
      <x v="6"/>
    </i>
    <i r="1">
      <x v="7"/>
    </i>
    <i>
      <x v="4"/>
      <x/>
    </i>
    <i r="1">
      <x v="1"/>
    </i>
    <i r="1">
      <x v="2"/>
    </i>
    <i r="1">
      <x v="3"/>
    </i>
    <i r="1">
      <x v="4"/>
    </i>
    <i r="1">
      <x v="5"/>
    </i>
    <i r="1">
      <x v="6"/>
    </i>
    <i r="1">
      <x v="7"/>
    </i>
    <i t="grand">
      <x/>
    </i>
  </rowItems>
  <colItems count="1">
    <i/>
  </colItems>
  <dataFields count="1">
    <dataField name="Unprotected Firm Count" fld="5" subtotal="count" baseField="3" baseItem="0" numFmtId="1"/>
  </dataFields>
  <formats count="52">
    <format dxfId="170">
      <pivotArea type="all" dataOnly="0" outline="0" fieldPosition="0"/>
    </format>
    <format dxfId="169">
      <pivotArea outline="0" collapsedLevelsAreSubtotals="1" fieldPosition="0"/>
    </format>
    <format dxfId="168">
      <pivotArea field="3" type="button" dataOnly="0" labelOnly="1" outline="0" axis="axisRow" fieldPosition="0"/>
    </format>
    <format dxfId="167">
      <pivotArea field="5" type="button" dataOnly="0" labelOnly="1" outline="0" axis="axisRow" fieldPosition="1"/>
    </format>
    <format dxfId="166">
      <pivotArea dataOnly="0" labelOnly="1" outline="0" axis="axisValues" fieldPosition="0"/>
    </format>
    <format dxfId="165">
      <pivotArea dataOnly="0" labelOnly="1" fieldPosition="0">
        <references count="1">
          <reference field="3" count="0"/>
        </references>
      </pivotArea>
    </format>
    <format dxfId="164">
      <pivotArea dataOnly="0" labelOnly="1" grandRow="1" outline="0" fieldPosition="0"/>
    </format>
    <format dxfId="163">
      <pivotArea dataOnly="0" labelOnly="1" fieldPosition="0">
        <references count="2">
          <reference field="3" count="1" selected="0">
            <x v="0"/>
          </reference>
          <reference field="5" count="0"/>
        </references>
      </pivotArea>
    </format>
    <format dxfId="162">
      <pivotArea dataOnly="0" labelOnly="1" fieldPosition="0">
        <references count="2">
          <reference field="3" count="1" selected="0">
            <x v="1"/>
          </reference>
          <reference field="5" count="0"/>
        </references>
      </pivotArea>
    </format>
    <format dxfId="161">
      <pivotArea dataOnly="0" labelOnly="1" fieldPosition="0">
        <references count="2">
          <reference field="3" count="1" selected="0">
            <x v="2"/>
          </reference>
          <reference field="5" count="0"/>
        </references>
      </pivotArea>
    </format>
    <format dxfId="160">
      <pivotArea dataOnly="0" labelOnly="1" fieldPosition="0">
        <references count="2">
          <reference field="3" count="1" selected="0">
            <x v="3"/>
          </reference>
          <reference field="5" count="0"/>
        </references>
      </pivotArea>
    </format>
    <format dxfId="159">
      <pivotArea dataOnly="0" labelOnly="1" fieldPosition="0">
        <references count="2">
          <reference field="3" count="1" selected="0">
            <x v="4"/>
          </reference>
          <reference field="5" count="0"/>
        </references>
      </pivotArea>
    </format>
    <format dxfId="158">
      <pivotArea dataOnly="0" labelOnly="1" outline="0" axis="axisValues" fieldPosition="0"/>
    </format>
    <format dxfId="157">
      <pivotArea type="all" dataOnly="0" outline="0" fieldPosition="0"/>
    </format>
    <format dxfId="156">
      <pivotArea outline="0" collapsedLevelsAreSubtotals="1" fieldPosition="0"/>
    </format>
    <format dxfId="155">
      <pivotArea field="3" type="button" dataOnly="0" labelOnly="1" outline="0" axis="axisRow" fieldPosition="0"/>
    </format>
    <format dxfId="154">
      <pivotArea field="5" type="button" dataOnly="0" labelOnly="1" outline="0" axis="axisRow" fieldPosition="1"/>
    </format>
    <format dxfId="153">
      <pivotArea dataOnly="0" labelOnly="1" outline="0" axis="axisValues" fieldPosition="0"/>
    </format>
    <format dxfId="152">
      <pivotArea dataOnly="0" labelOnly="1" fieldPosition="0">
        <references count="1">
          <reference field="3" count="0"/>
        </references>
      </pivotArea>
    </format>
    <format dxfId="151">
      <pivotArea dataOnly="0" labelOnly="1" grandRow="1" outline="0" fieldPosition="0"/>
    </format>
    <format dxfId="150">
      <pivotArea dataOnly="0" labelOnly="1" fieldPosition="0">
        <references count="2">
          <reference field="3" count="1" selected="0">
            <x v="0"/>
          </reference>
          <reference field="5" count="0"/>
        </references>
      </pivotArea>
    </format>
    <format dxfId="149">
      <pivotArea dataOnly="0" labelOnly="1" fieldPosition="0">
        <references count="2">
          <reference field="3" count="1" selected="0">
            <x v="1"/>
          </reference>
          <reference field="5" count="0"/>
        </references>
      </pivotArea>
    </format>
    <format dxfId="148">
      <pivotArea dataOnly="0" labelOnly="1" fieldPosition="0">
        <references count="2">
          <reference field="3" count="1" selected="0">
            <x v="2"/>
          </reference>
          <reference field="5" count="0"/>
        </references>
      </pivotArea>
    </format>
    <format dxfId="147">
      <pivotArea dataOnly="0" labelOnly="1" fieldPosition="0">
        <references count="2">
          <reference field="3" count="1" selected="0">
            <x v="3"/>
          </reference>
          <reference field="5" count="0"/>
        </references>
      </pivotArea>
    </format>
    <format dxfId="146">
      <pivotArea dataOnly="0" labelOnly="1" fieldPosition="0">
        <references count="2">
          <reference field="3" count="1" selected="0">
            <x v="4"/>
          </reference>
          <reference field="5" count="0"/>
        </references>
      </pivotArea>
    </format>
    <format dxfId="145">
      <pivotArea dataOnly="0" labelOnly="1" outline="0" axis="axisValues" fieldPosition="0"/>
    </format>
    <format dxfId="144">
      <pivotArea type="all" dataOnly="0" outline="0" fieldPosition="0"/>
    </format>
    <format dxfId="143">
      <pivotArea outline="0" collapsedLevelsAreSubtotals="1" fieldPosition="0"/>
    </format>
    <format dxfId="142">
      <pivotArea field="3" type="button" dataOnly="0" labelOnly="1" outline="0" axis="axisRow" fieldPosition="0"/>
    </format>
    <format dxfId="141">
      <pivotArea field="5" type="button" dataOnly="0" labelOnly="1" outline="0" axis="axisRow" fieldPosition="1"/>
    </format>
    <format dxfId="140">
      <pivotArea dataOnly="0" labelOnly="1" outline="0" axis="axisValues" fieldPosition="0"/>
    </format>
    <format dxfId="139">
      <pivotArea dataOnly="0" labelOnly="1" fieldPosition="0">
        <references count="1">
          <reference field="3" count="0"/>
        </references>
      </pivotArea>
    </format>
    <format dxfId="138">
      <pivotArea dataOnly="0" labelOnly="1" grandRow="1" outline="0" fieldPosition="0"/>
    </format>
    <format dxfId="137">
      <pivotArea dataOnly="0" labelOnly="1" fieldPosition="0">
        <references count="2">
          <reference field="3" count="1" selected="0">
            <x v="0"/>
          </reference>
          <reference field="5" count="0"/>
        </references>
      </pivotArea>
    </format>
    <format dxfId="136">
      <pivotArea dataOnly="0" labelOnly="1" fieldPosition="0">
        <references count="2">
          <reference field="3" count="1" selected="0">
            <x v="1"/>
          </reference>
          <reference field="5" count="0"/>
        </references>
      </pivotArea>
    </format>
    <format dxfId="135">
      <pivotArea dataOnly="0" labelOnly="1" fieldPosition="0">
        <references count="2">
          <reference field="3" count="1" selected="0">
            <x v="2"/>
          </reference>
          <reference field="5" count="0"/>
        </references>
      </pivotArea>
    </format>
    <format dxfId="134">
      <pivotArea dataOnly="0" labelOnly="1" fieldPosition="0">
        <references count="2">
          <reference field="3" count="1" selected="0">
            <x v="3"/>
          </reference>
          <reference field="5" count="0"/>
        </references>
      </pivotArea>
    </format>
    <format dxfId="133">
      <pivotArea dataOnly="0" labelOnly="1" fieldPosition="0">
        <references count="2">
          <reference field="3" count="1" selected="0">
            <x v="4"/>
          </reference>
          <reference field="5" count="0"/>
        </references>
      </pivotArea>
    </format>
    <format dxfId="132">
      <pivotArea dataOnly="0" labelOnly="1" outline="0" axis="axisValues" fieldPosition="0"/>
    </format>
    <format dxfId="131">
      <pivotArea type="all" dataOnly="0" outline="0" fieldPosition="0"/>
    </format>
    <format dxfId="130">
      <pivotArea outline="0" collapsedLevelsAreSubtotals="1" fieldPosition="0"/>
    </format>
    <format dxfId="129">
      <pivotArea field="3" type="button" dataOnly="0" labelOnly="1" outline="0" axis="axisRow" fieldPosition="0"/>
    </format>
    <format dxfId="128">
      <pivotArea field="5" type="button" dataOnly="0" labelOnly="1" outline="0" axis="axisRow" fieldPosition="1"/>
    </format>
    <format dxfId="127">
      <pivotArea dataOnly="0" labelOnly="1" outline="0" axis="axisValues" fieldPosition="0"/>
    </format>
    <format dxfId="126">
      <pivotArea dataOnly="0" labelOnly="1" fieldPosition="0">
        <references count="1">
          <reference field="3" count="0"/>
        </references>
      </pivotArea>
    </format>
    <format dxfId="125">
      <pivotArea dataOnly="0" labelOnly="1" grandRow="1" outline="0" fieldPosition="0"/>
    </format>
    <format dxfId="124">
      <pivotArea dataOnly="0" labelOnly="1" fieldPosition="0">
        <references count="2">
          <reference field="3" count="1" selected="0">
            <x v="0"/>
          </reference>
          <reference field="5" count="0"/>
        </references>
      </pivotArea>
    </format>
    <format dxfId="123">
      <pivotArea dataOnly="0" labelOnly="1" fieldPosition="0">
        <references count="2">
          <reference field="3" count="1" selected="0">
            <x v="1"/>
          </reference>
          <reference field="5" count="0"/>
        </references>
      </pivotArea>
    </format>
    <format dxfId="122">
      <pivotArea dataOnly="0" labelOnly="1" fieldPosition="0">
        <references count="2">
          <reference field="3" count="1" selected="0">
            <x v="2"/>
          </reference>
          <reference field="5" count="0"/>
        </references>
      </pivotArea>
    </format>
    <format dxfId="121">
      <pivotArea dataOnly="0" labelOnly="1" fieldPosition="0">
        <references count="2">
          <reference field="3" count="1" selected="0">
            <x v="3"/>
          </reference>
          <reference field="5" count="0"/>
        </references>
      </pivotArea>
    </format>
    <format dxfId="120">
      <pivotArea dataOnly="0" labelOnly="1" fieldPosition="0">
        <references count="2">
          <reference field="3" count="1" selected="0">
            <x v="4"/>
          </reference>
          <reference field="5" count="0"/>
        </references>
      </pivotArea>
    </format>
    <format dxfId="11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Firm Size">
  <location ref="A65:B74" firstHeaderRow="1" firstDataRow="1" firstDataCol="1"/>
  <pivotFields count="6">
    <pivotField showAll="0"/>
    <pivotField showAll="0"/>
    <pivotField dataField="1" showAll="0"/>
    <pivotField showAll="0"/>
    <pivotField showAll="0"/>
    <pivotField axis="axisRow" showAll="0">
      <items count="9">
        <item x="0"/>
        <item x="7"/>
        <item x="6"/>
        <item x="3"/>
        <item x="5"/>
        <item x="1"/>
        <item x="4"/>
        <item x="2"/>
        <item t="default"/>
      </items>
    </pivotField>
  </pivotFields>
  <rowFields count="1">
    <field x="5"/>
  </rowFields>
  <rowItems count="9">
    <i>
      <x/>
    </i>
    <i>
      <x v="1"/>
    </i>
    <i>
      <x v="2"/>
    </i>
    <i>
      <x v="3"/>
    </i>
    <i>
      <x v="4"/>
    </i>
    <i>
      <x v="5"/>
    </i>
    <i>
      <x v="6"/>
    </i>
    <i>
      <x v="7"/>
    </i>
    <i t="grand">
      <x/>
    </i>
  </rowItems>
  <colItems count="1">
    <i/>
  </colItems>
  <dataFields count="1">
    <dataField name="Unprotected Emp. C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Geography">
  <location ref="A24:B45" firstHeaderRow="1" firstDataRow="1" firstDataCol="1"/>
  <pivotFields count="6">
    <pivotField showAll="0"/>
    <pivotField showAll="0"/>
    <pivotField dataField="1" showAll="0"/>
    <pivotField showAll="0"/>
    <pivotField axis="axisRow" showAll="0">
      <items count="21">
        <item x="1"/>
        <item x="8"/>
        <item x="5"/>
        <item x="12"/>
        <item x="7"/>
        <item x="0"/>
        <item x="6"/>
        <item x="4"/>
        <item x="11"/>
        <item x="16"/>
        <item x="10"/>
        <item x="17"/>
        <item x="9"/>
        <item x="14"/>
        <item x="19"/>
        <item x="13"/>
        <item x="2"/>
        <item x="15"/>
        <item x="18"/>
        <item x="3"/>
        <item t="default"/>
      </items>
    </pivotField>
    <pivotField showAll="0"/>
  </pivotFields>
  <rowFields count="1">
    <field x="4"/>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Unprotected Emp. Count"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Firm Size">
  <location ref="A52:C61" firstHeaderRow="0" firstDataRow="1" firstDataCol="1"/>
  <pivotFields count="6">
    <pivotField showAll="0"/>
    <pivotField showAll="0"/>
    <pivotField dataField="1" showAll="0"/>
    <pivotField showAll="0"/>
    <pivotField showAll="0"/>
    <pivotField axis="axisRow" showAll="0">
      <items count="9">
        <item x="0"/>
        <item x="7"/>
        <item x="6"/>
        <item x="3"/>
        <item x="5"/>
        <item x="1"/>
        <item x="4"/>
        <item x="2"/>
        <item t="default"/>
      </items>
    </pivotField>
  </pivotFields>
  <rowFields count="1">
    <field x="5"/>
  </rowFields>
  <rowItems count="9">
    <i>
      <x/>
    </i>
    <i>
      <x v="1"/>
    </i>
    <i>
      <x v="2"/>
    </i>
    <i>
      <x v="3"/>
    </i>
    <i>
      <x v="4"/>
    </i>
    <i>
      <x v="5"/>
    </i>
    <i>
      <x v="6"/>
    </i>
    <i>
      <x v="7"/>
    </i>
    <i t="grand">
      <x/>
    </i>
  </rowItems>
  <colFields count="1">
    <field x="-2"/>
  </colFields>
  <colItems count="2">
    <i>
      <x/>
    </i>
    <i i="1">
      <x v="1"/>
    </i>
  </colItems>
  <dataFields count="2">
    <dataField name="Unprotected Emp. Count" fld="2" baseField="0" baseItem="0"/>
    <dataField name="Max Firm Employment" fld="2" subtotal="max"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rowHeaderCaption="Geography">
  <location ref="A26:C47" firstHeaderRow="0" firstDataRow="1" firstDataCol="1"/>
  <pivotFields count="6">
    <pivotField showAll="0"/>
    <pivotField showAll="0"/>
    <pivotField dataField="1" showAll="0"/>
    <pivotField showAll="0"/>
    <pivotField axis="axisRow" showAll="0">
      <items count="21">
        <item x="1"/>
        <item x="8"/>
        <item x="5"/>
        <item x="12"/>
        <item x="7"/>
        <item x="0"/>
        <item x="6"/>
        <item x="4"/>
        <item x="11"/>
        <item x="16"/>
        <item x="10"/>
        <item x="17"/>
        <item x="9"/>
        <item x="14"/>
        <item x="19"/>
        <item x="13"/>
        <item x="2"/>
        <item x="15"/>
        <item x="18"/>
        <item x="3"/>
        <item t="default"/>
      </items>
    </pivotField>
    <pivotField showAll="0"/>
  </pivotFields>
  <rowFields count="1">
    <field x="4"/>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2">
    <i>
      <x/>
    </i>
    <i i="1">
      <x v="1"/>
    </i>
  </colItems>
  <dataFields count="2">
    <dataField name="Unprotected Emp. Count" fld="2" baseField="0" baseItem="0"/>
    <dataField name="Max Firm Employment" fld="2" subtotal="max"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3.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rinterSettings" Target="../printerSettings/printerSettings4.bin"/><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13.xml"/><Relationship Id="rId1" Type="http://schemas.openxmlformats.org/officeDocument/2006/relationships/pivotTable" Target="../pivotTables/pivotTable12.xm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5.xml"/><Relationship Id="rId1" Type="http://schemas.openxmlformats.org/officeDocument/2006/relationships/pivotTable" Target="../pivotTables/pivotTable14.xml"/><Relationship Id="rId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P35" sqref="P35"/>
    </sheetView>
  </sheetViews>
  <sheetFormatPr defaultRowHeight="14.4" x14ac:dyDescent="0.3"/>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001"/>
  <sheetViews>
    <sheetView workbookViewId="0">
      <selection activeCell="B28" sqref="B28"/>
    </sheetView>
  </sheetViews>
  <sheetFormatPr defaultRowHeight="14.4" x14ac:dyDescent="0.3"/>
  <cols>
    <col min="1" max="1" width="17.109375" customWidth="1"/>
    <col min="2" max="2" width="17.44140625" customWidth="1"/>
    <col min="3" max="4" width="18.88671875" customWidth="1"/>
    <col min="5" max="5" width="6.88671875" customWidth="1"/>
    <col min="6" max="6" width="3.88671875" customWidth="1"/>
  </cols>
  <sheetData>
    <row r="1" spans="1:17" ht="30" customHeight="1" x14ac:dyDescent="0.3">
      <c r="A1" s="48" t="s">
        <v>295</v>
      </c>
      <c r="B1" s="48" t="str">
        <f>"Lap. Dist. Samples, Scale = "&amp;TEXT(F1,"0")</f>
        <v>Lap. Dist. Samples, Scale = 1</v>
      </c>
      <c r="C1" s="48" t="s">
        <v>296</v>
      </c>
      <c r="D1" s="48" t="s">
        <v>297</v>
      </c>
      <c r="E1" s="34" t="s">
        <v>5</v>
      </c>
      <c r="F1" s="33">
        <v>1</v>
      </c>
    </row>
    <row r="2" spans="1:17" x14ac:dyDescent="0.3">
      <c r="A2">
        <f ca="1">RAND()</f>
        <v>0.28770931282475087</v>
      </c>
      <c r="B2">
        <f ca="1">-SIGN(0.5-A2)*LN(1-2*ABS(0.5-A2))*$F$1</f>
        <v>0.55265745847287007</v>
      </c>
      <c r="C2">
        <f ca="1">AVERAGE(B$2:B2)</f>
        <v>0.55265745847287007</v>
      </c>
      <c r="D2">
        <f ca="1">_xlfn.VAR.P(B$2:B2)</f>
        <v>0</v>
      </c>
      <c r="Q2" t="s">
        <v>6</v>
      </c>
    </row>
    <row r="3" spans="1:17" x14ac:dyDescent="0.3">
      <c r="A3">
        <f t="shared" ref="A3:A66" ca="1" si="0">RAND()</f>
        <v>0.596003534844742</v>
      </c>
      <c r="B3">
        <f t="shared" ref="B3:B66" ca="1" si="1">-SIGN(0.5-A3)*LN(1-2*ABS(0.5-A3))*$F$1</f>
        <v>-0.21320197011501779</v>
      </c>
      <c r="C3">
        <f ca="1">AVERAGE(B$2:B3)</f>
        <v>0.16972774417892614</v>
      </c>
      <c r="D3">
        <f ca="1">_xlfn.VAR.P(B$2:B3)</f>
        <v>0.14663516608924154</v>
      </c>
    </row>
    <row r="4" spans="1:17" x14ac:dyDescent="0.3">
      <c r="A4">
        <f t="shared" ca="1" si="0"/>
        <v>0.40159461249128747</v>
      </c>
      <c r="B4">
        <f t="shared" ca="1" si="1"/>
        <v>0.2191649452459917</v>
      </c>
      <c r="C4">
        <f ca="1">AVERAGE(B$2:B4)</f>
        <v>0.18620681120128132</v>
      </c>
      <c r="D4">
        <f ca="1">_xlfn.VAR.P(B$2:B4)</f>
        <v>9.8299896692682229E-2</v>
      </c>
    </row>
    <row r="5" spans="1:17" x14ac:dyDescent="0.3">
      <c r="A5">
        <f t="shared" ca="1" si="0"/>
        <v>0.31385275060807338</v>
      </c>
      <c r="B5">
        <f t="shared" ca="1" si="1"/>
        <v>0.46568416961206771</v>
      </c>
      <c r="C5">
        <f ca="1">AVERAGE(B$2:B5)</f>
        <v>0.25607615080397794</v>
      </c>
      <c r="D5">
        <f ca="1">_xlfn.VAR.P(B$2:B5)</f>
        <v>8.8370096369062498E-2</v>
      </c>
    </row>
    <row r="6" spans="1:17" x14ac:dyDescent="0.3">
      <c r="A6">
        <f t="shared" ca="1" si="0"/>
        <v>0.71163871894799879</v>
      </c>
      <c r="B6">
        <f t="shared" ca="1" si="1"/>
        <v>-0.55039395635163557</v>
      </c>
      <c r="C6">
        <f ca="1">AVERAGE(B$2:B6)</f>
        <v>9.4782129372855239E-2</v>
      </c>
      <c r="D6">
        <f ca="1">_xlfn.VAR.P(B$2:B6)</f>
        <v>0.1747591224929439</v>
      </c>
    </row>
    <row r="7" spans="1:17" x14ac:dyDescent="0.3">
      <c r="A7">
        <f t="shared" ca="1" si="0"/>
        <v>0.79060207475797206</v>
      </c>
      <c r="B7">
        <f t="shared" ca="1" si="1"/>
        <v>-0.87037170814358999</v>
      </c>
      <c r="C7">
        <f ca="1">AVERAGE(B$2:B7)</f>
        <v>-6.60768435465523E-2</v>
      </c>
      <c r="D7">
        <f ca="1">_xlfn.VAR.P(B$2:B7)</f>
        <v>0.2750106479208867</v>
      </c>
    </row>
    <row r="8" spans="1:17" x14ac:dyDescent="0.3">
      <c r="A8">
        <f t="shared" ca="1" si="0"/>
        <v>0.11362197654000417</v>
      </c>
      <c r="B8">
        <f t="shared" ca="1" si="1"/>
        <v>1.4817311553874517</v>
      </c>
      <c r="C8">
        <f ca="1">AVERAGE(B$2:B8)</f>
        <v>0.15503858487259112</v>
      </c>
      <c r="D8">
        <f ca="1">_xlfn.VAR.P(B$2:B8)</f>
        <v>0.52907560861350522</v>
      </c>
    </row>
    <row r="9" spans="1:17" x14ac:dyDescent="0.3">
      <c r="A9">
        <f t="shared" ca="1" si="0"/>
        <v>0.62085808324631875</v>
      </c>
      <c r="B9">
        <f t="shared" ca="1" si="1"/>
        <v>-0.27669751289145428</v>
      </c>
      <c r="C9">
        <f ca="1">AVERAGE(B$2:B9)</f>
        <v>0.10107157265208545</v>
      </c>
      <c r="D9">
        <f ca="1">_xlfn.VAR.P(B$2:B9)</f>
        <v>0.48332822639287454</v>
      </c>
    </row>
    <row r="10" spans="1:17" x14ac:dyDescent="0.3">
      <c r="A10">
        <f t="shared" ca="1" si="0"/>
        <v>0.34457277232962225</v>
      </c>
      <c r="B10">
        <f t="shared" ca="1" si="1"/>
        <v>0.37230278984228038</v>
      </c>
      <c r="C10">
        <f ca="1">AVERAGE(B$2:B10)</f>
        <v>0.1312083745621071</v>
      </c>
      <c r="D10">
        <f ca="1">_xlfn.VAR.P(B$2:B10)</f>
        <v>0.43689090476191073</v>
      </c>
    </row>
    <row r="11" spans="1:17" x14ac:dyDescent="0.3">
      <c r="A11">
        <f t="shared" ca="1" si="0"/>
        <v>0.26677361914003461</v>
      </c>
      <c r="B11">
        <f t="shared" ca="1" si="1"/>
        <v>0.62820766805502992</v>
      </c>
      <c r="C11">
        <f ca="1">AVERAGE(B$2:B11)</f>
        <v>0.18090830391139939</v>
      </c>
      <c r="D11">
        <f ca="1">_xlfn.VAR.P(B$2:B11)</f>
        <v>0.41543256108164145</v>
      </c>
    </row>
    <row r="12" spans="1:17" x14ac:dyDescent="0.3">
      <c r="A12">
        <f t="shared" ca="1" si="0"/>
        <v>0.45002549249909396</v>
      </c>
      <c r="B12">
        <f t="shared" ca="1" si="1"/>
        <v>0.10530386726439026</v>
      </c>
      <c r="C12">
        <f ca="1">AVERAGE(B$2:B12)</f>
        <v>0.17403517330712581</v>
      </c>
      <c r="D12">
        <f ca="1">_xlfn.VAR.P(B$2:B12)</f>
        <v>0.37813836386270805</v>
      </c>
    </row>
    <row r="13" spans="1:17" x14ac:dyDescent="0.3">
      <c r="A13">
        <f t="shared" ca="1" si="0"/>
        <v>0.57762106134162405</v>
      </c>
      <c r="B13">
        <f t="shared" ca="1" si="1"/>
        <v>-0.1687052284039863</v>
      </c>
      <c r="C13">
        <f ca="1">AVERAGE(B$2:B13)</f>
        <v>0.14547347316453316</v>
      </c>
      <c r="D13">
        <f ca="1">_xlfn.VAR.P(B$2:B13)</f>
        <v>0.35560031140620485</v>
      </c>
    </row>
    <row r="14" spans="1:17" x14ac:dyDescent="0.3">
      <c r="A14">
        <f t="shared" ca="1" si="0"/>
        <v>0.41448152251384807</v>
      </c>
      <c r="B14">
        <f t="shared" ca="1" si="1"/>
        <v>0.1875797026116352</v>
      </c>
      <c r="C14">
        <f ca="1">AVERAGE(B$2:B14)</f>
        <v>0.1487124138912333</v>
      </c>
      <c r="D14">
        <f ca="1">_xlfn.VAR.P(B$2:B14)</f>
        <v>0.32837233014240813</v>
      </c>
    </row>
    <row r="15" spans="1:17" x14ac:dyDescent="0.3">
      <c r="A15">
        <f t="shared" ca="1" si="0"/>
        <v>0.73411043556714495</v>
      </c>
      <c r="B15">
        <f t="shared" ca="1" si="1"/>
        <v>-0.63152704715301655</v>
      </c>
      <c r="C15">
        <f ca="1">AVERAGE(B$2:B15)</f>
        <v>9.298102381664404E-2</v>
      </c>
      <c r="D15">
        <f ca="1">_xlfn.VAR.P(B$2:B15)</f>
        <v>0.34529500561906307</v>
      </c>
    </row>
    <row r="16" spans="1:17" x14ac:dyDescent="0.3">
      <c r="A16">
        <f t="shared" ca="1" si="0"/>
        <v>0.55699914408455897</v>
      </c>
      <c r="B16">
        <f t="shared" ca="1" si="1"/>
        <v>-0.12103639628989092</v>
      </c>
      <c r="C16">
        <f ca="1">AVERAGE(B$2:B16)</f>
        <v>7.8713195809541711E-2</v>
      </c>
      <c r="D16">
        <f ca="1">_xlfn.VAR.P(B$2:B16)</f>
        <v>0.32512533140235578</v>
      </c>
    </row>
    <row r="17" spans="1:4" x14ac:dyDescent="0.3">
      <c r="A17">
        <f t="shared" ca="1" si="0"/>
        <v>0.92989195028131011</v>
      </c>
      <c r="B17">
        <f t="shared" ca="1" si="1"/>
        <v>-1.9645704790386675</v>
      </c>
      <c r="C17">
        <f ca="1">AVERAGE(B$2:B17)</f>
        <v>-4.8992033868471369E-2</v>
      </c>
      <c r="D17">
        <f ca="1">_xlfn.VAR.P(B$2:B17)</f>
        <v>0.54943438349641971</v>
      </c>
    </row>
    <row r="18" spans="1:4" x14ac:dyDescent="0.3">
      <c r="A18">
        <f t="shared" ca="1" si="0"/>
        <v>0.46817123634919011</v>
      </c>
      <c r="B18">
        <f t="shared" ca="1" si="1"/>
        <v>6.5773979790812537E-2</v>
      </c>
      <c r="C18">
        <f ca="1">AVERAGE(B$2:B18)</f>
        <v>-4.2241091888513493E-2</v>
      </c>
      <c r="D18">
        <f ca="1">_xlfn.VAR.P(B$2:B18)</f>
        <v>0.51784391736085134</v>
      </c>
    </row>
    <row r="19" spans="1:4" x14ac:dyDescent="0.3">
      <c r="A19">
        <f t="shared" ca="1" si="0"/>
        <v>0.97057775256768131</v>
      </c>
      <c r="B19">
        <f t="shared" ca="1" si="1"/>
        <v>-2.8328569948572988</v>
      </c>
      <c r="C19">
        <f ca="1">AVERAGE(B$2:B19)</f>
        <v>-0.19727530872011267</v>
      </c>
      <c r="D19">
        <f ca="1">_xlfn.VAR.P(B$2:B19)</f>
        <v>0.89768015344678831</v>
      </c>
    </row>
    <row r="20" spans="1:4" x14ac:dyDescent="0.3">
      <c r="A20">
        <f t="shared" ca="1" si="0"/>
        <v>0.27686192947225863</v>
      </c>
      <c r="B20">
        <f t="shared" ca="1" si="1"/>
        <v>0.59108916606076334</v>
      </c>
      <c r="C20">
        <f ca="1">AVERAGE(B$2:B20)</f>
        <v>-0.15578244162638236</v>
      </c>
      <c r="D20">
        <f ca="1">_xlfn.VAR.P(B$2:B20)</f>
        <v>0.88142367393501131</v>
      </c>
    </row>
    <row r="21" spans="1:4" x14ac:dyDescent="0.3">
      <c r="A21">
        <f t="shared" ca="1" si="0"/>
        <v>0.66198883579569545</v>
      </c>
      <c r="B21">
        <f t="shared" ca="1" si="1"/>
        <v>-0.39152917329440756</v>
      </c>
      <c r="C21">
        <f ca="1">AVERAGE(B$2:B21)</f>
        <v>-0.16756977820978364</v>
      </c>
      <c r="D21">
        <f ca="1">_xlfn.VAR.P(B$2:B21)</f>
        <v>0.83999237500913826</v>
      </c>
    </row>
    <row r="22" spans="1:4" x14ac:dyDescent="0.3">
      <c r="A22">
        <f t="shared" ca="1" si="0"/>
        <v>0.11496810492578724</v>
      </c>
      <c r="B22">
        <f t="shared" ca="1" si="1"/>
        <v>1.4699533569985572</v>
      </c>
      <c r="C22">
        <f ca="1">AVERAGE(B$2:B22)</f>
        <v>-8.9592486057005497E-2</v>
      </c>
      <c r="D22">
        <f ca="1">_xlfn.VAR.P(B$2:B22)</f>
        <v>0.92160189993353536</v>
      </c>
    </row>
    <row r="23" spans="1:4" x14ac:dyDescent="0.3">
      <c r="A23">
        <f t="shared" ca="1" si="0"/>
        <v>0.80466045207912018</v>
      </c>
      <c r="B23">
        <f t="shared" ca="1" si="1"/>
        <v>-0.93986878272477803</v>
      </c>
      <c r="C23">
        <f ca="1">AVERAGE(B$2:B23)</f>
        <v>-0.12824140863281333</v>
      </c>
      <c r="D23">
        <f ca="1">_xlfn.VAR.P(B$2:B23)</f>
        <v>0.91107942802369757</v>
      </c>
    </row>
    <row r="24" spans="1:4" x14ac:dyDescent="0.3">
      <c r="A24">
        <f t="shared" ca="1" si="0"/>
        <v>0.86124715263376272</v>
      </c>
      <c r="B24">
        <f t="shared" ca="1" si="1"/>
        <v>-1.2819138244477453</v>
      </c>
      <c r="C24">
        <f ca="1">AVERAGE(B$2:B24)</f>
        <v>-0.17840107888563644</v>
      </c>
      <c r="D24">
        <f ca="1">_xlfn.VAR.P(B$2:B24)</f>
        <v>0.92681911441637188</v>
      </c>
    </row>
    <row r="25" spans="1:4" x14ac:dyDescent="0.3">
      <c r="A25">
        <f t="shared" ca="1" si="0"/>
        <v>0.17844458568911403</v>
      </c>
      <c r="B25">
        <f t="shared" ca="1" si="1"/>
        <v>1.0303299897189997</v>
      </c>
      <c r="C25">
        <f ca="1">AVERAGE(B$2:B25)</f>
        <v>-0.12803728436044329</v>
      </c>
      <c r="D25">
        <f ca="1">_xlfn.VAR.P(B$2:B25)</f>
        <v>0.94654142269213493</v>
      </c>
    </row>
    <row r="26" spans="1:4" x14ac:dyDescent="0.3">
      <c r="A26">
        <f t="shared" ca="1" si="0"/>
        <v>0.56997424413237063</v>
      </c>
      <c r="B26">
        <f t="shared" ca="1" si="1"/>
        <v>-0.15076299416177935</v>
      </c>
      <c r="C26">
        <f ca="1">AVERAGE(B$2:B26)</f>
        <v>-0.12894631275249671</v>
      </c>
      <c r="D26">
        <f ca="1">_xlfn.VAR.P(B$2:B26)</f>
        <v>0.90869959776727105</v>
      </c>
    </row>
    <row r="27" spans="1:4" x14ac:dyDescent="0.3">
      <c r="A27">
        <f t="shared" ca="1" si="0"/>
        <v>0.87819102442968855</v>
      </c>
      <c r="B27">
        <f t="shared" ca="1" si="1"/>
        <v>-1.4121540548079872</v>
      </c>
      <c r="C27">
        <f ca="1">AVERAGE(B$2:B27)</f>
        <v>-0.17830045667770789</v>
      </c>
      <c r="D27">
        <f ca="1">_xlfn.VAR.P(B$2:B27)</f>
        <v>0.93464540130252216</v>
      </c>
    </row>
    <row r="28" spans="1:4" x14ac:dyDescent="0.3">
      <c r="A28">
        <f t="shared" ca="1" si="0"/>
        <v>0.20322985049031939</v>
      </c>
      <c r="B28">
        <f t="shared" ca="1" si="1"/>
        <v>0.90027049148762162</v>
      </c>
      <c r="C28">
        <f ca="1">AVERAGE(B$2:B28)</f>
        <v>-0.1383533845234364</v>
      </c>
      <c r="D28">
        <f ca="1">_xlfn.VAR.P(B$2:B28)</f>
        <v>0.94151888787414695</v>
      </c>
    </row>
    <row r="29" spans="1:4" x14ac:dyDescent="0.3">
      <c r="A29">
        <f t="shared" ca="1" si="0"/>
        <v>0.14580049582824117</v>
      </c>
      <c r="B29">
        <f t="shared" ca="1" si="1"/>
        <v>1.2323688781110216</v>
      </c>
      <c r="C29">
        <f ca="1">AVERAGE(B$2:B29)</f>
        <v>-8.9399018000777195E-2</v>
      </c>
      <c r="D29">
        <f ca="1">_xlfn.VAR.P(B$2:B29)</f>
        <v>0.97259952335135436</v>
      </c>
    </row>
    <row r="30" spans="1:4" x14ac:dyDescent="0.3">
      <c r="A30">
        <f t="shared" ca="1" si="0"/>
        <v>0.25010099145284703</v>
      </c>
      <c r="B30">
        <f t="shared" ca="1" si="1"/>
        <v>0.69274329632077802</v>
      </c>
      <c r="C30">
        <f ca="1">AVERAGE(B$2:B30)</f>
        <v>-6.2428593368999426E-2</v>
      </c>
      <c r="D30">
        <f ca="1">_xlfn.VAR.P(B$2:B30)</f>
        <v>0.95942891528794705</v>
      </c>
    </row>
    <row r="31" spans="1:4" x14ac:dyDescent="0.3">
      <c r="A31">
        <f t="shared" ca="1" si="0"/>
        <v>0.8592311428625099</v>
      </c>
      <c r="B31">
        <f t="shared" ca="1" si="1"/>
        <v>-1.2674888642663356</v>
      </c>
      <c r="C31">
        <f ca="1">AVERAGE(B$2:B31)</f>
        <v>-0.10259726906557728</v>
      </c>
      <c r="D31">
        <f ca="1">_xlfn.VAR.P(B$2:B31)</f>
        <v>0.97424010415430407</v>
      </c>
    </row>
    <row r="32" spans="1:4" x14ac:dyDescent="0.3">
      <c r="A32">
        <f t="shared" ca="1" si="0"/>
        <v>0.508495979104433</v>
      </c>
      <c r="B32">
        <f t="shared" ca="1" si="1"/>
        <v>-1.7137978002580101E-2</v>
      </c>
      <c r="C32">
        <f ca="1">AVERAGE(B$2:B32)</f>
        <v>-9.9840517740964488E-2</v>
      </c>
      <c r="D32">
        <f ca="1">_xlfn.VAR.P(B$2:B32)</f>
        <v>0.94304099435626676</v>
      </c>
    </row>
    <row r="33" spans="1:4" x14ac:dyDescent="0.3">
      <c r="A33">
        <f t="shared" ca="1" si="0"/>
        <v>0.46466830153722771</v>
      </c>
      <c r="B33">
        <f t="shared" ca="1" si="1"/>
        <v>7.3284277403221743E-2</v>
      </c>
      <c r="C33">
        <f ca="1">AVERAGE(B$2:B33)</f>
        <v>-9.4430367892708658E-2</v>
      </c>
      <c r="D33">
        <f ca="1">_xlfn.VAR.P(B$2:B33)</f>
        <v>0.91447832464543155</v>
      </c>
    </row>
    <row r="34" spans="1:4" x14ac:dyDescent="0.3">
      <c r="A34">
        <f t="shared" ca="1" si="0"/>
        <v>0.48872515767672597</v>
      </c>
      <c r="B34">
        <f t="shared" ca="1" si="1"/>
        <v>2.2807816697330768E-2</v>
      </c>
      <c r="C34">
        <f ca="1">AVERAGE(B$2:B34)</f>
        <v>-9.0877695632404429E-2</v>
      </c>
      <c r="D34">
        <f ca="1">_xlfn.VAR.P(B$2:B34)</f>
        <v>0.88717074762828896</v>
      </c>
    </row>
    <row r="35" spans="1:4" x14ac:dyDescent="0.3">
      <c r="A35">
        <f t="shared" ca="1" si="0"/>
        <v>0.90169078655692159</v>
      </c>
      <c r="B35">
        <f t="shared" ca="1" si="1"/>
        <v>-1.6264903478578043</v>
      </c>
      <c r="C35">
        <f ca="1">AVERAGE(B$2:B35)</f>
        <v>-0.13604277363903383</v>
      </c>
      <c r="D35">
        <f ca="1">_xlfn.VAR.P(B$2:B35)</f>
        <v>0.92839367129948636</v>
      </c>
    </row>
    <row r="36" spans="1:4" x14ac:dyDescent="0.3">
      <c r="A36">
        <f t="shared" ca="1" si="0"/>
        <v>0.26817487151928332</v>
      </c>
      <c r="B36">
        <f t="shared" ca="1" si="1"/>
        <v>0.62296882503163231</v>
      </c>
      <c r="C36">
        <f ca="1">AVERAGE(B$2:B36)</f>
        <v>-0.11435672796272908</v>
      </c>
      <c r="D36">
        <f ca="1">_xlfn.VAR.P(B$2:B36)</f>
        <v>0.91785781345432915</v>
      </c>
    </row>
    <row r="37" spans="1:4" x14ac:dyDescent="0.3">
      <c r="A37">
        <f t="shared" ca="1" si="0"/>
        <v>0.46657999242249037</v>
      </c>
      <c r="B37">
        <f t="shared" ca="1" si="1"/>
        <v>6.9178619260235927E-2</v>
      </c>
      <c r="C37">
        <f ca="1">AVERAGE(B$2:B37)</f>
        <v>-0.10925852387320228</v>
      </c>
      <c r="D37">
        <f ca="1">_xlfn.VAR.P(B$2:B37)</f>
        <v>0.89327147205344415</v>
      </c>
    </row>
    <row r="38" spans="1:4" x14ac:dyDescent="0.3">
      <c r="A38">
        <f t="shared" ca="1" si="0"/>
        <v>0.78386761420511364</v>
      </c>
      <c r="B38">
        <f t="shared" ca="1" si="1"/>
        <v>-0.83871698128425853</v>
      </c>
      <c r="C38">
        <f ca="1">AVERAGE(B$2:B38)</f>
        <v>-0.12897361731674434</v>
      </c>
      <c r="D38">
        <f ca="1">_xlfn.VAR.P(B$2:B38)</f>
        <v>0.88312165657733688</v>
      </c>
    </row>
    <row r="39" spans="1:4" x14ac:dyDescent="0.3">
      <c r="A39">
        <f t="shared" ca="1" si="0"/>
        <v>0.29435225436488732</v>
      </c>
      <c r="B39">
        <f t="shared" ca="1" si="1"/>
        <v>0.52983090418707712</v>
      </c>
      <c r="C39">
        <f ca="1">AVERAGE(B$2:B39)</f>
        <v>-0.11163665622453853</v>
      </c>
      <c r="D39">
        <f ca="1">_xlfn.VAR.P(B$2:B39)</f>
        <v>0.87100271111996475</v>
      </c>
    </row>
    <row r="40" spans="1:4" x14ac:dyDescent="0.3">
      <c r="A40">
        <f t="shared" ca="1" si="0"/>
        <v>0.81969795604564089</v>
      </c>
      <c r="B40">
        <f t="shared" ca="1" si="1"/>
        <v>-1.0199746318691949</v>
      </c>
      <c r="C40">
        <f ca="1">AVERAGE(B$2:B40)</f>
        <v>-0.13492737354876047</v>
      </c>
      <c r="D40">
        <f ca="1">_xlfn.VAR.P(B$2:B40)</f>
        <v>0.86928269378285383</v>
      </c>
    </row>
    <row r="41" spans="1:4" x14ac:dyDescent="0.3">
      <c r="A41">
        <f t="shared" ca="1" si="0"/>
        <v>0.75831196312406479</v>
      </c>
      <c r="B41">
        <f t="shared" ca="1" si="1"/>
        <v>-0.72696030769304609</v>
      </c>
      <c r="C41">
        <f ca="1">AVERAGE(B$2:B41)</f>
        <v>-0.14972819690236763</v>
      </c>
      <c r="D41">
        <f ca="1">_xlfn.VAR.P(B$2:B41)</f>
        <v>0.85609413694412528</v>
      </c>
    </row>
    <row r="42" spans="1:4" x14ac:dyDescent="0.3">
      <c r="A42">
        <f t="shared" ca="1" si="0"/>
        <v>0.30327641479376</v>
      </c>
      <c r="B42">
        <f t="shared" ca="1" si="1"/>
        <v>0.49996344872371179</v>
      </c>
      <c r="C42">
        <f ca="1">AVERAGE(B$2:B42)</f>
        <v>-0.13388205920417057</v>
      </c>
      <c r="D42">
        <f ca="1">_xlfn.VAR.P(B$2:B42)</f>
        <v>0.84525779533861889</v>
      </c>
    </row>
    <row r="43" spans="1:4" x14ac:dyDescent="0.3">
      <c r="A43">
        <f t="shared" ca="1" si="0"/>
        <v>0.25725215291202441</v>
      </c>
      <c r="B43">
        <f t="shared" ca="1" si="1"/>
        <v>0.66455135479446359</v>
      </c>
      <c r="C43">
        <f ca="1">AVERAGE(B$2:B43)</f>
        <v>-0.11487173982325072</v>
      </c>
      <c r="D43">
        <f ca="1">_xlfn.VAR.P(B$2:B43)</f>
        <v>0.83994969169686606</v>
      </c>
    </row>
    <row r="44" spans="1:4" x14ac:dyDescent="0.3">
      <c r="A44">
        <f t="shared" ca="1" si="0"/>
        <v>0.71070565060461577</v>
      </c>
      <c r="B44">
        <f t="shared" ca="1" si="1"/>
        <v>-0.54716341862053874</v>
      </c>
      <c r="C44">
        <f ca="1">AVERAGE(B$2:B44)</f>
        <v>-0.1249250346790016</v>
      </c>
      <c r="D44">
        <f ca="1">_xlfn.VAR.P(B$2:B44)</f>
        <v>0.82466086490965396</v>
      </c>
    </row>
    <row r="45" spans="1:4" x14ac:dyDescent="0.3">
      <c r="A45">
        <f t="shared" ca="1" si="0"/>
        <v>0.13520094688288387</v>
      </c>
      <c r="B45">
        <f t="shared" ca="1" si="1"/>
        <v>1.3078459312662267</v>
      </c>
      <c r="C45">
        <f ca="1">AVERAGE(B$2:B45)</f>
        <v>-9.2362058180246412E-2</v>
      </c>
      <c r="D45">
        <f ca="1">_xlfn.VAR.P(B$2:B45)</f>
        <v>0.85151351237905837</v>
      </c>
    </row>
    <row r="46" spans="1:4" x14ac:dyDescent="0.3">
      <c r="A46">
        <f t="shared" ca="1" si="0"/>
        <v>0.656841671152392</v>
      </c>
      <c r="B46">
        <f t="shared" ca="1" si="1"/>
        <v>-0.3764161576220233</v>
      </c>
      <c r="C46">
        <f ca="1">AVERAGE(B$2:B46)</f>
        <v>-9.8674371501174779E-2</v>
      </c>
      <c r="D46">
        <f ca="1">_xlfn.VAR.P(B$2:B46)</f>
        <v>0.83434418305805491</v>
      </c>
    </row>
    <row r="47" spans="1:4" x14ac:dyDescent="0.3">
      <c r="A47">
        <f t="shared" ca="1" si="0"/>
        <v>0.51604068810499171</v>
      </c>
      <c r="B47">
        <f t="shared" ca="1" si="1"/>
        <v>-3.2607261571959721E-2</v>
      </c>
      <c r="C47">
        <f ca="1">AVERAGE(B$2:B47)</f>
        <v>-9.7238129980974461E-2</v>
      </c>
      <c r="D47">
        <f ca="1">_xlfn.VAR.P(B$2:B47)</f>
        <v>0.8162990915717494</v>
      </c>
    </row>
    <row r="48" spans="1:4" x14ac:dyDescent="0.3">
      <c r="A48">
        <f t="shared" ca="1" si="0"/>
        <v>9.3698387660478E-2</v>
      </c>
      <c r="B48">
        <f t="shared" ca="1" si="1"/>
        <v>1.6745271167914151</v>
      </c>
      <c r="C48">
        <f ca="1">AVERAGE(B$2:B48)</f>
        <v>-5.9540997070923619E-2</v>
      </c>
      <c r="D48">
        <f ca="1">_xlfn.VAR.P(B$2:B48)</f>
        <v>0.86430042195697698</v>
      </c>
    </row>
    <row r="49" spans="1:4" x14ac:dyDescent="0.3">
      <c r="A49">
        <f t="shared" ca="1" si="0"/>
        <v>0.40241818618728697</v>
      </c>
      <c r="B49">
        <f t="shared" ca="1" si="1"/>
        <v>0.21711628635549099</v>
      </c>
      <c r="C49">
        <f ca="1">AVERAGE(B$2:B49)</f>
        <v>-5.3777303666206644E-2</v>
      </c>
      <c r="D49">
        <f ca="1">_xlfn.VAR.P(B$2:B49)</f>
        <v>0.84785551076439469</v>
      </c>
    </row>
    <row r="50" spans="1:4" x14ac:dyDescent="0.3">
      <c r="A50">
        <f t="shared" ca="1" si="0"/>
        <v>0.46463744978272437</v>
      </c>
      <c r="B50">
        <f t="shared" ca="1" si="1"/>
        <v>7.3350674828333684E-2</v>
      </c>
      <c r="C50">
        <f ca="1">AVERAGE(B$2:B50)</f>
        <v>-5.118285512550174E-2</v>
      </c>
      <c r="D50">
        <f ca="1">_xlfn.VAR.P(B$2:B50)</f>
        <v>0.83087543291038302</v>
      </c>
    </row>
    <row r="51" spans="1:4" x14ac:dyDescent="0.3">
      <c r="A51">
        <f t="shared" ca="1" si="0"/>
        <v>0.63917042811685021</v>
      </c>
      <c r="B51">
        <f t="shared" ca="1" si="1"/>
        <v>-0.32620235161030042</v>
      </c>
      <c r="C51">
        <f ca="1">AVERAGE(B$2:B51)</f>
        <v>-5.6683245055197708E-2</v>
      </c>
      <c r="D51">
        <f ca="1">_xlfn.VAR.P(B$2:B51)</f>
        <v>0.81574038443173169</v>
      </c>
    </row>
    <row r="52" spans="1:4" x14ac:dyDescent="0.3">
      <c r="A52">
        <f t="shared" ca="1" si="0"/>
        <v>1.6041160943582988E-2</v>
      </c>
      <c r="B52">
        <f t="shared" ca="1" si="1"/>
        <v>3.4394501205741217</v>
      </c>
      <c r="C52">
        <f ca="1">AVERAGE(B$2:B52)</f>
        <v>1.1868389564985022E-2</v>
      </c>
      <c r="D52">
        <f ca="1">_xlfn.VAR.P(B$2:B52)</f>
        <v>1.034711805388022</v>
      </c>
    </row>
    <row r="53" spans="1:4" x14ac:dyDescent="0.3">
      <c r="A53">
        <f t="shared" ca="1" si="0"/>
        <v>0.17862748421642061</v>
      </c>
      <c r="B53">
        <f t="shared" ca="1" si="1"/>
        <v>1.0293055548291443</v>
      </c>
      <c r="C53">
        <f ca="1">AVERAGE(B$2:B53)</f>
        <v>3.1434488896988085E-2</v>
      </c>
      <c r="D53">
        <f ca="1">_xlfn.VAR.P(B$2:B53)</f>
        <v>1.0343379458348128</v>
      </c>
    </row>
    <row r="54" spans="1:4" x14ac:dyDescent="0.3">
      <c r="A54">
        <f t="shared" ca="1" si="0"/>
        <v>0.8910536786075286</v>
      </c>
      <c r="B54">
        <f t="shared" ca="1" si="1"/>
        <v>-1.5237528017826651</v>
      </c>
      <c r="C54">
        <f ca="1">AVERAGE(B$2:B54)</f>
        <v>2.0913324690701005E-3</v>
      </c>
      <c r="D54">
        <f ca="1">_xlfn.VAR.P(B$2:B54)</f>
        <v>1.0595952186520123</v>
      </c>
    </row>
    <row r="55" spans="1:4" x14ac:dyDescent="0.3">
      <c r="A55">
        <f t="shared" ca="1" si="0"/>
        <v>0.7286023004718899</v>
      </c>
      <c r="B55">
        <f t="shared" ca="1" si="1"/>
        <v>-0.61102282737234304</v>
      </c>
      <c r="C55">
        <f ca="1">AVERAGE(B$2:B55)</f>
        <v>-9.2626334539190319E-3</v>
      </c>
      <c r="D55">
        <f ca="1">_xlfn.VAR.P(B$2:B55)</f>
        <v>1.0468054497088324</v>
      </c>
    </row>
    <row r="56" spans="1:4" x14ac:dyDescent="0.3">
      <c r="A56">
        <f t="shared" ca="1" si="0"/>
        <v>0.26337769754699258</v>
      </c>
      <c r="B56">
        <f t="shared" ca="1" si="1"/>
        <v>0.64101898412155678</v>
      </c>
      <c r="C56">
        <f ca="1">AVERAGE(B$2:B56)</f>
        <v>2.5606686838168923E-3</v>
      </c>
      <c r="D56">
        <f ca="1">_xlfn.VAR.P(B$2:B56)</f>
        <v>1.0353213089162603</v>
      </c>
    </row>
    <row r="57" spans="1:4" x14ac:dyDescent="0.3">
      <c r="A57">
        <f t="shared" ca="1" si="0"/>
        <v>0.28328751846474276</v>
      </c>
      <c r="B57">
        <f t="shared" ca="1" si="1"/>
        <v>0.56814575021692082</v>
      </c>
      <c r="C57">
        <f ca="1">AVERAGE(B$2:B57)</f>
        <v>1.2660402282622319E-2</v>
      </c>
      <c r="D57">
        <f ca="1">_xlfn.VAR.P(B$2:B57)</f>
        <v>1.0224436824320746</v>
      </c>
    </row>
    <row r="58" spans="1:4" x14ac:dyDescent="0.3">
      <c r="A58">
        <f t="shared" ca="1" si="0"/>
        <v>0.85654734886074058</v>
      </c>
      <c r="B58">
        <f t="shared" ca="1" si="1"/>
        <v>-1.2486030748880803</v>
      </c>
      <c r="C58">
        <f ca="1">AVERAGE(B$2:B58)</f>
        <v>-9.467027141425095E-3</v>
      </c>
      <c r="D58">
        <f ca="1">_xlfn.VAR.P(B$2:B58)</f>
        <v>1.0319249694116612</v>
      </c>
    </row>
    <row r="59" spans="1:4" x14ac:dyDescent="0.3">
      <c r="A59">
        <f t="shared" ca="1" si="0"/>
        <v>0.35080744672634212</v>
      </c>
      <c r="B59">
        <f t="shared" ca="1" si="1"/>
        <v>0.35437061030927131</v>
      </c>
      <c r="C59">
        <f ca="1">AVERAGE(B$2:B59)</f>
        <v>-3.1939644267579156E-3</v>
      </c>
      <c r="D59">
        <f ca="1">_xlfn.VAR.P(B$2:B59)</f>
        <v>1.0163761845960813</v>
      </c>
    </row>
    <row r="60" spans="1:4" x14ac:dyDescent="0.3">
      <c r="A60">
        <f t="shared" ca="1" si="0"/>
        <v>2.6887192158461026E-2</v>
      </c>
      <c r="B60">
        <f t="shared" ca="1" si="1"/>
        <v>2.922958053137549</v>
      </c>
      <c r="C60">
        <f ca="1">AVERAGE(B$2:B60)</f>
        <v>4.6401832481111689E-2</v>
      </c>
      <c r="D60">
        <f ca="1">_xlfn.VAR.P(B$2:B60)</f>
        <v>1.1418145677166729</v>
      </c>
    </row>
    <row r="61" spans="1:4" x14ac:dyDescent="0.3">
      <c r="A61">
        <f t="shared" ca="1" si="0"/>
        <v>0.32630158195131731</v>
      </c>
      <c r="B61">
        <f t="shared" ca="1" si="1"/>
        <v>0.42678604668475389</v>
      </c>
      <c r="C61">
        <f ca="1">AVERAGE(B$2:B61)</f>
        <v>5.2741569384505721E-2</v>
      </c>
      <c r="D61">
        <f ca="1">_xlfn.VAR.P(B$2:B61)</f>
        <v>1.1251556684976463</v>
      </c>
    </row>
    <row r="62" spans="1:4" x14ac:dyDescent="0.3">
      <c r="A62">
        <f t="shared" ca="1" si="0"/>
        <v>0.31364233436029754</v>
      </c>
      <c r="B62">
        <f t="shared" ca="1" si="1"/>
        <v>0.46635482428555625</v>
      </c>
      <c r="C62">
        <f ca="1">AVERAGE(B$2:B62)</f>
        <v>5.9522114546818022E-2</v>
      </c>
      <c r="D62">
        <f ca="1">_xlfn.VAR.P(B$2:B62)</f>
        <v>1.1094690411661314</v>
      </c>
    </row>
    <row r="63" spans="1:4" x14ac:dyDescent="0.3">
      <c r="A63">
        <f t="shared" ca="1" si="0"/>
        <v>0.45934269478613809</v>
      </c>
      <c r="B63">
        <f t="shared" ca="1" si="1"/>
        <v>8.4811555203031921E-2</v>
      </c>
      <c r="C63">
        <f ca="1">AVERAGE(B$2:B63)</f>
        <v>5.9930008750950503E-2</v>
      </c>
      <c r="D63">
        <f ca="1">_xlfn.VAR.P(B$2:B63)</f>
        <v>1.0915845282504266</v>
      </c>
    </row>
    <row r="64" spans="1:4" x14ac:dyDescent="0.3">
      <c r="A64">
        <f t="shared" ca="1" si="0"/>
        <v>0.71031215191705743</v>
      </c>
      <c r="B64">
        <f t="shared" ca="1" si="1"/>
        <v>-0.54580414108192354</v>
      </c>
      <c r="C64">
        <f ca="1">AVERAGE(B$2:B64)</f>
        <v>5.0315180975825519E-2</v>
      </c>
      <c r="D64">
        <f ca="1">_xlfn.VAR.P(B$2:B64)</f>
        <v>1.0799893743217788</v>
      </c>
    </row>
    <row r="65" spans="1:4" x14ac:dyDescent="0.3">
      <c r="A65">
        <f t="shared" ca="1" si="0"/>
        <v>0.95258516059294296</v>
      </c>
      <c r="B65">
        <f t="shared" ca="1" si="1"/>
        <v>-2.3556728510571836</v>
      </c>
      <c r="C65">
        <f ca="1">AVERAGE(B$2:B65)</f>
        <v>1.2721617975309754E-2</v>
      </c>
      <c r="D65">
        <f ca="1">_xlfn.VAR.P(B$2:B65)</f>
        <v>1.1521509270296473</v>
      </c>
    </row>
    <row r="66" spans="1:4" x14ac:dyDescent="0.3">
      <c r="A66">
        <f t="shared" ca="1" si="0"/>
        <v>0.90769640897445469</v>
      </c>
      <c r="B66">
        <f t="shared" ca="1" si="1"/>
        <v>-1.6895250516512956</v>
      </c>
      <c r="C66">
        <f ca="1">AVERAGE(B$2:B66)</f>
        <v>-1.346679232663802E-2</v>
      </c>
      <c r="D66">
        <f ca="1">_xlfn.VAR.P(B$2:B66)</f>
        <v>1.1783188295374307</v>
      </c>
    </row>
    <row r="67" spans="1:4" x14ac:dyDescent="0.3">
      <c r="A67">
        <f t="shared" ref="A67:A130" ca="1" si="2">RAND()</f>
        <v>0.39070955208469704</v>
      </c>
      <c r="B67">
        <f t="shared" ref="B67:B130" ca="1" si="3">-SIGN(0.5-A67)*LN(1-2*ABS(0.5-A67))*$F$1</f>
        <v>0.24664364801734501</v>
      </c>
      <c r="C67">
        <f ca="1">AVERAGE(B$2:B67)</f>
        <v>-9.525725048698884E-3</v>
      </c>
      <c r="D67">
        <f ca="1">_xlfn.VAR.P(B$2:B67)</f>
        <v>1.1614750946721795</v>
      </c>
    </row>
    <row r="68" spans="1:4" x14ac:dyDescent="0.3">
      <c r="A68">
        <f t="shared" ca="1" si="2"/>
        <v>0.19227397228578924</v>
      </c>
      <c r="B68">
        <f t="shared" ca="1" si="3"/>
        <v>0.95568680451590871</v>
      </c>
      <c r="C68">
        <f ca="1">AVERAGE(B$2:B68)</f>
        <v>4.8804321089818267E-3</v>
      </c>
      <c r="D68">
        <f ca="1">_xlfn.VAR.P(B$2:B68)</f>
        <v>1.1578371115253865</v>
      </c>
    </row>
    <row r="69" spans="1:4" x14ac:dyDescent="0.3">
      <c r="A69">
        <f t="shared" ca="1" si="2"/>
        <v>0.38378831014627601</v>
      </c>
      <c r="B69">
        <f t="shared" ca="1" si="3"/>
        <v>0.26451697350349973</v>
      </c>
      <c r="C69">
        <f ca="1">AVERAGE(B$2:B69)</f>
        <v>8.6986165412541484E-3</v>
      </c>
      <c r="D69">
        <f ca="1">_xlfn.VAR.P(B$2:B69)</f>
        <v>1.1417868568474676</v>
      </c>
    </row>
    <row r="70" spans="1:4" x14ac:dyDescent="0.3">
      <c r="A70">
        <f t="shared" ca="1" si="2"/>
        <v>1.6523435794249308E-2</v>
      </c>
      <c r="B70">
        <f t="shared" ca="1" si="3"/>
        <v>3.409828374093629</v>
      </c>
      <c r="C70">
        <f ca="1">AVERAGE(B$2:B70)</f>
        <v>5.7990352157955227E-2</v>
      </c>
      <c r="D70">
        <f ca="1">_xlfn.VAR.P(B$2:B70)</f>
        <v>1.2904571348482421</v>
      </c>
    </row>
    <row r="71" spans="1:4" x14ac:dyDescent="0.3">
      <c r="A71">
        <f t="shared" ca="1" si="2"/>
        <v>0.24251781990611521</v>
      </c>
      <c r="B71">
        <f t="shared" ca="1" si="3"/>
        <v>0.72353290659555303</v>
      </c>
      <c r="C71">
        <f ca="1">AVERAGE(B$2:B71)</f>
        <v>6.7498102935635199E-2</v>
      </c>
      <c r="D71">
        <f ca="1">_xlfn.VAR.P(B$2:B71)</f>
        <v>1.2782594483365215</v>
      </c>
    </row>
    <row r="72" spans="1:4" x14ac:dyDescent="0.3">
      <c r="A72">
        <f t="shared" ca="1" si="2"/>
        <v>0.12885222459986689</v>
      </c>
      <c r="B72">
        <f t="shared" ca="1" si="3"/>
        <v>1.3559418964370251</v>
      </c>
      <c r="C72">
        <f ca="1">AVERAGE(B$2:B72)</f>
        <v>8.5645198618753374E-2</v>
      </c>
      <c r="D72">
        <f ca="1">_xlfn.VAR.P(B$2:B72)</f>
        <v>1.2833079898558559</v>
      </c>
    </row>
    <row r="73" spans="1:4" x14ac:dyDescent="0.3">
      <c r="A73">
        <f t="shared" ca="1" si="2"/>
        <v>0.72835507917117703</v>
      </c>
      <c r="B73">
        <f t="shared" ca="1" si="3"/>
        <v>-0.61011232308216556</v>
      </c>
      <c r="C73">
        <f ca="1">AVERAGE(B$2:B73)</f>
        <v>7.5981899706240613E-2</v>
      </c>
      <c r="D73">
        <f ca="1">_xlfn.VAR.P(B$2:B73)</f>
        <v>1.272114201331477</v>
      </c>
    </row>
    <row r="74" spans="1:4" x14ac:dyDescent="0.3">
      <c r="A74">
        <f t="shared" ca="1" si="2"/>
        <v>0.18237402245183043</v>
      </c>
      <c r="B74">
        <f t="shared" ca="1" si="3"/>
        <v>1.008548451693235</v>
      </c>
      <c r="C74">
        <f ca="1">AVERAGE(B$2:B74)</f>
        <v>8.8756783980035059E-2</v>
      </c>
      <c r="D74">
        <f ca="1">_xlfn.VAR.P(B$2:B74)</f>
        <v>1.2664382115064661</v>
      </c>
    </row>
    <row r="75" spans="1:4" x14ac:dyDescent="0.3">
      <c r="A75">
        <f t="shared" ca="1" si="2"/>
        <v>7.9181960353994718E-2</v>
      </c>
      <c r="B75">
        <f t="shared" ca="1" si="3"/>
        <v>1.8428595988542387</v>
      </c>
      <c r="C75">
        <f ca="1">AVERAGE(B$2:B75)</f>
        <v>0.11246087607292971</v>
      </c>
      <c r="D75">
        <f ca="1">_xlfn.VAR.P(B$2:B75)</f>
        <v>1.2903417123034788</v>
      </c>
    </row>
    <row r="76" spans="1:4" x14ac:dyDescent="0.3">
      <c r="A76">
        <f t="shared" ca="1" si="2"/>
        <v>0.18546146091252025</v>
      </c>
      <c r="B76">
        <f t="shared" ca="1" si="3"/>
        <v>0.99176099584334865</v>
      </c>
      <c r="C76">
        <f ca="1">AVERAGE(B$2:B76)</f>
        <v>0.12418487766986862</v>
      </c>
      <c r="D76">
        <f ca="1">_xlfn.VAR.P(B$2:B76)</f>
        <v>1.2833086199343646</v>
      </c>
    </row>
    <row r="77" spans="1:4" x14ac:dyDescent="0.3">
      <c r="A77">
        <f t="shared" ca="1" si="2"/>
        <v>2.1302248337048857E-2</v>
      </c>
      <c r="B77">
        <f t="shared" ca="1" si="3"/>
        <v>3.1557954755474329</v>
      </c>
      <c r="C77">
        <f ca="1">AVERAGE(B$2:B77)</f>
        <v>0.16407449079983655</v>
      </c>
      <c r="D77">
        <f ca="1">_xlfn.VAR.P(B$2:B77)</f>
        <v>1.3857615728727743</v>
      </c>
    </row>
    <row r="78" spans="1:4" x14ac:dyDescent="0.3">
      <c r="A78">
        <f t="shared" ca="1" si="2"/>
        <v>9.9091011855974243E-2</v>
      </c>
      <c r="B78">
        <f t="shared" ca="1" si="3"/>
        <v>1.6185693589192716</v>
      </c>
      <c r="C78">
        <f ca="1">AVERAGE(B$2:B78)</f>
        <v>0.18296403454164742</v>
      </c>
      <c r="D78">
        <f ca="1">_xlfn.VAR.P(B$2:B78)</f>
        <v>1.3948825988997797</v>
      </c>
    </row>
    <row r="79" spans="1:4" x14ac:dyDescent="0.3">
      <c r="A79">
        <f t="shared" ca="1" si="2"/>
        <v>0.61740474874335749</v>
      </c>
      <c r="B79">
        <f t="shared" ca="1" si="3"/>
        <v>-0.26763045326347229</v>
      </c>
      <c r="C79">
        <f ca="1">AVERAGE(B$2:B79)</f>
        <v>0.17718718213388948</v>
      </c>
      <c r="D79">
        <f ca="1">_xlfn.VAR.P(B$2:B79)</f>
        <v>1.3795691344855334</v>
      </c>
    </row>
    <row r="80" spans="1:4" x14ac:dyDescent="0.3">
      <c r="A80">
        <f t="shared" ca="1" si="2"/>
        <v>0.32231860888525921</v>
      </c>
      <c r="B80">
        <f t="shared" ca="1" si="3"/>
        <v>0.43906757349139203</v>
      </c>
      <c r="C80">
        <f ca="1">AVERAGE(B$2:B80)</f>
        <v>0.18050212379664268</v>
      </c>
      <c r="D80">
        <f ca="1">_xlfn.VAR.P(B$2:B80)</f>
        <v>1.3629633634307494</v>
      </c>
    </row>
    <row r="81" spans="1:4" x14ac:dyDescent="0.3">
      <c r="A81">
        <f t="shared" ca="1" si="2"/>
        <v>6.6452247286110211E-2</v>
      </c>
      <c r="B81">
        <f t="shared" ca="1" si="3"/>
        <v>2.0181244946307273</v>
      </c>
      <c r="C81">
        <f ca="1">AVERAGE(B$2:B81)</f>
        <v>0.20347240343206874</v>
      </c>
      <c r="D81">
        <f ca="1">_xlfn.VAR.P(B$2:B81)</f>
        <v>1.387609387363709</v>
      </c>
    </row>
    <row r="82" spans="1:4" x14ac:dyDescent="0.3">
      <c r="A82">
        <f t="shared" ca="1" si="2"/>
        <v>0.88406733701065554</v>
      </c>
      <c r="B82">
        <f t="shared" ca="1" si="3"/>
        <v>-1.4615985673374008</v>
      </c>
      <c r="C82">
        <f ca="1">AVERAGE(B$2:B82)</f>
        <v>0.18291597169417406</v>
      </c>
      <c r="D82">
        <f ca="1">_xlfn.VAR.P(B$2:B82)</f>
        <v>1.404283758136377</v>
      </c>
    </row>
    <row r="83" spans="1:4" x14ac:dyDescent="0.3">
      <c r="A83">
        <f t="shared" ca="1" si="2"/>
        <v>0.49639478905602463</v>
      </c>
      <c r="B83">
        <f t="shared" ca="1" si="3"/>
        <v>7.236542616571231E-3</v>
      </c>
      <c r="C83">
        <f ca="1">AVERAGE(B$2:B83)</f>
        <v>0.18077353963225207</v>
      </c>
      <c r="D83">
        <f ca="1">_xlfn.VAR.P(B$2:B83)</f>
        <v>1.3875301376781228</v>
      </c>
    </row>
    <row r="84" spans="1:4" x14ac:dyDescent="0.3">
      <c r="A84">
        <f t="shared" ca="1" si="2"/>
        <v>0.47790433388459841</v>
      </c>
      <c r="B84">
        <f t="shared" ca="1" si="3"/>
        <v>4.5197524277821012E-2</v>
      </c>
      <c r="C84">
        <f ca="1">AVERAGE(B$2:B84)</f>
        <v>0.17914009366412639</v>
      </c>
      <c r="D84">
        <f ca="1">_xlfn.VAR.P(B$2:B84)</f>
        <v>1.3710316950536121</v>
      </c>
    </row>
    <row r="85" spans="1:4" x14ac:dyDescent="0.3">
      <c r="A85">
        <f t="shared" ca="1" si="2"/>
        <v>0.1216037669078518</v>
      </c>
      <c r="B85">
        <f t="shared" ca="1" si="3"/>
        <v>1.4138401515093058</v>
      </c>
      <c r="C85">
        <f ca="1">AVERAGE(B$2:B85)</f>
        <v>0.19383890387656899</v>
      </c>
      <c r="D85">
        <f ca="1">_xlfn.VAR.P(B$2:B85)</f>
        <v>1.3726424559580135</v>
      </c>
    </row>
    <row r="86" spans="1:4" x14ac:dyDescent="0.3">
      <c r="A86">
        <f t="shared" ca="1" si="2"/>
        <v>0.73502010402599927</v>
      </c>
      <c r="B86">
        <f t="shared" ca="1" si="3"/>
        <v>-0.63495413956286106</v>
      </c>
      <c r="C86">
        <f ca="1">AVERAGE(B$2:B86)</f>
        <v>0.18408839748316394</v>
      </c>
      <c r="D86">
        <f ca="1">_xlfn.VAR.P(B$2:B86)</f>
        <v>1.3644798006759749</v>
      </c>
    </row>
    <row r="87" spans="1:4" x14ac:dyDescent="0.3">
      <c r="A87">
        <f t="shared" ca="1" si="2"/>
        <v>0.72623340242436163</v>
      </c>
      <c r="B87">
        <f t="shared" ca="1" si="3"/>
        <v>-0.60233218871613958</v>
      </c>
      <c r="C87">
        <f ca="1">AVERAGE(B$2:B87)</f>
        <v>0.1749439720622418</v>
      </c>
      <c r="D87">
        <f ca="1">_xlfn.VAR.P(B$2:B87)</f>
        <v>1.3557215003657668</v>
      </c>
    </row>
    <row r="88" spans="1:4" x14ac:dyDescent="0.3">
      <c r="A88">
        <f t="shared" ca="1" si="2"/>
        <v>0.12007747554056014</v>
      </c>
      <c r="B88">
        <f t="shared" ca="1" si="3"/>
        <v>1.4264709344645425</v>
      </c>
      <c r="C88">
        <f ca="1">AVERAGE(B$2:B88)</f>
        <v>0.1893293394461763</v>
      </c>
      <c r="D88">
        <f ca="1">_xlfn.VAR.P(B$2:B88)</f>
        <v>1.3579352309647221</v>
      </c>
    </row>
    <row r="89" spans="1:4" x14ac:dyDescent="0.3">
      <c r="A89">
        <f t="shared" ca="1" si="2"/>
        <v>6.3294855189736321E-2</v>
      </c>
      <c r="B89">
        <f t="shared" ca="1" si="3"/>
        <v>2.0668040491986237</v>
      </c>
      <c r="C89">
        <f ca="1">AVERAGE(B$2:B89)</f>
        <v>0.21066427932972684</v>
      </c>
      <c r="D89">
        <f ca="1">_xlfn.VAR.P(B$2:B89)</f>
        <v>1.3821047792002885</v>
      </c>
    </row>
    <row r="90" spans="1:4" x14ac:dyDescent="0.3">
      <c r="A90">
        <f t="shared" ca="1" si="2"/>
        <v>8.338360725952465E-2</v>
      </c>
      <c r="B90">
        <f t="shared" ca="1" si="3"/>
        <v>1.7911563640182735</v>
      </c>
      <c r="C90">
        <f ca="1">AVERAGE(B$2:B90)</f>
        <v>0.22842261735993521</v>
      </c>
      <c r="D90">
        <f ca="1">_xlfn.VAR.P(B$2:B90)</f>
        <v>1.3943270661426357</v>
      </c>
    </row>
    <row r="91" spans="1:4" x14ac:dyDescent="0.3">
      <c r="A91">
        <f t="shared" ca="1" si="2"/>
        <v>0.39343684680351865</v>
      </c>
      <c r="B91">
        <f t="shared" ca="1" si="3"/>
        <v>0.23968753441424462</v>
      </c>
      <c r="C91">
        <f ca="1">AVERAGE(B$2:B91)</f>
        <v>0.22854778310498311</v>
      </c>
      <c r="D91">
        <f ca="1">_xlfn.VAR.P(B$2:B91)</f>
        <v>1.3788359375007673</v>
      </c>
    </row>
    <row r="92" spans="1:4" x14ac:dyDescent="0.3">
      <c r="A92">
        <f t="shared" ca="1" si="2"/>
        <v>0.15316220444740014</v>
      </c>
      <c r="B92">
        <f t="shared" ca="1" si="3"/>
        <v>1.1831105788153449</v>
      </c>
      <c r="C92">
        <f ca="1">AVERAGE(B$2:B92)</f>
        <v>0.23903748415674533</v>
      </c>
      <c r="D92">
        <f ca="1">_xlfn.VAR.P(B$2:B92)</f>
        <v>1.3735869387655086</v>
      </c>
    </row>
    <row r="93" spans="1:4" x14ac:dyDescent="0.3">
      <c r="A93">
        <f t="shared" ca="1" si="2"/>
        <v>0.98954419454262288</v>
      </c>
      <c r="B93">
        <f t="shared" ca="1" si="3"/>
        <v>-3.8674507281095205</v>
      </c>
      <c r="C93">
        <f ca="1">AVERAGE(B$2:B93)</f>
        <v>0.19440174271906852</v>
      </c>
      <c r="D93">
        <f ca="1">_xlfn.VAR.P(B$2:B93)</f>
        <v>1.5399604425987337</v>
      </c>
    </row>
    <row r="94" spans="1:4" x14ac:dyDescent="0.3">
      <c r="A94">
        <f t="shared" ca="1" si="2"/>
        <v>0.82133931718732855</v>
      </c>
      <c r="B94">
        <f t="shared" ca="1" si="3"/>
        <v>-1.0291197183004821</v>
      </c>
      <c r="C94">
        <f ca="1">AVERAGE(B$2:B94)</f>
        <v>0.1812455979769228</v>
      </c>
      <c r="D94">
        <f ca="1">_xlfn.VAR.P(B$2:B94)</f>
        <v>1.5393254694540066</v>
      </c>
    </row>
    <row r="95" spans="1:4" x14ac:dyDescent="0.3">
      <c r="A95">
        <f t="shared" ca="1" si="2"/>
        <v>0.78325187694057252</v>
      </c>
      <c r="B95">
        <f t="shared" ca="1" si="3"/>
        <v>-0.83587214227111017</v>
      </c>
      <c r="C95">
        <f ca="1">AVERAGE(B$2:B95)</f>
        <v>0.17042519648492246</v>
      </c>
      <c r="D95">
        <f ca="1">_xlfn.VAR.P(B$2:B95)</f>
        <v>1.5338382078131463</v>
      </c>
    </row>
    <row r="96" spans="1:4" x14ac:dyDescent="0.3">
      <c r="A96">
        <f t="shared" ca="1" si="2"/>
        <v>0.44287530461572744</v>
      </c>
      <c r="B96">
        <f t="shared" ca="1" si="3"/>
        <v>0.12131984742256148</v>
      </c>
      <c r="C96">
        <f ca="1">AVERAGE(B$2:B96)</f>
        <v>0.16990829807373972</v>
      </c>
      <c r="D96">
        <f ca="1">_xlfn.VAR.P(B$2:B96)</f>
        <v>1.5177176577606881</v>
      </c>
    </row>
    <row r="97" spans="1:4" x14ac:dyDescent="0.3">
      <c r="A97">
        <f t="shared" ca="1" si="2"/>
        <v>0.77044596383897201</v>
      </c>
      <c r="B97">
        <f t="shared" ca="1" si="3"/>
        <v>-0.77846964495394988</v>
      </c>
      <c r="C97">
        <f ca="1">AVERAGE(B$2:B97)</f>
        <v>0.16002936116720129</v>
      </c>
      <c r="D97">
        <f ca="1">_xlfn.VAR.P(B$2:B97)</f>
        <v>1.5111794712940008</v>
      </c>
    </row>
    <row r="98" spans="1:4" x14ac:dyDescent="0.3">
      <c r="A98">
        <f t="shared" ca="1" si="2"/>
        <v>0.3945636273519767</v>
      </c>
      <c r="B98">
        <f t="shared" ca="1" si="3"/>
        <v>0.23682768507814927</v>
      </c>
      <c r="C98">
        <f ca="1">AVERAGE(B$2:B98)</f>
        <v>0.16082109646525231</v>
      </c>
      <c r="D98">
        <f ca="1">_xlfn.VAR.P(B$2:B98)</f>
        <v>1.4956604785859353</v>
      </c>
    </row>
    <row r="99" spans="1:4" x14ac:dyDescent="0.3">
      <c r="A99">
        <f t="shared" ca="1" si="2"/>
        <v>0.82190228258150788</v>
      </c>
      <c r="B99">
        <f t="shared" ca="1" si="3"/>
        <v>-1.0322757245001588</v>
      </c>
      <c r="C99">
        <f ca="1">AVERAGE(B$2:B99)</f>
        <v>0.14864663910846238</v>
      </c>
      <c r="D99">
        <f ca="1">_xlfn.VAR.P(B$2:B99)</f>
        <v>1.4947757259251444</v>
      </c>
    </row>
    <row r="100" spans="1:4" x14ac:dyDescent="0.3">
      <c r="A100">
        <f t="shared" ca="1" si="2"/>
        <v>7.2007064013766442E-2</v>
      </c>
      <c r="B100">
        <f t="shared" ca="1" si="3"/>
        <v>1.9378438729164238</v>
      </c>
      <c r="C100">
        <f ca="1">AVERAGE(B$2:B100)</f>
        <v>0.16671933843985592</v>
      </c>
      <c r="D100">
        <f ca="1">_xlfn.VAR.P(B$2:B100)</f>
        <v>1.5116859824088793</v>
      </c>
    </row>
    <row r="101" spans="1:4" x14ac:dyDescent="0.3">
      <c r="A101">
        <f t="shared" ca="1" si="2"/>
        <v>2.1752532923173251E-2</v>
      </c>
      <c r="B101">
        <f t="shared" ca="1" si="3"/>
        <v>3.1348778914301492</v>
      </c>
      <c r="C101">
        <f ca="1">AVERAGE(B$2:B101)</f>
        <v>0.19640092396975889</v>
      </c>
      <c r="D101">
        <f ca="1">_xlfn.VAR.P(B$2:B101)</f>
        <v>1.5837877780221159</v>
      </c>
    </row>
    <row r="102" spans="1:4" x14ac:dyDescent="0.3">
      <c r="A102">
        <f t="shared" ca="1" si="2"/>
        <v>0.29187304006338344</v>
      </c>
      <c r="B102">
        <f t="shared" ca="1" si="3"/>
        <v>0.53828918500784217</v>
      </c>
      <c r="C102">
        <f ca="1">AVERAGE(B$2:B102)</f>
        <v>0.19978595625726464</v>
      </c>
      <c r="D102">
        <f ca="1">_xlfn.VAR.P(B$2:B102)</f>
        <v>1.5692525552717316</v>
      </c>
    </row>
    <row r="103" spans="1:4" x14ac:dyDescent="0.3">
      <c r="A103">
        <f t="shared" ca="1" si="2"/>
        <v>0.89744086192137351</v>
      </c>
      <c r="B103">
        <f t="shared" ca="1" si="3"/>
        <v>-1.5841685093547007</v>
      </c>
      <c r="C103">
        <f ca="1">AVERAGE(B$2:B103)</f>
        <v>0.18229620659440224</v>
      </c>
      <c r="D103">
        <f ca="1">_xlfn.VAR.P(B$2:B103)</f>
        <v>1.5847627519687086</v>
      </c>
    </row>
    <row r="104" spans="1:4" x14ac:dyDescent="0.3">
      <c r="A104">
        <f t="shared" ca="1" si="2"/>
        <v>0.27790210147057537</v>
      </c>
      <c r="B104">
        <f t="shared" ca="1" si="3"/>
        <v>0.58733919973551929</v>
      </c>
      <c r="C104">
        <f ca="1">AVERAGE(B$2:B104)</f>
        <v>0.18622866283849077</v>
      </c>
      <c r="D104">
        <f ca="1">_xlfn.VAR.P(B$2:B104)</f>
        <v>1.5709540554684804</v>
      </c>
    </row>
    <row r="105" spans="1:4" x14ac:dyDescent="0.3">
      <c r="A105">
        <f t="shared" ca="1" si="2"/>
        <v>0.37810586833008342</v>
      </c>
      <c r="B105">
        <f t="shared" ca="1" si="3"/>
        <v>0.27943386706895978</v>
      </c>
      <c r="C105">
        <f ca="1">AVERAGE(B$2:B105)</f>
        <v>0.18712486672532219</v>
      </c>
      <c r="D105">
        <f ca="1">_xlfn.VAR.P(B$2:B105)</f>
        <v>1.5559314556969501</v>
      </c>
    </row>
    <row r="106" spans="1:4" x14ac:dyDescent="0.3">
      <c r="A106">
        <f t="shared" ca="1" si="2"/>
        <v>0.86098758543080156</v>
      </c>
      <c r="B106">
        <f t="shared" ca="1" si="3"/>
        <v>-1.2800448558322377</v>
      </c>
      <c r="C106">
        <f ca="1">AVERAGE(B$2:B106)</f>
        <v>0.17315182174858354</v>
      </c>
      <c r="D106">
        <f ca="1">_xlfn.VAR.P(B$2:B106)</f>
        <v>1.5614186434166728</v>
      </c>
    </row>
    <row r="107" spans="1:4" x14ac:dyDescent="0.3">
      <c r="A107">
        <f t="shared" ca="1" si="2"/>
        <v>0.1609230105500159</v>
      </c>
      <c r="B107">
        <f t="shared" ca="1" si="3"/>
        <v>1.1336820431511001</v>
      </c>
      <c r="C107">
        <f ca="1">AVERAGE(B$2:B107)</f>
        <v>0.18221342761087142</v>
      </c>
      <c r="D107">
        <f ca="1">_xlfn.VAR.P(B$2:B107)</f>
        <v>1.5553101124405007</v>
      </c>
    </row>
    <row r="108" spans="1:4" x14ac:dyDescent="0.3">
      <c r="A108">
        <f t="shared" ca="1" si="2"/>
        <v>0.56336742791428562</v>
      </c>
      <c r="B108">
        <f t="shared" ca="1" si="3"/>
        <v>-0.13551605313646359</v>
      </c>
      <c r="C108">
        <f ca="1">AVERAGE(B$2:B108)</f>
        <v>0.17924399321136364</v>
      </c>
      <c r="D108">
        <f ca="1">_xlfn.VAR.P(B$2:B108)</f>
        <v>1.5417091632222351</v>
      </c>
    </row>
    <row r="109" spans="1:4" x14ac:dyDescent="0.3">
      <c r="A109">
        <f t="shared" ca="1" si="2"/>
        <v>0.3536561593471792</v>
      </c>
      <c r="B109">
        <f t="shared" ca="1" si="3"/>
        <v>0.34628295858633257</v>
      </c>
      <c r="C109">
        <f ca="1">AVERAGE(B$2:B109)</f>
        <v>0.1807906502981689</v>
      </c>
      <c r="D109">
        <f ca="1">_xlfn.VAR.P(B$2:B109)</f>
        <v>1.5276900382290106</v>
      </c>
    </row>
    <row r="110" spans="1:4" x14ac:dyDescent="0.3">
      <c r="A110">
        <f t="shared" ca="1" si="2"/>
        <v>0.28657578235527192</v>
      </c>
      <c r="B110">
        <f t="shared" ca="1" si="3"/>
        <v>0.55660508640557627</v>
      </c>
      <c r="C110">
        <f ca="1">AVERAGE(B$2:B110)</f>
        <v>0.18423848916153959</v>
      </c>
      <c r="D110">
        <f ca="1">_xlfn.VAR.P(B$2:B110)</f>
        <v>1.5149583933165289</v>
      </c>
    </row>
    <row r="111" spans="1:4" x14ac:dyDescent="0.3">
      <c r="A111">
        <f t="shared" ca="1" si="2"/>
        <v>0.65653851737822189</v>
      </c>
      <c r="B111">
        <f t="shared" ca="1" si="3"/>
        <v>-0.37553312515251169</v>
      </c>
      <c r="C111">
        <f ca="1">AVERAGE(B$2:B111)</f>
        <v>0.17914965630413915</v>
      </c>
      <c r="D111">
        <f ca="1">_xlfn.VAR.P(B$2:B111)</f>
        <v>1.5040087322500892</v>
      </c>
    </row>
    <row r="112" spans="1:4" x14ac:dyDescent="0.3">
      <c r="A112">
        <f t="shared" ca="1" si="2"/>
        <v>0.62853880813093788</v>
      </c>
      <c r="B112">
        <f t="shared" ca="1" si="3"/>
        <v>-0.29716370306139683</v>
      </c>
      <c r="C112">
        <f ca="1">AVERAGE(B$2:B112)</f>
        <v>0.17485854495850367</v>
      </c>
      <c r="D112">
        <f ca="1">_xlfn.VAR.P(B$2:B112)</f>
        <v>1.4924846040554911</v>
      </c>
    </row>
    <row r="113" spans="1:4" x14ac:dyDescent="0.3">
      <c r="A113">
        <f t="shared" ca="1" si="2"/>
        <v>0.34670946112586998</v>
      </c>
      <c r="B113">
        <f t="shared" ca="1" si="3"/>
        <v>0.36612095701826447</v>
      </c>
      <c r="C113">
        <f ca="1">AVERAGE(B$2:B113)</f>
        <v>0.1765662450661801</v>
      </c>
      <c r="D113">
        <f ca="1">_xlfn.VAR.P(B$2:B113)</f>
        <v>1.4794825512641494</v>
      </c>
    </row>
    <row r="114" spans="1:4" x14ac:dyDescent="0.3">
      <c r="A114">
        <f t="shared" ca="1" si="2"/>
        <v>0.84100423741231811</v>
      </c>
      <c r="B114">
        <f t="shared" ca="1" si="3"/>
        <v>-1.145730546949026</v>
      </c>
      <c r="C114">
        <f ca="1">AVERAGE(B$2:B114)</f>
        <v>0.16486450354392165</v>
      </c>
      <c r="D114">
        <f ca="1">_xlfn.VAR.P(B$2:B114)</f>
        <v>1.4817260298449788</v>
      </c>
    </row>
    <row r="115" spans="1:4" x14ac:dyDescent="0.3">
      <c r="A115">
        <f t="shared" ca="1" si="2"/>
        <v>0.27671065866066091</v>
      </c>
      <c r="B115">
        <f t="shared" ca="1" si="3"/>
        <v>0.59163569173275576</v>
      </c>
      <c r="C115">
        <f ca="1">AVERAGE(B$2:B115)</f>
        <v>0.16860811045785878</v>
      </c>
      <c r="D115">
        <f ca="1">_xlfn.VAR.P(B$2:B115)</f>
        <v>1.4703120820699991</v>
      </c>
    </row>
    <row r="116" spans="1:4" x14ac:dyDescent="0.3">
      <c r="A116">
        <f t="shared" ca="1" si="2"/>
        <v>0.34034578400246784</v>
      </c>
      <c r="B116">
        <f t="shared" ca="1" si="3"/>
        <v>0.38464598584612364</v>
      </c>
      <c r="C116">
        <f ca="1">AVERAGE(B$2:B116)</f>
        <v>0.17048670067862631</v>
      </c>
      <c r="D116">
        <f ca="1">_xlfn.VAR.P(B$2:B116)</f>
        <v>1.4579290771560192</v>
      </c>
    </row>
    <row r="117" spans="1:4" x14ac:dyDescent="0.3">
      <c r="A117">
        <f t="shared" ca="1" si="2"/>
        <v>0.53807070379291588</v>
      </c>
      <c r="B117">
        <f t="shared" ca="1" si="3"/>
        <v>-7.919625756484594E-2</v>
      </c>
      <c r="C117">
        <f ca="1">AVERAGE(B$2:B117)</f>
        <v>0.16833426138342397</v>
      </c>
      <c r="D117">
        <f ca="1">_xlfn.VAR.P(B$2:B117)</f>
        <v>1.4458935174583509</v>
      </c>
    </row>
    <row r="118" spans="1:4" x14ac:dyDescent="0.3">
      <c r="A118">
        <f t="shared" ca="1" si="2"/>
        <v>0.91203543384588182</v>
      </c>
      <c r="B118">
        <f t="shared" ca="1" si="3"/>
        <v>-1.7376740223717859</v>
      </c>
      <c r="C118">
        <f ca="1">AVERAGE(B$2:B118)</f>
        <v>0.15204359229149911</v>
      </c>
      <c r="D118">
        <f ca="1">_xlfn.VAR.P(B$2:B118)</f>
        <v>1.4643202175442314</v>
      </c>
    </row>
    <row r="119" spans="1:4" x14ac:dyDescent="0.3">
      <c r="A119">
        <f t="shared" ca="1" si="2"/>
        <v>0.41308085290716023</v>
      </c>
      <c r="B119">
        <f t="shared" ca="1" si="3"/>
        <v>0.19096475487056275</v>
      </c>
      <c r="C119">
        <f ca="1">AVERAGE(B$2:B119)</f>
        <v>0.15237343265233863</v>
      </c>
      <c r="D119">
        <f ca="1">_xlfn.VAR.P(B$2:B119)</f>
        <v>1.451923453150858</v>
      </c>
    </row>
    <row r="120" spans="1:4" x14ac:dyDescent="0.3">
      <c r="A120">
        <f t="shared" ca="1" si="2"/>
        <v>0.47314051337102903</v>
      </c>
      <c r="B120">
        <f t="shared" ca="1" si="3"/>
        <v>5.5215685608656827E-2</v>
      </c>
      <c r="C120">
        <f ca="1">AVERAGE(B$2:B120)</f>
        <v>0.15155698099650938</v>
      </c>
      <c r="D120">
        <f ca="1">_xlfn.VAR.P(B$2:B120)</f>
        <v>1.4398010737395666</v>
      </c>
    </row>
    <row r="121" spans="1:4" x14ac:dyDescent="0.3">
      <c r="A121">
        <f t="shared" ca="1" si="2"/>
        <v>0.47066925087125766</v>
      </c>
      <c r="B121">
        <f t="shared" ca="1" si="3"/>
        <v>6.0452478532517645E-2</v>
      </c>
      <c r="C121">
        <f ca="1">AVERAGE(B$2:B121)</f>
        <v>0.15079777680930948</v>
      </c>
      <c r="D121">
        <f ca="1">_xlfn.VAR.P(B$2:B121)</f>
        <v>1.4278713219871491</v>
      </c>
    </row>
    <row r="122" spans="1:4" x14ac:dyDescent="0.3">
      <c r="A122">
        <f t="shared" ca="1" si="2"/>
        <v>0.24217513621446274</v>
      </c>
      <c r="B122">
        <f t="shared" ca="1" si="3"/>
        <v>0.72494693064696036</v>
      </c>
      <c r="C122">
        <f ca="1">AVERAGE(B$2:B122)</f>
        <v>0.15554281113854626</v>
      </c>
      <c r="D122">
        <f ca="1">_xlfn.VAR.P(B$2:B122)</f>
        <v>1.4187725746435147</v>
      </c>
    </row>
    <row r="123" spans="1:4" x14ac:dyDescent="0.3">
      <c r="A123">
        <f t="shared" ca="1" si="2"/>
        <v>0.79011250770129693</v>
      </c>
      <c r="B123">
        <f t="shared" ca="1" si="3"/>
        <v>-0.86803646222910402</v>
      </c>
      <c r="C123">
        <f ca="1">AVERAGE(B$2:B123)</f>
        <v>0.14715281709454914</v>
      </c>
      <c r="D123">
        <f ca="1">_xlfn.VAR.P(B$2:B123)</f>
        <v>1.4156607232518525</v>
      </c>
    </row>
    <row r="124" spans="1:4" x14ac:dyDescent="0.3">
      <c r="A124">
        <f t="shared" ca="1" si="2"/>
        <v>0.72603522002324183</v>
      </c>
      <c r="B124">
        <f t="shared" ca="1" si="3"/>
        <v>-0.60160854052693458</v>
      </c>
      <c r="C124">
        <f ca="1">AVERAGE(B$2:B124)</f>
        <v>0.14106532638217933</v>
      </c>
      <c r="D124">
        <f ca="1">_xlfn.VAR.P(B$2:B124)</f>
        <v>1.4086723067445766</v>
      </c>
    </row>
    <row r="125" spans="1:4" x14ac:dyDescent="0.3">
      <c r="A125">
        <f t="shared" ca="1" si="2"/>
        <v>0.73997834088359937</v>
      </c>
      <c r="B125">
        <f t="shared" ca="1" si="3"/>
        <v>-0.65384316658242547</v>
      </c>
      <c r="C125">
        <f ca="1">AVERAGE(B$2:B125)</f>
        <v>0.13465477401956155</v>
      </c>
      <c r="D125">
        <f ca="1">_xlfn.VAR.P(B$2:B125)</f>
        <v>1.4023667535423592</v>
      </c>
    </row>
    <row r="126" spans="1:4" x14ac:dyDescent="0.3">
      <c r="A126">
        <f t="shared" ca="1" si="2"/>
        <v>0.60288871154852242</v>
      </c>
      <c r="B126">
        <f t="shared" ca="1" si="3"/>
        <v>-0.23039153346294883</v>
      </c>
      <c r="C126">
        <f ca="1">AVERAGE(B$2:B126)</f>
        <v>0.13173440355970145</v>
      </c>
      <c r="D126">
        <f ca="1">_xlfn.VAR.P(B$2:B126)</f>
        <v>1.3922053614032501</v>
      </c>
    </row>
    <row r="127" spans="1:4" x14ac:dyDescent="0.3">
      <c r="A127">
        <f t="shared" ca="1" si="2"/>
        <v>0.27162965604070233</v>
      </c>
      <c r="B127">
        <f t="shared" ca="1" si="3"/>
        <v>0.61016851856332588</v>
      </c>
      <c r="C127">
        <f ca="1">AVERAGE(B$2:B127)</f>
        <v>0.13553149971052389</v>
      </c>
      <c r="D127">
        <f ca="1">_xlfn.VAR.P(B$2:B127)</f>
        <v>1.3829583549005484</v>
      </c>
    </row>
    <row r="128" spans="1:4" x14ac:dyDescent="0.3">
      <c r="A128">
        <f t="shared" ca="1" si="2"/>
        <v>8.1126279492426678E-2</v>
      </c>
      <c r="B128">
        <f t="shared" ca="1" si="3"/>
        <v>1.8186011516588092</v>
      </c>
      <c r="C128">
        <f ca="1">AVERAGE(B$2:B128)</f>
        <v>0.14878401665499857</v>
      </c>
      <c r="D128">
        <f ca="1">_xlfn.VAR.P(B$2:B128)</f>
        <v>1.3941981989110017</v>
      </c>
    </row>
    <row r="129" spans="1:4" x14ac:dyDescent="0.3">
      <c r="A129">
        <f t="shared" ca="1" si="2"/>
        <v>0.62153350924178707</v>
      </c>
      <c r="B129">
        <f t="shared" ca="1" si="3"/>
        <v>-0.27848056114624548</v>
      </c>
      <c r="C129">
        <f ca="1">AVERAGE(B$2:B129)</f>
        <v>0.14544601214092634</v>
      </c>
      <c r="D129">
        <f ca="1">_xlfn.VAR.P(B$2:B129)</f>
        <v>1.3847210942972774</v>
      </c>
    </row>
    <row r="130" spans="1:4" x14ac:dyDescent="0.3">
      <c r="A130">
        <f t="shared" ca="1" si="2"/>
        <v>0.32848332646127365</v>
      </c>
      <c r="B130">
        <f t="shared" ca="1" si="3"/>
        <v>0.42012201837237168</v>
      </c>
      <c r="C130">
        <f ca="1">AVERAGE(B$2:B130)</f>
        <v>0.14757528350706156</v>
      </c>
      <c r="D130">
        <f ca="1">_xlfn.VAR.P(B$2:B130)</f>
        <v>1.3745671482069435</v>
      </c>
    </row>
    <row r="131" spans="1:4" x14ac:dyDescent="0.3">
      <c r="A131">
        <f t="shared" ref="A131:A194" ca="1" si="4">RAND()</f>
        <v>0.91859975990419362</v>
      </c>
      <c r="B131">
        <f t="shared" ref="B131:B194" ca="1" si="5">-SIGN(0.5-A131)*LN(1-2*ABS(0.5-A131))*$F$1</f>
        <v>-1.8152298758381162</v>
      </c>
      <c r="C131">
        <f ca="1">AVERAGE(B$2:B131)</f>
        <v>0.13247678228132942</v>
      </c>
      <c r="D131">
        <f ca="1">_xlfn.VAR.P(B$2:B131)</f>
        <v>1.3934010061241811</v>
      </c>
    </row>
    <row r="132" spans="1:4" x14ac:dyDescent="0.3">
      <c r="A132">
        <f t="shared" ca="1" si="4"/>
        <v>0.34610990269167474</v>
      </c>
      <c r="B132">
        <f t="shared" ca="1" si="5"/>
        <v>0.36785173596347503</v>
      </c>
      <c r="C132">
        <f ca="1">AVERAGE(B$2:B132)</f>
        <v>0.13427353765294886</v>
      </c>
      <c r="D132">
        <f ca="1">_xlfn.VAR.P(B$2:B132)</f>
        <v>1.3831840401049775</v>
      </c>
    </row>
    <row r="133" spans="1:4" x14ac:dyDescent="0.3">
      <c r="A133">
        <f t="shared" ca="1" si="4"/>
        <v>0.8109967150163151</v>
      </c>
      <c r="B133">
        <f t="shared" ca="1" si="5"/>
        <v>-0.97284370264753717</v>
      </c>
      <c r="C133">
        <f ca="1">AVERAGE(B$2:B133)</f>
        <v>0.12588628583249065</v>
      </c>
      <c r="D133">
        <f ca="1">_xlfn.VAR.P(B$2:B133)</f>
        <v>1.3819206982305563</v>
      </c>
    </row>
    <row r="134" spans="1:4" x14ac:dyDescent="0.3">
      <c r="A134">
        <f t="shared" ca="1" si="4"/>
        <v>0.93251675900667719</v>
      </c>
      <c r="B134">
        <f t="shared" ca="1" si="5"/>
        <v>-2.0027288129510845</v>
      </c>
      <c r="C134">
        <f ca="1">AVERAGE(B$2:B134)</f>
        <v>0.10988166102960663</v>
      </c>
      <c r="D134">
        <f ca="1">_xlfn.VAR.P(B$2:B134)</f>
        <v>1.4053418550315568</v>
      </c>
    </row>
    <row r="135" spans="1:4" x14ac:dyDescent="0.3">
      <c r="A135">
        <f t="shared" ca="1" si="4"/>
        <v>0.68594788025930276</v>
      </c>
      <c r="B135">
        <f t="shared" ca="1" si="5"/>
        <v>-0.46504913985282098</v>
      </c>
      <c r="C135">
        <f ca="1">AVERAGE(B$2:B135)</f>
        <v>0.10559113266481239</v>
      </c>
      <c r="D135">
        <f ca="1">_xlfn.VAR.P(B$2:B135)</f>
        <v>1.3973025775230701</v>
      </c>
    </row>
    <row r="136" spans="1:4" x14ac:dyDescent="0.3">
      <c r="A136">
        <f t="shared" ca="1" si="4"/>
        <v>0.57257265537853808</v>
      </c>
      <c r="B136">
        <f t="shared" ca="1" si="5"/>
        <v>-0.1568237785910552</v>
      </c>
      <c r="C136">
        <f ca="1">AVERAGE(B$2:B136)</f>
        <v>0.10364731850736152</v>
      </c>
      <c r="D136">
        <f ca="1">_xlfn.VAR.P(B$2:B136)</f>
        <v>1.3874584954660827</v>
      </c>
    </row>
    <row r="137" spans="1:4" x14ac:dyDescent="0.3">
      <c r="A137">
        <f t="shared" ca="1" si="4"/>
        <v>0.47595233057555375</v>
      </c>
      <c r="B137">
        <f t="shared" ca="1" si="5"/>
        <v>4.9290395055379153E-2</v>
      </c>
      <c r="C137">
        <f ca="1">AVERAGE(B$2:B137)</f>
        <v>0.10324763524668518</v>
      </c>
      <c r="D137">
        <f ca="1">_xlfn.VAR.P(B$2:B137)</f>
        <v>1.3772781605698232</v>
      </c>
    </row>
    <row r="138" spans="1:4" x14ac:dyDescent="0.3">
      <c r="A138">
        <f t="shared" ca="1" si="4"/>
        <v>0.98182257893146707</v>
      </c>
      <c r="B138">
        <f t="shared" ca="1" si="5"/>
        <v>-3.3144278751515208</v>
      </c>
      <c r="C138">
        <f ca="1">AVERAGE(B$2:B138)</f>
        <v>7.8301098674435493E-2</v>
      </c>
      <c r="D138">
        <f ca="1">_xlfn.VAR.P(B$2:B138)</f>
        <v>1.4518618727354697</v>
      </c>
    </row>
    <row r="139" spans="1:4" x14ac:dyDescent="0.3">
      <c r="A139">
        <f t="shared" ca="1" si="4"/>
        <v>0.31457609625026173</v>
      </c>
      <c r="B139">
        <f t="shared" ca="1" si="5"/>
        <v>0.46338209208887415</v>
      </c>
      <c r="C139">
        <f ca="1">AVERAGE(B$2:B139)</f>
        <v>8.109154065569954E-2</v>
      </c>
      <c r="D139">
        <f ca="1">_xlfn.VAR.P(B$2:B139)</f>
        <v>1.4424078941310015</v>
      </c>
    </row>
    <row r="140" spans="1:4" x14ac:dyDescent="0.3">
      <c r="A140">
        <f t="shared" ca="1" si="4"/>
        <v>0.27309644835819258</v>
      </c>
      <c r="B140">
        <f t="shared" ca="1" si="5"/>
        <v>0.60478307494034278</v>
      </c>
      <c r="C140">
        <f ca="1">AVERAGE(B$2:B140)</f>
        <v>8.4859105650553088E-2</v>
      </c>
      <c r="D140">
        <f ca="1">_xlfn.VAR.P(B$2:B140)</f>
        <v>1.4339897062681075</v>
      </c>
    </row>
    <row r="141" spans="1:4" x14ac:dyDescent="0.3">
      <c r="A141">
        <f t="shared" ca="1" si="4"/>
        <v>0.17807083866498719</v>
      </c>
      <c r="B141">
        <f t="shared" ca="1" si="5"/>
        <v>1.0324266572711565</v>
      </c>
      <c r="C141">
        <f ca="1">AVERAGE(B$2:B141)</f>
        <v>9.1627445304985969E-2</v>
      </c>
      <c r="D141">
        <f ca="1">_xlfn.VAR.P(B$2:B141)</f>
        <v>1.4301145712651167</v>
      </c>
    </row>
    <row r="142" spans="1:4" x14ac:dyDescent="0.3">
      <c r="A142">
        <f t="shared" ca="1" si="4"/>
        <v>2.5643285940989746E-2</v>
      </c>
      <c r="B142">
        <f t="shared" ca="1" si="5"/>
        <v>2.9703263177562338</v>
      </c>
      <c r="C142">
        <f ca="1">AVERAGE(B$2:B142)</f>
        <v>0.11204374936492389</v>
      </c>
      <c r="D142">
        <f ca="1">_xlfn.VAR.P(B$2:B142)</f>
        <v>1.4783274807368185</v>
      </c>
    </row>
    <row r="143" spans="1:4" x14ac:dyDescent="0.3">
      <c r="A143">
        <f t="shared" ca="1" si="4"/>
        <v>0.79898695017798527</v>
      </c>
      <c r="B143">
        <f t="shared" ca="1" si="5"/>
        <v>-0.9112382679829838</v>
      </c>
      <c r="C143">
        <f ca="1">AVERAGE(B$2:B143)</f>
        <v>0.1048375379751499</v>
      </c>
      <c r="D143">
        <f ca="1">_xlfn.VAR.P(B$2:B143)</f>
        <v>1.4752387808759904</v>
      </c>
    </row>
    <row r="144" spans="1:4" x14ac:dyDescent="0.3">
      <c r="A144">
        <f t="shared" ca="1" si="4"/>
        <v>0.46828101642268583</v>
      </c>
      <c r="B144">
        <f t="shared" ca="1" si="5"/>
        <v>6.5539520268346405E-2</v>
      </c>
      <c r="C144">
        <f ca="1">AVERAGE(B$2:B144)</f>
        <v>0.10456272666251491</v>
      </c>
      <c r="D144">
        <f ca="1">_xlfn.VAR.P(B$2:B144)</f>
        <v>1.4649331497835421</v>
      </c>
    </row>
    <row r="145" spans="1:4" x14ac:dyDescent="0.3">
      <c r="A145">
        <f t="shared" ca="1" si="4"/>
        <v>0.71873011049060598</v>
      </c>
      <c r="B145">
        <f t="shared" ca="1" si="5"/>
        <v>-0.57529342914835657</v>
      </c>
      <c r="C145">
        <f ca="1">AVERAGE(B$2:B145)</f>
        <v>9.9841503358272743E-2</v>
      </c>
      <c r="D145">
        <f ca="1">_xlfn.VAR.P(B$2:B145)</f>
        <v>1.4579474656869034</v>
      </c>
    </row>
    <row r="146" spans="1:4" x14ac:dyDescent="0.3">
      <c r="A146">
        <f t="shared" ca="1" si="4"/>
        <v>0.58811337935626917</v>
      </c>
      <c r="B146">
        <f t="shared" ca="1" si="5"/>
        <v>-0.19385997955740442</v>
      </c>
      <c r="C146">
        <f ca="1">AVERAGE(B$2:B146)</f>
        <v>9.7815975889888773E-2</v>
      </c>
      <c r="D146">
        <f ca="1">_xlfn.VAR.P(B$2:B146)</f>
        <v>1.4484834532383435</v>
      </c>
    </row>
    <row r="147" spans="1:4" x14ac:dyDescent="0.3">
      <c r="A147">
        <f t="shared" ca="1" si="4"/>
        <v>0.73492997223763012</v>
      </c>
      <c r="B147">
        <f t="shared" ca="1" si="5"/>
        <v>-0.63461405163830287</v>
      </c>
      <c r="C147">
        <f ca="1">AVERAGE(B$2:B147)</f>
        <v>9.2799331865723075E-2</v>
      </c>
      <c r="D147">
        <f ca="1">_xlfn.VAR.P(B$2:B147)</f>
        <v>1.4422115076990689</v>
      </c>
    </row>
    <row r="148" spans="1:4" x14ac:dyDescent="0.3">
      <c r="A148">
        <f t="shared" ca="1" si="4"/>
        <v>2.3983142170869165E-4</v>
      </c>
      <c r="B148">
        <f t="shared" ca="1" si="5"/>
        <v>7.6424271104146202</v>
      </c>
      <c r="C148">
        <f ca="1">AVERAGE(B$2:B148)</f>
        <v>0.14415734396469518</v>
      </c>
      <c r="D148">
        <f ca="1">_xlfn.VAR.P(B$2:B148)</f>
        <v>1.8174967744483519</v>
      </c>
    </row>
    <row r="149" spans="1:4" x14ac:dyDescent="0.3">
      <c r="A149">
        <f t="shared" ca="1" si="4"/>
        <v>0.4696886960567983</v>
      </c>
      <c r="B149">
        <f t="shared" ca="1" si="5"/>
        <v>6.2537971983293736E-2</v>
      </c>
      <c r="C149">
        <f ca="1">AVERAGE(B$2:B149)</f>
        <v>0.14360586172157758</v>
      </c>
      <c r="D149">
        <f ca="1">_xlfn.VAR.P(B$2:B149)</f>
        <v>1.8052610983388921</v>
      </c>
    </row>
    <row r="150" spans="1:4" x14ac:dyDescent="0.3">
      <c r="A150">
        <f t="shared" ca="1" si="4"/>
        <v>1.8094823305999541E-2</v>
      </c>
      <c r="B150">
        <f t="shared" ca="1" si="5"/>
        <v>3.3189822062510923</v>
      </c>
      <c r="C150">
        <f ca="1">AVERAGE(B$2:B150)</f>
        <v>0.16491711235600387</v>
      </c>
      <c r="D150">
        <f ca="1">_xlfn.VAR.P(B$2:B150)</f>
        <v>1.8603623237746092</v>
      </c>
    </row>
    <row r="151" spans="1:4" x14ac:dyDescent="0.3">
      <c r="A151">
        <f t="shared" ca="1" si="4"/>
        <v>0.58176771075464184</v>
      </c>
      <c r="B151">
        <f t="shared" ca="1" si="5"/>
        <v>-0.17857110435234747</v>
      </c>
      <c r="C151">
        <f ca="1">AVERAGE(B$2:B151)</f>
        <v>0.16262719091128153</v>
      </c>
      <c r="D151">
        <f ca="1">_xlfn.VAR.P(B$2:B151)</f>
        <v>1.8487412255760052</v>
      </c>
    </row>
    <row r="152" spans="1:4" x14ac:dyDescent="0.3">
      <c r="A152">
        <f t="shared" ca="1" si="4"/>
        <v>0.42057682762896886</v>
      </c>
      <c r="B152">
        <f t="shared" ca="1" si="5"/>
        <v>0.17298093027812714</v>
      </c>
      <c r="C152">
        <f ca="1">AVERAGE(B$2:B152)</f>
        <v>0.16269575872165798</v>
      </c>
      <c r="D152">
        <f ca="1">_xlfn.VAR.P(B$2:B152)</f>
        <v>1.8364986114330228</v>
      </c>
    </row>
    <row r="153" spans="1:4" x14ac:dyDescent="0.3">
      <c r="A153">
        <f t="shared" ca="1" si="4"/>
        <v>0.47418937856569432</v>
      </c>
      <c r="B153">
        <f t="shared" ca="1" si="5"/>
        <v>5.3001323680090119E-2</v>
      </c>
      <c r="C153">
        <f ca="1">AVERAGE(B$2:B153)</f>
        <v>0.16197408480691081</v>
      </c>
      <c r="D153">
        <f ca="1">_xlfn.VAR.P(B$2:B153)</f>
        <v>1.8244950265253497</v>
      </c>
    </row>
    <row r="154" spans="1:4" x14ac:dyDescent="0.3">
      <c r="A154">
        <f t="shared" ca="1" si="4"/>
        <v>0.34810258301471697</v>
      </c>
      <c r="B154">
        <f t="shared" ca="1" si="5"/>
        <v>0.3621108833085227</v>
      </c>
      <c r="C154">
        <f ca="1">AVERAGE(B$2:B154)</f>
        <v>0.16328216845724816</v>
      </c>
      <c r="D154">
        <f ca="1">_xlfn.VAR.P(B$2:B154)</f>
        <v>1.8128303070215273</v>
      </c>
    </row>
    <row r="155" spans="1:4" x14ac:dyDescent="0.3">
      <c r="A155">
        <f t="shared" ca="1" si="4"/>
        <v>0.8387753938074799</v>
      </c>
      <c r="B155">
        <f t="shared" ca="1" si="5"/>
        <v>-1.1318096361243604</v>
      </c>
      <c r="C155">
        <f ca="1">AVERAGE(B$2:B155)</f>
        <v>0.15487248141451043</v>
      </c>
      <c r="D155">
        <f ca="1">_xlfn.VAR.P(B$2:B155)</f>
        <v>1.8118792755832467</v>
      </c>
    </row>
    <row r="156" spans="1:4" x14ac:dyDescent="0.3">
      <c r="A156">
        <f t="shared" ca="1" si="4"/>
        <v>0.85341911396906434</v>
      </c>
      <c r="B156">
        <f t="shared" ca="1" si="5"/>
        <v>-1.2270306992508775</v>
      </c>
      <c r="C156">
        <f ca="1">AVERAGE(B$2:B156)</f>
        <v>0.14595697702312083</v>
      </c>
      <c r="D156">
        <f ca="1">_xlfn.VAR.P(B$2:B156)</f>
        <v>1.8124306095269509</v>
      </c>
    </row>
    <row r="157" spans="1:4" x14ac:dyDescent="0.3">
      <c r="A157">
        <f t="shared" ca="1" si="4"/>
        <v>0.21255905966091448</v>
      </c>
      <c r="B157">
        <f t="shared" ca="1" si="5"/>
        <v>0.85538822085643296</v>
      </c>
      <c r="C157">
        <f ca="1">AVERAGE(B$2:B157)</f>
        <v>0.15050461320153952</v>
      </c>
      <c r="D157">
        <f ca="1">_xlfn.VAR.P(B$2:B157)</f>
        <v>1.8040180187898316</v>
      </c>
    </row>
    <row r="158" spans="1:4" x14ac:dyDescent="0.3">
      <c r="A158">
        <f t="shared" ca="1" si="4"/>
        <v>2.7604399369737576E-2</v>
      </c>
      <c r="B158">
        <f t="shared" ca="1" si="5"/>
        <v>2.896632940947252</v>
      </c>
      <c r="C158">
        <f ca="1">AVERAGE(B$2:B158)</f>
        <v>0.16799587643558864</v>
      </c>
      <c r="D158">
        <f ca="1">_xlfn.VAR.P(B$2:B158)</f>
        <v>1.8402547673261536</v>
      </c>
    </row>
    <row r="159" spans="1:4" x14ac:dyDescent="0.3">
      <c r="A159">
        <f t="shared" ca="1" si="4"/>
        <v>0.67485582462900762</v>
      </c>
      <c r="B159">
        <f t="shared" ca="1" si="5"/>
        <v>-0.43033939793504405</v>
      </c>
      <c r="C159">
        <f ca="1">AVERAGE(B$2:B159)</f>
        <v>0.16420894431931882</v>
      </c>
      <c r="D159">
        <f ca="1">_xlfn.VAR.P(B$2:B159)</f>
        <v>1.8308590994664269</v>
      </c>
    </row>
    <row r="160" spans="1:4" x14ac:dyDescent="0.3">
      <c r="A160">
        <f t="shared" ca="1" si="4"/>
        <v>0.28656142371715521</v>
      </c>
      <c r="B160">
        <f t="shared" ca="1" si="5"/>
        <v>0.55665519181826828</v>
      </c>
      <c r="C160">
        <f ca="1">AVERAGE(B$2:B160)</f>
        <v>0.16667715971239397</v>
      </c>
      <c r="D160">
        <f ca="1">_xlfn.VAR.P(B$2:B160)</f>
        <v>1.8203068121446693</v>
      </c>
    </row>
    <row r="161" spans="1:4" x14ac:dyDescent="0.3">
      <c r="A161">
        <f t="shared" ca="1" si="4"/>
        <v>0.61926939132599634</v>
      </c>
      <c r="B161">
        <f t="shared" ca="1" si="5"/>
        <v>-0.27251603723078482</v>
      </c>
      <c r="C161">
        <f ca="1">AVERAGE(B$2:B161)</f>
        <v>0.16393220223149912</v>
      </c>
      <c r="D161">
        <f ca="1">_xlfn.VAR.P(B$2:B161)</f>
        <v>1.8101279264287005</v>
      </c>
    </row>
    <row r="162" spans="1:4" x14ac:dyDescent="0.3">
      <c r="A162">
        <f t="shared" ca="1" si="4"/>
        <v>6.4371346749720226E-2</v>
      </c>
      <c r="B162">
        <f t="shared" ca="1" si="5"/>
        <v>2.0499394905675157</v>
      </c>
      <c r="C162">
        <f ca="1">AVERAGE(B$2:B162)</f>
        <v>0.17564653321495263</v>
      </c>
      <c r="D162">
        <f ca="1">_xlfn.VAR.P(B$2:B162)</f>
        <v>1.8208409838921484</v>
      </c>
    </row>
    <row r="163" spans="1:4" x14ac:dyDescent="0.3">
      <c r="A163">
        <f t="shared" ca="1" si="4"/>
        <v>2.13666381408395E-3</v>
      </c>
      <c r="B163">
        <f t="shared" ca="1" si="5"/>
        <v>5.4553624512207275</v>
      </c>
      <c r="C163">
        <f ca="1">AVERAGE(B$2:B163)</f>
        <v>0.20823737221498831</v>
      </c>
      <c r="D163">
        <f ca="1">_xlfn.VAR.P(B$2:B163)</f>
        <v>1.9806094333952455</v>
      </c>
    </row>
    <row r="164" spans="1:4" x14ac:dyDescent="0.3">
      <c r="A164">
        <f t="shared" ca="1" si="4"/>
        <v>0.77475399564481051</v>
      </c>
      <c r="B164">
        <f t="shared" ca="1" si="5"/>
        <v>-0.79741494080277764</v>
      </c>
      <c r="C164">
        <f ca="1">AVERAGE(B$2:B164)</f>
        <v>0.20206772612285478</v>
      </c>
      <c r="D164">
        <f ca="1">_xlfn.VAR.P(B$2:B164)</f>
        <v>1.9746249096064092</v>
      </c>
    </row>
    <row r="165" spans="1:4" x14ac:dyDescent="0.3">
      <c r="A165">
        <f t="shared" ca="1" si="4"/>
        <v>0.78374822358868712</v>
      </c>
      <c r="B165">
        <f t="shared" ca="1" si="5"/>
        <v>-0.83816473802515501</v>
      </c>
      <c r="C165">
        <f ca="1">AVERAGE(B$2:B165)</f>
        <v>0.19572484524390349</v>
      </c>
      <c r="D165">
        <f ca="1">_xlfn.VAR.P(B$2:B165)</f>
        <v>1.9691423522847906</v>
      </c>
    </row>
    <row r="166" spans="1:4" x14ac:dyDescent="0.3">
      <c r="A166">
        <f t="shared" ca="1" si="4"/>
        <v>0.97159763261711563</v>
      </c>
      <c r="B166">
        <f t="shared" ca="1" si="5"/>
        <v>-2.8681355981768957</v>
      </c>
      <c r="C166">
        <f ca="1">AVERAGE(B$2:B166)</f>
        <v>0.17715599407165625</v>
      </c>
      <c r="D166">
        <f ca="1">_xlfn.VAR.P(B$2:B166)</f>
        <v>2.0137557225628964</v>
      </c>
    </row>
    <row r="167" spans="1:4" x14ac:dyDescent="0.3">
      <c r="A167">
        <f t="shared" ca="1" si="4"/>
        <v>0.58181200391427512</v>
      </c>
      <c r="B167">
        <f t="shared" ca="1" si="5"/>
        <v>-0.17867701560402674</v>
      </c>
      <c r="C167">
        <f ca="1">AVERAGE(B$2:B167)</f>
        <v>0.17501242172421236</v>
      </c>
      <c r="D167">
        <f ca="1">_xlfn.VAR.P(B$2:B167)</f>
        <v>2.0023828228906799</v>
      </c>
    </row>
    <row r="168" spans="1:4" x14ac:dyDescent="0.3">
      <c r="A168">
        <f t="shared" ca="1" si="4"/>
        <v>0.13117836231254543</v>
      </c>
      <c r="B168">
        <f t="shared" ca="1" si="5"/>
        <v>1.3380501569115142</v>
      </c>
      <c r="C168">
        <f ca="1">AVERAGE(B$2:B168)</f>
        <v>0.18197671953970518</v>
      </c>
      <c r="D168">
        <f ca="1">_xlfn.VAR.P(B$2:B168)</f>
        <v>1.9984437463003832</v>
      </c>
    </row>
    <row r="169" spans="1:4" x14ac:dyDescent="0.3">
      <c r="A169">
        <f t="shared" ca="1" si="4"/>
        <v>0.21937616319918796</v>
      </c>
      <c r="B169">
        <f t="shared" ca="1" si="5"/>
        <v>0.82382020188363814</v>
      </c>
      <c r="C169">
        <f ca="1">AVERAGE(B$2:B169)</f>
        <v>0.18579721645841907</v>
      </c>
      <c r="D169">
        <f ca="1">_xlfn.VAR.P(B$2:B169)</f>
        <v>1.9889858126603859</v>
      </c>
    </row>
    <row r="170" spans="1:4" x14ac:dyDescent="0.3">
      <c r="A170">
        <f t="shared" ca="1" si="4"/>
        <v>0.85399971875301328</v>
      </c>
      <c r="B170">
        <f t="shared" ca="1" si="5"/>
        <v>-1.2309995503664866</v>
      </c>
      <c r="C170">
        <f ca="1">AVERAGE(B$2:B170)</f>
        <v>0.17741380363696993</v>
      </c>
      <c r="D170">
        <f ca="1">_xlfn.VAR.P(B$2:B170)</f>
        <v>1.9890239764097628</v>
      </c>
    </row>
    <row r="171" spans="1:4" x14ac:dyDescent="0.3">
      <c r="A171">
        <f t="shared" ca="1" si="4"/>
        <v>0.8005991187291488</v>
      </c>
      <c r="B171">
        <f t="shared" ca="1" si="5"/>
        <v>-0.91929082129112494</v>
      </c>
      <c r="C171">
        <f ca="1">AVERAGE(B$2:B171)</f>
        <v>0.17096259996092231</v>
      </c>
      <c r="D171">
        <f ca="1">_xlfn.VAR.P(B$2:B171)</f>
        <v>1.9843572822510633</v>
      </c>
    </row>
    <row r="172" spans="1:4" x14ac:dyDescent="0.3">
      <c r="A172">
        <f t="shared" ca="1" si="4"/>
        <v>0.48968394341870403</v>
      </c>
      <c r="B172">
        <f t="shared" ca="1" si="5"/>
        <v>2.0847928859393204E-2</v>
      </c>
      <c r="C172">
        <f ca="1">AVERAGE(B$2:B172)</f>
        <v>0.17008473638722915</v>
      </c>
      <c r="D172">
        <f ca="1">_xlfn.VAR.P(B$2:B172)</f>
        <v>1.9728838632570702</v>
      </c>
    </row>
    <row r="173" spans="1:4" x14ac:dyDescent="0.3">
      <c r="A173">
        <f t="shared" ca="1" si="4"/>
        <v>0.95186297631630812</v>
      </c>
      <c r="B173">
        <f t="shared" ca="1" si="5"/>
        <v>-2.3405564942417398</v>
      </c>
      <c r="C173">
        <f ca="1">AVERAGE(B$2:B173)</f>
        <v>0.15548798504636308</v>
      </c>
      <c r="D173">
        <f ca="1">_xlfn.VAR.P(B$2:B173)</f>
        <v>1.9978477488380439</v>
      </c>
    </row>
    <row r="174" spans="1:4" x14ac:dyDescent="0.3">
      <c r="A174">
        <f t="shared" ca="1" si="4"/>
        <v>0.28976480835178797</v>
      </c>
      <c r="B174">
        <f t="shared" ca="1" si="5"/>
        <v>0.545538510168187</v>
      </c>
      <c r="C174">
        <f ca="1">AVERAGE(B$2:B174)</f>
        <v>0.15774261235920597</v>
      </c>
      <c r="D174">
        <f ca="1">_xlfn.VAR.P(B$2:B174)</f>
        <v>1.9871738311775955</v>
      </c>
    </row>
    <row r="175" spans="1:4" x14ac:dyDescent="0.3">
      <c r="A175">
        <f t="shared" ca="1" si="4"/>
        <v>0.4679395492442443</v>
      </c>
      <c r="B175">
        <f t="shared" ca="1" si="5"/>
        <v>6.6268979129015193E-2</v>
      </c>
      <c r="C175">
        <f ca="1">AVERAGE(B$2:B175)</f>
        <v>0.15721690182340026</v>
      </c>
      <c r="D175">
        <f ca="1">_xlfn.VAR.P(B$2:B175)</f>
        <v>1.9758011041991239</v>
      </c>
    </row>
    <row r="176" spans="1:4" x14ac:dyDescent="0.3">
      <c r="A176">
        <f t="shared" ca="1" si="4"/>
        <v>0.6231481953792527</v>
      </c>
      <c r="B176">
        <f t="shared" ca="1" si="5"/>
        <v>-0.28275607944642805</v>
      </c>
      <c r="C176">
        <f ca="1">AVERAGE(B$2:B176)</f>
        <v>0.15470277050185838</v>
      </c>
      <c r="D176">
        <f ca="1">_xlfn.VAR.P(B$2:B176)</f>
        <v>1.9656106411716698</v>
      </c>
    </row>
    <row r="177" spans="1:4" x14ac:dyDescent="0.3">
      <c r="A177">
        <f t="shared" ca="1" si="4"/>
        <v>0.79871967057204429</v>
      </c>
      <c r="B177">
        <f t="shared" ca="1" si="5"/>
        <v>-0.90990948824633366</v>
      </c>
      <c r="C177">
        <f ca="1">AVERAGE(B$2:B177)</f>
        <v>0.14865383721351638</v>
      </c>
      <c r="D177">
        <f ca="1">_xlfn.VAR.P(B$2:B177)</f>
        <v>1.9608455778294773</v>
      </c>
    </row>
    <row r="178" spans="1:4" x14ac:dyDescent="0.3">
      <c r="A178">
        <f t="shared" ca="1" si="4"/>
        <v>4.4616217978534656E-2</v>
      </c>
      <c r="B178">
        <f t="shared" ca="1" si="5"/>
        <v>2.4165106736884856</v>
      </c>
      <c r="C178">
        <f ca="1">AVERAGE(B$2:B178)</f>
        <v>0.16146658770207553</v>
      </c>
      <c r="D178">
        <f ca="1">_xlfn.VAR.P(B$2:B178)</f>
        <v>1.9786606714403656</v>
      </c>
    </row>
    <row r="179" spans="1:4" x14ac:dyDescent="0.3">
      <c r="A179">
        <f t="shared" ca="1" si="4"/>
        <v>0.83964529155748568</v>
      </c>
      <c r="B179">
        <f t="shared" ca="1" si="5"/>
        <v>-1.1372198091811418</v>
      </c>
      <c r="C179">
        <f ca="1">AVERAGE(B$2:B179)</f>
        <v>0.15417059670834957</v>
      </c>
      <c r="D179">
        <f ca="1">_xlfn.VAR.P(B$2:B179)</f>
        <v>1.9769665730232522</v>
      </c>
    </row>
    <row r="180" spans="1:4" x14ac:dyDescent="0.3">
      <c r="A180">
        <f t="shared" ca="1" si="4"/>
        <v>0.43420089458634292</v>
      </c>
      <c r="B180">
        <f t="shared" ca="1" si="5"/>
        <v>0.14110078067071938</v>
      </c>
      <c r="C180">
        <f ca="1">AVERAGE(B$2:B180)</f>
        <v>0.15409758097629578</v>
      </c>
      <c r="D180">
        <f ca="1">_xlfn.VAR.P(B$2:B180)</f>
        <v>1.9659230159995973</v>
      </c>
    </row>
    <row r="181" spans="1:4" x14ac:dyDescent="0.3">
      <c r="A181">
        <f t="shared" ca="1" si="4"/>
        <v>6.3246083699093569E-2</v>
      </c>
      <c r="B181">
        <f t="shared" ca="1" si="5"/>
        <v>2.0675748905324403</v>
      </c>
      <c r="C181">
        <f ca="1">AVERAGE(B$2:B181)</f>
        <v>0.1647280104738299</v>
      </c>
      <c r="D181">
        <f ca="1">_xlfn.VAR.P(B$2:B181)</f>
        <v>1.9752293010693318</v>
      </c>
    </row>
    <row r="182" spans="1:4" x14ac:dyDescent="0.3">
      <c r="A182">
        <f t="shared" ca="1" si="4"/>
        <v>0.91860483518641523</v>
      </c>
      <c r="B182">
        <f t="shared" ca="1" si="5"/>
        <v>-1.8152922275024777</v>
      </c>
      <c r="C182">
        <f ca="1">AVERAGE(B$2:B182)</f>
        <v>0.15378867214246908</v>
      </c>
      <c r="D182">
        <f ca="1">_xlfn.VAR.P(B$2:B182)</f>
        <v>1.9858568741656872</v>
      </c>
    </row>
    <row r="183" spans="1:4" x14ac:dyDescent="0.3">
      <c r="A183">
        <f t="shared" ca="1" si="4"/>
        <v>0.10758109879343913</v>
      </c>
      <c r="B183">
        <f t="shared" ca="1" si="5"/>
        <v>1.5363631278958554</v>
      </c>
      <c r="C183">
        <f ca="1">AVERAGE(B$2:B183)</f>
        <v>0.161385235086169</v>
      </c>
      <c r="D183">
        <f ca="1">_xlfn.VAR.P(B$2:B183)</f>
        <v>1.9853906787682072</v>
      </c>
    </row>
    <row r="184" spans="1:4" x14ac:dyDescent="0.3">
      <c r="A184">
        <f t="shared" ca="1" si="4"/>
        <v>0.90367027442161396</v>
      </c>
      <c r="B184">
        <f t="shared" ca="1" si="5"/>
        <v>-1.6468311504225635</v>
      </c>
      <c r="C184">
        <f ca="1">AVERAGE(B$2:B184)</f>
        <v>0.15150427123093002</v>
      </c>
      <c r="D184">
        <f ca="1">_xlfn.VAR.P(B$2:B184)</f>
        <v>1.9923108366769851</v>
      </c>
    </row>
    <row r="185" spans="1:4" x14ac:dyDescent="0.3">
      <c r="A185">
        <f t="shared" ca="1" si="4"/>
        <v>0.86846235113268921</v>
      </c>
      <c r="B185">
        <f t="shared" ca="1" si="5"/>
        <v>-1.3353149846078389</v>
      </c>
      <c r="C185">
        <f ca="1">AVERAGE(B$2:B185)</f>
        <v>0.1434237317970237</v>
      </c>
      <c r="D185">
        <f ca="1">_xlfn.VAR.P(B$2:B185)</f>
        <v>1.9934320669010508</v>
      </c>
    </row>
    <row r="186" spans="1:4" x14ac:dyDescent="0.3">
      <c r="A186">
        <f t="shared" ca="1" si="4"/>
        <v>0.25148638660627853</v>
      </c>
      <c r="B186">
        <f t="shared" ca="1" si="5"/>
        <v>0.68721923914948779</v>
      </c>
      <c r="C186">
        <f ca="1">AVERAGE(B$2:B186)</f>
        <v>0.14636316697190188</v>
      </c>
      <c r="D186">
        <f ca="1">_xlfn.VAR.P(B$2:B186)</f>
        <v>1.9842465697944203</v>
      </c>
    </row>
    <row r="187" spans="1:4" x14ac:dyDescent="0.3">
      <c r="A187">
        <f t="shared" ca="1" si="4"/>
        <v>3.4833411326555264E-2</v>
      </c>
      <c r="B187">
        <f t="shared" ca="1" si="5"/>
        <v>2.6640310766480781</v>
      </c>
      <c r="C187">
        <f ca="1">AVERAGE(B$2:B187)</f>
        <v>0.15989901594865552</v>
      </c>
      <c r="D187">
        <f ca="1">_xlfn.VAR.P(B$2:B187)</f>
        <v>2.0074741308751718</v>
      </c>
    </row>
    <row r="188" spans="1:4" x14ac:dyDescent="0.3">
      <c r="A188">
        <f t="shared" ca="1" si="4"/>
        <v>0.68717404144319538</v>
      </c>
      <c r="B188">
        <f t="shared" ca="1" si="5"/>
        <v>-0.46896110548075576</v>
      </c>
      <c r="C188">
        <f ca="1">AVERAGE(B$2:B188)</f>
        <v>0.15653612759876562</v>
      </c>
      <c r="D188">
        <f ca="1">_xlfn.VAR.P(B$2:B188)</f>
        <v>1.9988424524531025</v>
      </c>
    </row>
    <row r="189" spans="1:4" x14ac:dyDescent="0.3">
      <c r="A189">
        <f t="shared" ca="1" si="4"/>
        <v>0.44717311828367257</v>
      </c>
      <c r="B189">
        <f t="shared" ca="1" si="5"/>
        <v>0.1116622895605187</v>
      </c>
      <c r="C189">
        <f ca="1">AVERAGE(B$2:B189)</f>
        <v>0.15629743697090262</v>
      </c>
      <c r="D189">
        <f ca="1">_xlfn.VAR.P(B$2:B189)</f>
        <v>1.988220965739925</v>
      </c>
    </row>
    <row r="190" spans="1:4" x14ac:dyDescent="0.3">
      <c r="A190">
        <f t="shared" ca="1" si="4"/>
        <v>8.5237068361311397E-2</v>
      </c>
      <c r="B190">
        <f t="shared" ca="1" si="5"/>
        <v>1.7691716845411809</v>
      </c>
      <c r="C190">
        <f ca="1">AVERAGE(B$2:B190)</f>
        <v>0.16483116314852314</v>
      </c>
      <c r="D190">
        <f ca="1">_xlfn.VAR.P(B$2:B190)</f>
        <v>1.9913922807957334</v>
      </c>
    </row>
    <row r="191" spans="1:4" x14ac:dyDescent="0.3">
      <c r="A191">
        <f t="shared" ca="1" si="4"/>
        <v>0.49832871101188336</v>
      </c>
      <c r="B191">
        <f t="shared" ca="1" si="5"/>
        <v>3.3481768699709863E-3</v>
      </c>
      <c r="C191">
        <f ca="1">AVERAGE(B$2:B191)</f>
        <v>0.16398125269442548</v>
      </c>
      <c r="D191">
        <f ca="1">_xlfn.VAR.P(B$2:B191)</f>
        <v>1.9810477925219621</v>
      </c>
    </row>
    <row r="192" spans="1:4" x14ac:dyDescent="0.3">
      <c r="A192">
        <f t="shared" ca="1" si="4"/>
        <v>0.44770130456648183</v>
      </c>
      <c r="B192">
        <f t="shared" ca="1" si="5"/>
        <v>0.11048181924947086</v>
      </c>
      <c r="C192">
        <f ca="1">AVERAGE(B$2:B192)</f>
        <v>0.16370115094864038</v>
      </c>
      <c r="D192">
        <f ca="1">_xlfn.VAR.P(B$2:B192)</f>
        <v>1.9706907213783618</v>
      </c>
    </row>
    <row r="193" spans="1:4" x14ac:dyDescent="0.3">
      <c r="A193">
        <f t="shared" ca="1" si="4"/>
        <v>0.96289913443019015</v>
      </c>
      <c r="B193">
        <f t="shared" ca="1" si="5"/>
        <v>-2.6009677983583219</v>
      </c>
      <c r="C193">
        <f ca="1">AVERAGE(B$2:B193)</f>
        <v>0.14930183350433329</v>
      </c>
      <c r="D193">
        <f ca="1">_xlfn.VAR.P(B$2:B193)</f>
        <v>2.0000287126911442</v>
      </c>
    </row>
    <row r="194" spans="1:4" x14ac:dyDescent="0.3">
      <c r="A194">
        <f t="shared" ca="1" si="4"/>
        <v>0.78357001832077455</v>
      </c>
      <c r="B194">
        <f t="shared" ca="1" si="5"/>
        <v>-0.83734101354564205</v>
      </c>
      <c r="C194">
        <f ca="1">AVERAGE(B$2:B194)</f>
        <v>0.1441896944004474</v>
      </c>
      <c r="D194">
        <f ca="1">_xlfn.VAR.P(B$2:B194)</f>
        <v>1.9946835911339613</v>
      </c>
    </row>
    <row r="195" spans="1:4" x14ac:dyDescent="0.3">
      <c r="A195">
        <f t="shared" ref="A195:A258" ca="1" si="6">RAND()</f>
        <v>0.34766905103848456</v>
      </c>
      <c r="B195">
        <f t="shared" ref="B195:B258" ca="1" si="7">-SIGN(0.5-A195)*LN(1-2*ABS(0.5-A195))*$F$1</f>
        <v>0.36335707390072269</v>
      </c>
      <c r="C195">
        <f ca="1">AVERAGE(B$2:B195)</f>
        <v>0.1453194231607581</v>
      </c>
      <c r="D195">
        <f ca="1">_xlfn.VAR.P(B$2:B195)</f>
        <v>1.9846480403577298</v>
      </c>
    </row>
    <row r="196" spans="1:4" x14ac:dyDescent="0.3">
      <c r="A196">
        <f t="shared" ca="1" si="6"/>
        <v>0.44477887108686665</v>
      </c>
      <c r="B196">
        <f t="shared" ca="1" si="7"/>
        <v>0.11703085866698509</v>
      </c>
      <c r="C196">
        <f ca="1">AVERAGE(B$2:B196)</f>
        <v>0.14517435359925157</v>
      </c>
      <c r="D196">
        <f ca="1">_xlfn.VAR.P(B$2:B196)</f>
        <v>1.9744744408639543</v>
      </c>
    </row>
    <row r="197" spans="1:4" x14ac:dyDescent="0.3">
      <c r="A197">
        <f t="shared" ca="1" si="6"/>
        <v>0.84936018785447154</v>
      </c>
      <c r="B197">
        <f t="shared" ca="1" si="7"/>
        <v>-1.1997164611165017</v>
      </c>
      <c r="C197">
        <f ca="1">AVERAGE(B$2:B197)</f>
        <v>0.13831266576906917</v>
      </c>
      <c r="D197">
        <f ca="1">_xlfn.VAR.P(B$2:B197)</f>
        <v>1.9735817298522531</v>
      </c>
    </row>
    <row r="198" spans="1:4" x14ac:dyDescent="0.3">
      <c r="A198">
        <f t="shared" ca="1" si="6"/>
        <v>0.7107475576670913</v>
      </c>
      <c r="B198">
        <f t="shared" ca="1" si="7"/>
        <v>-0.54730828870934745</v>
      </c>
      <c r="C198">
        <f ca="1">AVERAGE(B$2:B198)</f>
        <v>0.13483235635547314</v>
      </c>
      <c r="D198">
        <f ca="1">_xlfn.VAR.P(B$2:B198)</f>
        <v>1.9659376089908602</v>
      </c>
    </row>
    <row r="199" spans="1:4" x14ac:dyDescent="0.3">
      <c r="A199">
        <f t="shared" ca="1" si="6"/>
        <v>0.60149203684511232</v>
      </c>
      <c r="B199">
        <f t="shared" ca="1" si="7"/>
        <v>-0.22688061756877123</v>
      </c>
      <c r="C199">
        <f ca="1">AVERAGE(B$2:B199)</f>
        <v>0.13300552315383554</v>
      </c>
      <c r="D199">
        <f ca="1">_xlfn.VAR.P(B$2:B199)</f>
        <v>1.9566660831183555</v>
      </c>
    </row>
    <row r="200" spans="1:4" x14ac:dyDescent="0.3">
      <c r="A200">
        <f t="shared" ca="1" si="6"/>
        <v>4.4912249133698623E-2</v>
      </c>
      <c r="B200">
        <f t="shared" ca="1" si="7"/>
        <v>2.4098975316658722</v>
      </c>
      <c r="C200">
        <f ca="1">AVERAGE(B$2:B200)</f>
        <v>0.14444719153831814</v>
      </c>
      <c r="D200">
        <f ca="1">_xlfn.VAR.P(B$2:B200)</f>
        <v>1.972754121771616</v>
      </c>
    </row>
    <row r="201" spans="1:4" x14ac:dyDescent="0.3">
      <c r="A201">
        <f t="shared" ca="1" si="6"/>
        <v>0.46697778825056946</v>
      </c>
      <c r="B201">
        <f t="shared" ca="1" si="7"/>
        <v>6.8326404517045886E-2</v>
      </c>
      <c r="C201">
        <f ca="1">AVERAGE(B$2:B201)</f>
        <v>0.14406658760321178</v>
      </c>
      <c r="D201">
        <f ca="1">_xlfn.VAR.P(B$2:B201)</f>
        <v>1.9629191781744864</v>
      </c>
    </row>
    <row r="202" spans="1:4" x14ac:dyDescent="0.3">
      <c r="A202">
        <f t="shared" ca="1" si="6"/>
        <v>0.69270705731717341</v>
      </c>
      <c r="B202">
        <f t="shared" ca="1" si="7"/>
        <v>-0.48680659511137037</v>
      </c>
      <c r="C202">
        <f ca="1">AVERAGE(B$2:B202)</f>
        <v>0.14092791505239294</v>
      </c>
      <c r="D202">
        <f ca="1">_xlfn.VAR.P(B$2:B202)</f>
        <v>1.9551236641951446</v>
      </c>
    </row>
    <row r="203" spans="1:4" x14ac:dyDescent="0.3">
      <c r="A203">
        <f t="shared" ca="1" si="6"/>
        <v>7.4561159628625751E-2</v>
      </c>
      <c r="B203">
        <f t="shared" ca="1" si="7"/>
        <v>1.9029883752067656</v>
      </c>
      <c r="C203">
        <f ca="1">AVERAGE(B$2:B203)</f>
        <v>0.14965098663731558</v>
      </c>
      <c r="D203">
        <f ca="1">_xlfn.VAR.P(B$2:B203)</f>
        <v>1.9607393217273894</v>
      </c>
    </row>
    <row r="204" spans="1:4" x14ac:dyDescent="0.3">
      <c r="A204">
        <f t="shared" ca="1" si="6"/>
        <v>6.223691201401238E-2</v>
      </c>
      <c r="B204">
        <f t="shared" ca="1" si="7"/>
        <v>2.0836598339536314</v>
      </c>
      <c r="C204">
        <f ca="1">AVERAGE(B$2:B204)</f>
        <v>0.15917812381621366</v>
      </c>
      <c r="D204">
        <f ca="1">_xlfn.VAR.P(B$2:B204)</f>
        <v>1.9694153085854031</v>
      </c>
    </row>
    <row r="205" spans="1:4" x14ac:dyDescent="0.3">
      <c r="A205">
        <f t="shared" ca="1" si="6"/>
        <v>0.37547210297031097</v>
      </c>
      <c r="B205">
        <f t="shared" ca="1" si="7"/>
        <v>0.2864239229996739</v>
      </c>
      <c r="C205">
        <f ca="1">AVERAGE(B$2:B205)</f>
        <v>0.15980187773377966</v>
      </c>
      <c r="D205">
        <f ca="1">_xlfn.VAR.P(B$2:B205)</f>
        <v>1.9598402929714753</v>
      </c>
    </row>
    <row r="206" spans="1:4" x14ac:dyDescent="0.3">
      <c r="A206">
        <f t="shared" ca="1" si="6"/>
        <v>9.2199025889524555E-2</v>
      </c>
      <c r="B206">
        <f t="shared" ca="1" si="7"/>
        <v>1.6906585331049941</v>
      </c>
      <c r="C206">
        <f ca="1">AVERAGE(B$2:B206)</f>
        <v>0.16726947117461485</v>
      </c>
      <c r="D206">
        <f ca="1">_xlfn.VAR.P(B$2:B206)</f>
        <v>1.9616561465871063</v>
      </c>
    </row>
    <row r="207" spans="1:4" x14ac:dyDescent="0.3">
      <c r="A207">
        <f t="shared" ca="1" si="6"/>
        <v>0.67245764711097678</v>
      </c>
      <c r="B207">
        <f t="shared" ca="1" si="7"/>
        <v>-0.42299072990968384</v>
      </c>
      <c r="C207">
        <f ca="1">AVERAGE(B$2:B207)</f>
        <v>0.16440413039265223</v>
      </c>
      <c r="D207">
        <f ca="1">_xlfn.VAR.P(B$2:B207)</f>
        <v>1.9538166303821103</v>
      </c>
    </row>
    <row r="208" spans="1:4" x14ac:dyDescent="0.3">
      <c r="A208">
        <f t="shared" ca="1" si="6"/>
        <v>0.8243472945081306</v>
      </c>
      <c r="B208">
        <f t="shared" ca="1" si="7"/>
        <v>-1.046099317085627</v>
      </c>
      <c r="C208">
        <f ca="1">AVERAGE(B$2:B208)</f>
        <v>0.15855628765121127</v>
      </c>
      <c r="D208">
        <f ca="1">_xlfn.VAR.P(B$2:B208)</f>
        <v>1.9514225392332014</v>
      </c>
    </row>
    <row r="209" spans="1:4" x14ac:dyDescent="0.3">
      <c r="A209">
        <f t="shared" ca="1" si="6"/>
        <v>0.61628530291824724</v>
      </c>
      <c r="B209">
        <f t="shared" ca="1" si="7"/>
        <v>-0.26470879832778238</v>
      </c>
      <c r="C209">
        <f ca="1">AVERAGE(B$2:B209)</f>
        <v>0.15652135935323533</v>
      </c>
      <c r="D209">
        <f ca="1">_xlfn.VAR.P(B$2:B209)</f>
        <v>1.9428978732700988</v>
      </c>
    </row>
    <row r="210" spans="1:4" x14ac:dyDescent="0.3">
      <c r="A210">
        <f t="shared" ca="1" si="6"/>
        <v>0.47552424025603623</v>
      </c>
      <c r="B210">
        <f t="shared" ca="1" si="7"/>
        <v>5.019023927966617E-2</v>
      </c>
      <c r="C210">
        <f ca="1">AVERAGE(B$2:B210)</f>
        <v>0.15601259801317041</v>
      </c>
      <c r="D210">
        <f ca="1">_xlfn.VAR.P(B$2:B210)</f>
        <v>1.9336555495220744</v>
      </c>
    </row>
    <row r="211" spans="1:4" x14ac:dyDescent="0.3">
      <c r="A211">
        <f t="shared" ca="1" si="6"/>
        <v>0.59752064528458471</v>
      </c>
      <c r="B211">
        <f t="shared" ca="1" si="7"/>
        <v>-0.21696429551159432</v>
      </c>
      <c r="C211">
        <f ca="1">AVERAGE(B$2:B211)</f>
        <v>0.15423651756781437</v>
      </c>
      <c r="D211">
        <f ca="1">_xlfn.VAR.P(B$2:B211)</f>
        <v>1.9251069484583321</v>
      </c>
    </row>
    <row r="212" spans="1:4" x14ac:dyDescent="0.3">
      <c r="A212">
        <f t="shared" ca="1" si="6"/>
        <v>0.39385492545036016</v>
      </c>
      <c r="B212">
        <f t="shared" ca="1" si="7"/>
        <v>0.23862546644687946</v>
      </c>
      <c r="C212">
        <f ca="1">AVERAGE(B$2:B212)</f>
        <v>0.15463646519283364</v>
      </c>
      <c r="D212">
        <f ca="1">_xlfn.VAR.P(B$2:B212)</f>
        <v>1.9160168100463646</v>
      </c>
    </row>
    <row r="213" spans="1:4" x14ac:dyDescent="0.3">
      <c r="A213">
        <f t="shared" ca="1" si="6"/>
        <v>7.7852667583838464E-2</v>
      </c>
      <c r="B213">
        <f t="shared" ca="1" si="7"/>
        <v>1.8597899350408844</v>
      </c>
      <c r="C213">
        <f ca="1">AVERAGE(B$2:B213)</f>
        <v>0.16267964193739992</v>
      </c>
      <c r="D213">
        <f ca="1">_xlfn.VAR.P(B$2:B213)</f>
        <v>1.9206291529470907</v>
      </c>
    </row>
    <row r="214" spans="1:4" x14ac:dyDescent="0.3">
      <c r="A214">
        <f t="shared" ca="1" si="6"/>
        <v>0.21364012774422847</v>
      </c>
      <c r="B214">
        <f t="shared" ca="1" si="7"/>
        <v>0.85031514500927097</v>
      </c>
      <c r="C214">
        <f ca="1">AVERAGE(B$2:B214)</f>
        <v>0.16590797763257301</v>
      </c>
      <c r="D214">
        <f ca="1">_xlfn.VAR.P(B$2:B214)</f>
        <v>1.9138216107588182</v>
      </c>
    </row>
    <row r="215" spans="1:4" x14ac:dyDescent="0.3">
      <c r="A215">
        <f t="shared" ca="1" si="6"/>
        <v>0.55524422249937944</v>
      </c>
      <c r="B215">
        <f t="shared" ca="1" si="7"/>
        <v>-0.11708278151515732</v>
      </c>
      <c r="C215">
        <f ca="1">AVERAGE(B$2:B215)</f>
        <v>0.16458559090758362</v>
      </c>
      <c r="D215">
        <f ca="1">_xlfn.VAR.P(B$2:B215)</f>
        <v>1.9052509936362994</v>
      </c>
    </row>
    <row r="216" spans="1:4" x14ac:dyDescent="0.3">
      <c r="A216">
        <f t="shared" ca="1" si="6"/>
        <v>0.87608497717178491</v>
      </c>
      <c r="B216">
        <f t="shared" ca="1" si="7"/>
        <v>-1.3950120675148385</v>
      </c>
      <c r="C216">
        <f ca="1">AVERAGE(B$2:B216)</f>
        <v>0.15733164831027002</v>
      </c>
      <c r="D216">
        <f ca="1">_xlfn.VAR.P(B$2:B216)</f>
        <v>1.9076499733136545</v>
      </c>
    </row>
    <row r="217" spans="1:4" x14ac:dyDescent="0.3">
      <c r="A217">
        <f t="shared" ca="1" si="6"/>
        <v>0.23798743445122639</v>
      </c>
      <c r="B217">
        <f t="shared" ca="1" si="7"/>
        <v>0.74239022256791576</v>
      </c>
      <c r="C217">
        <f ca="1">AVERAGE(B$2:B217)</f>
        <v>0.16004025282072207</v>
      </c>
      <c r="D217">
        <f ca="1">_xlfn.VAR.P(B$2:B217)</f>
        <v>1.9003956162289579</v>
      </c>
    </row>
    <row r="218" spans="1:4" x14ac:dyDescent="0.3">
      <c r="A218">
        <f t="shared" ca="1" si="6"/>
        <v>0.72165128337763107</v>
      </c>
      <c r="B218">
        <f t="shared" ca="1" si="7"/>
        <v>-0.58573339446481321</v>
      </c>
      <c r="C218">
        <f ca="1">AVERAGE(B$2:B218)</f>
        <v>0.15660350790235555</v>
      </c>
      <c r="D218">
        <f ca="1">_xlfn.VAR.P(B$2:B218)</f>
        <v>1.8941892553209583</v>
      </c>
    </row>
    <row r="219" spans="1:4" x14ac:dyDescent="0.3">
      <c r="A219">
        <f t="shared" ca="1" si="6"/>
        <v>0.51749061976381805</v>
      </c>
      <c r="B219">
        <f t="shared" ca="1" si="7"/>
        <v>-3.5607736928119006E-2</v>
      </c>
      <c r="C219">
        <f ca="1">AVERAGE(B$2:B219)</f>
        <v>0.15572180494441759</v>
      </c>
      <c r="D219">
        <f ca="1">_xlfn.VAR.P(B$2:B219)</f>
        <v>1.8856690096057986</v>
      </c>
    </row>
    <row r="220" spans="1:4" x14ac:dyDescent="0.3">
      <c r="A220">
        <f t="shared" ca="1" si="6"/>
        <v>0.24507109695587359</v>
      </c>
      <c r="B220">
        <f t="shared" ca="1" si="7"/>
        <v>0.71305973831829261</v>
      </c>
      <c r="C220">
        <f ca="1">AVERAGE(B$2:B220)</f>
        <v>0.15826672701461794</v>
      </c>
      <c r="D220">
        <f ca="1">_xlfn.VAR.P(B$2:B220)</f>
        <v>1.8784705538102024</v>
      </c>
    </row>
    <row r="221" spans="1:4" x14ac:dyDescent="0.3">
      <c r="A221">
        <f t="shared" ca="1" si="6"/>
        <v>0.75300269513570295</v>
      </c>
      <c r="B221">
        <f t="shared" ca="1" si="7"/>
        <v>-0.70523067333432388</v>
      </c>
      <c r="C221">
        <f ca="1">AVERAGE(B$2:B221)</f>
        <v>0.15434173883121363</v>
      </c>
      <c r="D221">
        <f ca="1">_xlfn.VAR.P(B$2:B221)</f>
        <v>1.8733058628534136</v>
      </c>
    </row>
    <row r="222" spans="1:4" x14ac:dyDescent="0.3">
      <c r="A222">
        <f t="shared" ca="1" si="6"/>
        <v>0.11933202498455997</v>
      </c>
      <c r="B222">
        <f t="shared" ca="1" si="7"/>
        <v>1.4326983645662408</v>
      </c>
      <c r="C222">
        <f ca="1">AVERAGE(B$2:B222)</f>
        <v>0.16012615795218663</v>
      </c>
      <c r="D222">
        <f ca="1">_xlfn.VAR.P(B$2:B222)</f>
        <v>1.8721904567411867</v>
      </c>
    </row>
    <row r="223" spans="1:4" x14ac:dyDescent="0.3">
      <c r="A223">
        <f t="shared" ca="1" si="6"/>
        <v>0.19903339811071941</v>
      </c>
      <c r="B223">
        <f t="shared" ca="1" si="7"/>
        <v>0.9211354580774207</v>
      </c>
      <c r="C223">
        <f ca="1">AVERAGE(B$2:B223)</f>
        <v>0.16355412777257056</v>
      </c>
      <c r="D223">
        <f ca="1">_xlfn.VAR.P(B$2:B223)</f>
        <v>1.8663541323322774</v>
      </c>
    </row>
    <row r="224" spans="1:4" x14ac:dyDescent="0.3">
      <c r="A224">
        <f t="shared" ca="1" si="6"/>
        <v>0.56326892325829481</v>
      </c>
      <c r="B224">
        <f t="shared" ca="1" si="7"/>
        <v>-0.13529047778411005</v>
      </c>
      <c r="C224">
        <f ca="1">AVERAGE(B$2:B224)</f>
        <v>0.16221401743375136</v>
      </c>
      <c r="D224">
        <f ca="1">_xlfn.VAR.P(B$2:B224)</f>
        <v>1.8583835201403154</v>
      </c>
    </row>
    <row r="225" spans="1:4" x14ac:dyDescent="0.3">
      <c r="A225">
        <f t="shared" ca="1" si="6"/>
        <v>0.87582062839273755</v>
      </c>
      <c r="B225">
        <f t="shared" ca="1" si="7"/>
        <v>-1.3928810328359644</v>
      </c>
      <c r="C225">
        <f ca="1">AVERAGE(B$2:B225)</f>
        <v>0.15527162881647585</v>
      </c>
      <c r="D225">
        <f ca="1">_xlfn.VAR.P(B$2:B225)</f>
        <v>1.8608350425557496</v>
      </c>
    </row>
    <row r="226" spans="1:4" x14ac:dyDescent="0.3">
      <c r="A226">
        <f t="shared" ca="1" si="6"/>
        <v>0.30993627319734518</v>
      </c>
      <c r="B226">
        <f t="shared" ca="1" si="7"/>
        <v>0.47824139240662111</v>
      </c>
      <c r="C226">
        <f ca="1">AVERAGE(B$2:B226)</f>
        <v>0.1567070499879876</v>
      </c>
      <c r="D226">
        <f ca="1">_xlfn.VAR.P(B$2:B226)</f>
        <v>1.8530262017913111</v>
      </c>
    </row>
    <row r="227" spans="1:4" x14ac:dyDescent="0.3">
      <c r="A227">
        <f t="shared" ca="1" si="6"/>
        <v>0.740943512343893</v>
      </c>
      <c r="B227">
        <f t="shared" ca="1" si="7"/>
        <v>-0.65756196144446788</v>
      </c>
      <c r="C227">
        <f ca="1">AVERAGE(B$2:B227)</f>
        <v>0.15310408976041037</v>
      </c>
      <c r="D227">
        <f ca="1">_xlfn.VAR.P(B$2:B227)</f>
        <v>1.8477477683502717</v>
      </c>
    </row>
    <row r="228" spans="1:4" x14ac:dyDescent="0.3">
      <c r="A228">
        <f t="shared" ca="1" si="6"/>
        <v>0.41290659097973026</v>
      </c>
      <c r="B228">
        <f t="shared" ca="1" si="7"/>
        <v>0.19138670300380653</v>
      </c>
      <c r="C228">
        <f ca="1">AVERAGE(B$2:B228)</f>
        <v>0.15327273563372931</v>
      </c>
      <c r="D228">
        <f ca="1">_xlfn.VAR.P(B$2:B228)</f>
        <v>1.8396143381032311</v>
      </c>
    </row>
    <row r="229" spans="1:4" x14ac:dyDescent="0.3">
      <c r="A229">
        <f t="shared" ca="1" si="6"/>
        <v>0.79598338849858685</v>
      </c>
      <c r="B229">
        <f t="shared" ca="1" si="7"/>
        <v>-0.89640667896463477</v>
      </c>
      <c r="C229">
        <f ca="1">AVERAGE(B$2:B229)</f>
        <v>0.14866887855215752</v>
      </c>
      <c r="D229">
        <f ca="1">_xlfn.VAR.P(B$2:B229)</f>
        <v>1.8363572326704332</v>
      </c>
    </row>
    <row r="230" spans="1:4" x14ac:dyDescent="0.3">
      <c r="A230">
        <f t="shared" ca="1" si="6"/>
        <v>0.86475796942852567</v>
      </c>
      <c r="B230">
        <f t="shared" ca="1" si="7"/>
        <v>-1.3075421061176264</v>
      </c>
      <c r="C230">
        <f ca="1">AVERAGE(B$2:B230)</f>
        <v>0.14230987861910169</v>
      </c>
      <c r="D230">
        <f ca="1">_xlfn.VAR.P(B$2:B230)</f>
        <v>1.8375578141274129</v>
      </c>
    </row>
    <row r="231" spans="1:4" x14ac:dyDescent="0.3">
      <c r="A231">
        <f t="shared" ca="1" si="6"/>
        <v>0.5244510306177762</v>
      </c>
      <c r="B231">
        <f t="shared" ca="1" si="7"/>
        <v>-5.0138236708376124E-2</v>
      </c>
      <c r="C231">
        <f ca="1">AVERAGE(B$2:B231)</f>
        <v>0.14147314768289526</v>
      </c>
      <c r="D231">
        <f ca="1">_xlfn.VAR.P(B$2:B231)</f>
        <v>1.8297287594999085</v>
      </c>
    </row>
    <row r="232" spans="1:4" x14ac:dyDescent="0.3">
      <c r="A232">
        <f t="shared" ca="1" si="6"/>
        <v>0.23302327798637856</v>
      </c>
      <c r="B232">
        <f t="shared" ca="1" si="7"/>
        <v>0.7634697443257773</v>
      </c>
      <c r="C232">
        <f ca="1">AVERAGE(B$2:B232)</f>
        <v>0.14416577364238825</v>
      </c>
      <c r="D232">
        <f ca="1">_xlfn.VAR.P(B$2:B232)</f>
        <v>1.8234754097274088</v>
      </c>
    </row>
    <row r="233" spans="1:4" x14ac:dyDescent="0.3">
      <c r="A233">
        <f t="shared" ca="1" si="6"/>
        <v>0.54709937950558185</v>
      </c>
      <c r="B233">
        <f t="shared" ca="1" si="7"/>
        <v>-9.8935377813670955E-2</v>
      </c>
      <c r="C233">
        <f ca="1">AVERAGE(B$2:B233)</f>
        <v>0.14311792385162939</v>
      </c>
      <c r="D233">
        <f ca="1">_xlfn.VAR.P(B$2:B233)</f>
        <v>1.8158692374283625</v>
      </c>
    </row>
    <row r="234" spans="1:4" x14ac:dyDescent="0.3">
      <c r="A234">
        <f t="shared" ca="1" si="6"/>
        <v>0.24114985192593796</v>
      </c>
      <c r="B234">
        <f t="shared" ca="1" si="7"/>
        <v>0.72918956594041628</v>
      </c>
      <c r="C234">
        <f ca="1">AVERAGE(B$2:B234)</f>
        <v>0.14563325278763276</v>
      </c>
      <c r="D234">
        <f ca="1">_xlfn.VAR.P(B$2:B234)</f>
        <v>1.8095436433050676</v>
      </c>
    </row>
    <row r="235" spans="1:4" x14ac:dyDescent="0.3">
      <c r="A235">
        <f t="shared" ca="1" si="6"/>
        <v>0.6792134094601574</v>
      </c>
      <c r="B235">
        <f t="shared" ca="1" si="7"/>
        <v>-0.44383202336631405</v>
      </c>
      <c r="C235">
        <f ca="1">AVERAGE(B$2:B235)</f>
        <v>0.14311417041090649</v>
      </c>
      <c r="D235">
        <f ca="1">_xlfn.VAR.P(B$2:B235)</f>
        <v>1.8032891166251417</v>
      </c>
    </row>
    <row r="236" spans="1:4" x14ac:dyDescent="0.3">
      <c r="A236">
        <f t="shared" ca="1" si="6"/>
        <v>2.0568393934182194E-2</v>
      </c>
      <c r="B236">
        <f t="shared" ca="1" si="7"/>
        <v>3.1908524758715857</v>
      </c>
      <c r="C236">
        <f ca="1">AVERAGE(B$2:B236)</f>
        <v>0.15608326958307961</v>
      </c>
      <c r="D236">
        <f ca="1">_xlfn.VAR.P(B$2:B236)</f>
        <v>1.8349737687171113</v>
      </c>
    </row>
    <row r="237" spans="1:4" x14ac:dyDescent="0.3">
      <c r="A237">
        <f t="shared" ca="1" si="6"/>
        <v>4.6319486609186611E-2</v>
      </c>
      <c r="B237">
        <f t="shared" ca="1" si="7"/>
        <v>2.3790453487856582</v>
      </c>
      <c r="C237">
        <f ca="1">AVERAGE(B$2:B237)</f>
        <v>0.16550260042715834</v>
      </c>
      <c r="D237">
        <f ca="1">_xlfn.VAR.P(B$2:B237)</f>
        <v>1.8480485476221014</v>
      </c>
    </row>
    <row r="238" spans="1:4" x14ac:dyDescent="0.3">
      <c r="A238">
        <f t="shared" ca="1" si="6"/>
        <v>0.62916219241141769</v>
      </c>
      <c r="B238">
        <f t="shared" ca="1" si="7"/>
        <v>-0.29884330771527962</v>
      </c>
      <c r="C238">
        <f ca="1">AVERAGE(B$2:B238)</f>
        <v>0.16354333499195817</v>
      </c>
      <c r="D238">
        <f ca="1">_xlfn.VAR.P(B$2:B238)</f>
        <v>1.8411568125921383</v>
      </c>
    </row>
    <row r="239" spans="1:4" x14ac:dyDescent="0.3">
      <c r="A239">
        <f t="shared" ca="1" si="6"/>
        <v>0.11887892410759171</v>
      </c>
      <c r="B239">
        <f t="shared" ca="1" si="7"/>
        <v>1.4365025677326624</v>
      </c>
      <c r="C239">
        <f ca="1">AVERAGE(B$2:B239)</f>
        <v>0.16889190319675104</v>
      </c>
      <c r="D239">
        <f ca="1">_xlfn.VAR.P(B$2:B239)</f>
        <v>1.8402007616944467</v>
      </c>
    </row>
    <row r="240" spans="1:4" x14ac:dyDescent="0.3">
      <c r="A240">
        <f t="shared" ca="1" si="6"/>
        <v>0.69051712276720056</v>
      </c>
      <c r="B240">
        <f t="shared" ca="1" si="7"/>
        <v>-0.47970533179307479</v>
      </c>
      <c r="C240">
        <f ca="1">AVERAGE(B$2:B240)</f>
        <v>0.16617810723445051</v>
      </c>
      <c r="D240">
        <f ca="1">_xlfn.VAR.P(B$2:B240)</f>
        <v>1.8342539727864324</v>
      </c>
    </row>
    <row r="241" spans="1:4" x14ac:dyDescent="0.3">
      <c r="A241">
        <f t="shared" ca="1" si="6"/>
        <v>7.3687890133146139E-3</v>
      </c>
      <c r="B241">
        <f t="shared" ca="1" si="7"/>
        <v>4.217354718704895</v>
      </c>
      <c r="C241">
        <f ca="1">AVERAGE(B$2:B241)</f>
        <v>0.18305800978224401</v>
      </c>
      <c r="D241">
        <f ca="1">_xlfn.VAR.P(B$2:B241)</f>
        <v>1.8947097831953208</v>
      </c>
    </row>
    <row r="242" spans="1:4" x14ac:dyDescent="0.3">
      <c r="A242">
        <f t="shared" ca="1" si="6"/>
        <v>0.49731934609602213</v>
      </c>
      <c r="B242">
        <f t="shared" ca="1" si="7"/>
        <v>5.3757311939010149E-3</v>
      </c>
      <c r="C242">
        <f ca="1">AVERAGE(B$2:B242)</f>
        <v>0.18232073891673223</v>
      </c>
      <c r="D242">
        <f ca="1">_xlfn.VAR.P(B$2:B242)</f>
        <v>1.8869783732740002</v>
      </c>
    </row>
    <row r="243" spans="1:4" x14ac:dyDescent="0.3">
      <c r="A243">
        <f t="shared" ca="1" si="6"/>
        <v>0.12224738736068075</v>
      </c>
      <c r="B243">
        <f t="shared" ca="1" si="7"/>
        <v>1.4085613415783544</v>
      </c>
      <c r="C243">
        <f ca="1">AVERAGE(B$2:B243)</f>
        <v>0.18738784884508605</v>
      </c>
      <c r="D243">
        <f ca="1">_xlfn.VAR.P(B$2:B243)</f>
        <v>1.8853687623087507</v>
      </c>
    </row>
    <row r="244" spans="1:4" x14ac:dyDescent="0.3">
      <c r="A244">
        <f t="shared" ca="1" si="6"/>
        <v>0.40476457438384172</v>
      </c>
      <c r="B244">
        <f t="shared" ca="1" si="7"/>
        <v>0.21130249815240723</v>
      </c>
      <c r="C244">
        <f ca="1">AVERAGE(B$2:B244)</f>
        <v>0.18748626303976637</v>
      </c>
      <c r="D244">
        <f ca="1">_xlfn.VAR.P(B$2:B244)</f>
        <v>1.8776123869778938</v>
      </c>
    </row>
    <row r="245" spans="1:4" x14ac:dyDescent="0.3">
      <c r="A245">
        <f t="shared" ca="1" si="6"/>
        <v>0.56079147523402539</v>
      </c>
      <c r="B245">
        <f t="shared" ca="1" si="7"/>
        <v>-0.12963379865664351</v>
      </c>
      <c r="C245">
        <f ca="1">AVERAGE(B$2:B245)</f>
        <v>0.18618659065576471</v>
      </c>
      <c r="D245">
        <f ca="1">_xlfn.VAR.P(B$2:B245)</f>
        <v>1.870327717282672</v>
      </c>
    </row>
    <row r="246" spans="1:4" x14ac:dyDescent="0.3">
      <c r="A246">
        <f t="shared" ca="1" si="6"/>
        <v>0.69002629494980172</v>
      </c>
      <c r="B246">
        <f t="shared" ca="1" si="7"/>
        <v>-0.47812062695933982</v>
      </c>
      <c r="C246">
        <f ca="1">AVERAGE(B$2:B246)</f>
        <v>0.18347513262468265</v>
      </c>
      <c r="D246">
        <f ca="1">_xlfn.VAR.P(B$2:B246)</f>
        <v>1.8644876157355394</v>
      </c>
    </row>
    <row r="247" spans="1:4" x14ac:dyDescent="0.3">
      <c r="A247">
        <f t="shared" ca="1" si="6"/>
        <v>0.20679019738528936</v>
      </c>
      <c r="B247">
        <f t="shared" ca="1" si="7"/>
        <v>0.88290335833650047</v>
      </c>
      <c r="C247">
        <f ca="1">AVERAGE(B$2:B247)</f>
        <v>0.18631833679424287</v>
      </c>
      <c r="D247">
        <f ca="1">_xlfn.VAR.P(B$2:B247)</f>
        <v>1.858888931223097</v>
      </c>
    </row>
    <row r="248" spans="1:4" x14ac:dyDescent="0.3">
      <c r="A248">
        <f t="shared" ca="1" si="6"/>
        <v>0.89071481690296661</v>
      </c>
      <c r="B248">
        <f t="shared" ca="1" si="7"/>
        <v>-1.520647274212803</v>
      </c>
      <c r="C248">
        <f ca="1">AVERAGE(B$2:B248)</f>
        <v>0.17940754484684593</v>
      </c>
      <c r="D248">
        <f ca="1">_xlfn.VAR.P(B$2:B248)</f>
        <v>1.8631117902584757</v>
      </c>
    </row>
    <row r="249" spans="1:4" x14ac:dyDescent="0.3">
      <c r="A249">
        <f t="shared" ca="1" si="6"/>
        <v>0.19129321313382197</v>
      </c>
      <c r="B249">
        <f t="shared" ca="1" si="7"/>
        <v>0.96080070021211506</v>
      </c>
      <c r="C249">
        <f ca="1">AVERAGE(B$2:B249)</f>
        <v>0.18255832369912525</v>
      </c>
      <c r="D249">
        <f ca="1">_xlfn.VAR.P(B$2:B249)</f>
        <v>1.8580513123389757</v>
      </c>
    </row>
    <row r="250" spans="1:4" x14ac:dyDescent="0.3">
      <c r="A250">
        <f t="shared" ca="1" si="6"/>
        <v>0.11659757670040671</v>
      </c>
      <c r="B250">
        <f t="shared" ca="1" si="7"/>
        <v>1.4558796077371494</v>
      </c>
      <c r="C250">
        <f ca="1">AVERAGE(B$2:B250)</f>
        <v>0.18767206379566351</v>
      </c>
      <c r="D250">
        <f ca="1">_xlfn.VAR.P(B$2:B250)</f>
        <v>1.857074542643953</v>
      </c>
    </row>
    <row r="251" spans="1:4" x14ac:dyDescent="0.3">
      <c r="A251">
        <f t="shared" ca="1" si="6"/>
        <v>0.1383845565056645</v>
      </c>
      <c r="B251">
        <f t="shared" ca="1" si="7"/>
        <v>1.2845716474065274</v>
      </c>
      <c r="C251">
        <f ca="1">AVERAGE(B$2:B251)</f>
        <v>0.19205966213010697</v>
      </c>
      <c r="D251">
        <f ca="1">_xlfn.VAR.P(B$2:B251)</f>
        <v>1.8544397482403354</v>
      </c>
    </row>
    <row r="252" spans="1:4" x14ac:dyDescent="0.3">
      <c r="A252">
        <f t="shared" ca="1" si="6"/>
        <v>0.95143200580639142</v>
      </c>
      <c r="B252">
        <f t="shared" ca="1" si="7"/>
        <v>-2.3316433401458578</v>
      </c>
      <c r="C252">
        <f ca="1">AVERAGE(B$2:B252)</f>
        <v>0.18200506849554138</v>
      </c>
      <c r="D252">
        <f ca="1">_xlfn.VAR.P(B$2:B252)</f>
        <v>1.8723252553611092</v>
      </c>
    </row>
    <row r="253" spans="1:4" x14ac:dyDescent="0.3">
      <c r="A253">
        <f t="shared" ca="1" si="6"/>
        <v>0.58969867874427762</v>
      </c>
      <c r="B253">
        <f t="shared" ca="1" si="7"/>
        <v>-0.19771627876056116</v>
      </c>
      <c r="C253">
        <f ca="1">AVERAGE(B$2:B253)</f>
        <v>0.1804982377524616</v>
      </c>
      <c r="D253">
        <f ca="1">_xlfn.VAR.P(B$2:B253)</f>
        <v>1.865465298497621</v>
      </c>
    </row>
    <row r="254" spans="1:4" x14ac:dyDescent="0.3">
      <c r="A254">
        <f t="shared" ca="1" si="6"/>
        <v>0.59677426102829523</v>
      </c>
      <c r="B254">
        <f t="shared" ca="1" si="7"/>
        <v>-0.21511154696713167</v>
      </c>
      <c r="C254">
        <f ca="1">AVERAGE(B$2:B254)</f>
        <v>0.17893456271404426</v>
      </c>
      <c r="D254">
        <f ca="1">_xlfn.VAR.P(B$2:B254)</f>
        <v>1.8587080779368421</v>
      </c>
    </row>
    <row r="255" spans="1:4" x14ac:dyDescent="0.3">
      <c r="A255">
        <f t="shared" ca="1" si="6"/>
        <v>0.19764388180129844</v>
      </c>
      <c r="B255">
        <f t="shared" ca="1" si="7"/>
        <v>0.92814126386997053</v>
      </c>
      <c r="C255">
        <f ca="1">AVERAGE(B$2:B255)</f>
        <v>0.18188419539576048</v>
      </c>
      <c r="D255">
        <f ca="1">_xlfn.VAR.P(B$2:B255)</f>
        <v>1.8535915138366412</v>
      </c>
    </row>
    <row r="256" spans="1:4" x14ac:dyDescent="0.3">
      <c r="A256">
        <f t="shared" ca="1" si="6"/>
        <v>0.50134774625653034</v>
      </c>
      <c r="B256">
        <f t="shared" ca="1" si="7"/>
        <v>-2.69913189442595E-3</v>
      </c>
      <c r="C256">
        <f ca="1">AVERAGE(B$2:B256)</f>
        <v>0.18116033921030877</v>
      </c>
      <c r="D256">
        <f ca="1">_xlfn.VAR.P(B$2:B256)</f>
        <v>1.846455615323283</v>
      </c>
    </row>
    <row r="257" spans="1:4" x14ac:dyDescent="0.3">
      <c r="A257">
        <f t="shared" ca="1" si="6"/>
        <v>0.7805596159531627</v>
      </c>
      <c r="B257">
        <f t="shared" ca="1" si="7"/>
        <v>-0.82352750167207633</v>
      </c>
      <c r="C257">
        <f ca="1">AVERAGE(B$2:B257)</f>
        <v>0.17723577733186197</v>
      </c>
      <c r="D257">
        <f ca="1">_xlfn.VAR.P(B$2:B257)</f>
        <v>1.843170455490055</v>
      </c>
    </row>
    <row r="258" spans="1:4" x14ac:dyDescent="0.3">
      <c r="A258">
        <f t="shared" ca="1" si="6"/>
        <v>0.14871339776715509</v>
      </c>
      <c r="B258">
        <f t="shared" ca="1" si="7"/>
        <v>1.212587149706408</v>
      </c>
      <c r="C258">
        <f ca="1">AVERAGE(B$2:B258)</f>
        <v>0.18126438189363062</v>
      </c>
      <c r="D258">
        <f ca="1">_xlfn.VAR.P(B$2:B258)</f>
        <v>1.8401533776205063</v>
      </c>
    </row>
    <row r="259" spans="1:4" x14ac:dyDescent="0.3">
      <c r="A259">
        <f t="shared" ref="A259:A322" ca="1" si="8">RAND()</f>
        <v>0.38141738293813465</v>
      </c>
      <c r="B259">
        <f t="shared" ref="B259:B322" ca="1" si="9">-SIGN(0.5-A259)*LN(1-2*ABS(0.5-A259))*$F$1</f>
        <v>0.27071382963442953</v>
      </c>
      <c r="C259">
        <f ca="1">AVERAGE(B$2:B259)</f>
        <v>0.18161108517944768</v>
      </c>
      <c r="D259">
        <f ca="1">_xlfn.VAR.P(B$2:B259)</f>
        <v>1.8330518924021464</v>
      </c>
    </row>
    <row r="260" spans="1:4" x14ac:dyDescent="0.3">
      <c r="A260">
        <f t="shared" ca="1" si="8"/>
        <v>0.40022547904040673</v>
      </c>
      <c r="B260">
        <f t="shared" ca="1" si="9"/>
        <v>0.22258001253100496</v>
      </c>
      <c r="C260">
        <f ca="1">AVERAGE(B$2:B260)</f>
        <v>0.18176926636613322</v>
      </c>
      <c r="D260">
        <f ca="1">_xlfn.VAR.P(B$2:B260)</f>
        <v>1.8259809274604191</v>
      </c>
    </row>
    <row r="261" spans="1:4" x14ac:dyDescent="0.3">
      <c r="A261">
        <f t="shared" ca="1" si="8"/>
        <v>0.26351497119164402</v>
      </c>
      <c r="B261">
        <f t="shared" ca="1" si="9"/>
        <v>0.64049791538819967</v>
      </c>
      <c r="C261">
        <f ca="1">AVERAGE(B$2:B261)</f>
        <v>0.18353360732391041</v>
      </c>
      <c r="D261">
        <f ca="1">_xlfn.VAR.P(B$2:B261)</f>
        <v>1.8197641647382239</v>
      </c>
    </row>
    <row r="262" spans="1:4" x14ac:dyDescent="0.3">
      <c r="A262">
        <f t="shared" ca="1" si="8"/>
        <v>0.11917203268905696</v>
      </c>
      <c r="B262">
        <f t="shared" ca="1" si="9"/>
        <v>1.4340399964115194</v>
      </c>
      <c r="C262">
        <f ca="1">AVERAGE(B$2:B262)</f>
        <v>0.18832481954263688</v>
      </c>
      <c r="D262">
        <f ca="1">_xlfn.VAR.P(B$2:B262)</f>
        <v>1.8187603740214413</v>
      </c>
    </row>
    <row r="263" spans="1:4" x14ac:dyDescent="0.3">
      <c r="A263">
        <f t="shared" ca="1" si="8"/>
        <v>0.65722253134935937</v>
      </c>
      <c r="B263">
        <f t="shared" ca="1" si="9"/>
        <v>-0.37752664124890312</v>
      </c>
      <c r="C263">
        <f ca="1">AVERAGE(B$2:B263)</f>
        <v>0.18616508114266916</v>
      </c>
      <c r="D263">
        <f ca="1">_xlfn.VAR.P(B$2:B263)</f>
        <v>1.8130359671914031</v>
      </c>
    </row>
    <row r="264" spans="1:4" x14ac:dyDescent="0.3">
      <c r="A264">
        <f t="shared" ca="1" si="8"/>
        <v>0.33998639117656271</v>
      </c>
      <c r="B264">
        <f t="shared" ca="1" si="9"/>
        <v>0.38570250756433061</v>
      </c>
      <c r="C264">
        <f ca="1">AVERAGE(B$2:B264)</f>
        <v>0.18692377858153481</v>
      </c>
      <c r="D264">
        <f ca="1">_xlfn.VAR.P(B$2:B264)</f>
        <v>1.8062931072249284</v>
      </c>
    </row>
    <row r="265" spans="1:4" x14ac:dyDescent="0.3">
      <c r="A265">
        <f t="shared" ca="1" si="8"/>
        <v>0.66318187481456259</v>
      </c>
      <c r="B265">
        <f t="shared" ca="1" si="9"/>
        <v>-0.39506500163079089</v>
      </c>
      <c r="C265">
        <f ca="1">AVERAGE(B$2:B265)</f>
        <v>0.18471927562618509</v>
      </c>
      <c r="D265">
        <f ca="1">_xlfn.VAR.P(B$2:B265)</f>
        <v>1.8007292240320578</v>
      </c>
    </row>
    <row r="266" spans="1:4" x14ac:dyDescent="0.3">
      <c r="A266">
        <f t="shared" ca="1" si="8"/>
        <v>0.37411999701178367</v>
      </c>
      <c r="B266">
        <f t="shared" ca="1" si="9"/>
        <v>0.29003150484316204</v>
      </c>
      <c r="C266">
        <f ca="1">AVERAGE(B$2:B266)</f>
        <v>0.18511668026473974</v>
      </c>
      <c r="D266">
        <f ca="1">_xlfn.VAR.P(B$2:B266)</f>
        <v>1.7939757130510099</v>
      </c>
    </row>
    <row r="267" spans="1:4" x14ac:dyDescent="0.3">
      <c r="A267">
        <f t="shared" ca="1" si="8"/>
        <v>0.95541921704429633</v>
      </c>
      <c r="B267">
        <f t="shared" ca="1" si="9"/>
        <v>-2.4173052076823187</v>
      </c>
      <c r="C267">
        <f ca="1">AVERAGE(B$2:B267)</f>
        <v>0.17533313933260794</v>
      </c>
      <c r="D267">
        <f ca="1">_xlfn.VAR.P(B$2:B267)</f>
        <v>1.8125966268433087</v>
      </c>
    </row>
    <row r="268" spans="1:4" x14ac:dyDescent="0.3">
      <c r="A268">
        <f t="shared" ca="1" si="8"/>
        <v>0.18049906657047199</v>
      </c>
      <c r="B268">
        <f t="shared" ca="1" si="9"/>
        <v>1.0188824920173534</v>
      </c>
      <c r="C268">
        <f ca="1">AVERAGE(B$2:B268)</f>
        <v>0.17849250020408639</v>
      </c>
      <c r="D268">
        <f ca="1">_xlfn.VAR.P(B$2:B268)</f>
        <v>1.8084629706888273</v>
      </c>
    </row>
    <row r="269" spans="1:4" x14ac:dyDescent="0.3">
      <c r="A269">
        <f t="shared" ca="1" si="8"/>
        <v>0.20750130353826368</v>
      </c>
      <c r="B269">
        <f t="shared" ca="1" si="9"/>
        <v>0.87947047665905698</v>
      </c>
      <c r="C269">
        <f ca="1">AVERAGE(B$2:B269)</f>
        <v>0.18110808966847061</v>
      </c>
      <c r="D269">
        <f ca="1">_xlfn.VAR.P(B$2:B269)</f>
        <v>1.8035416038312757</v>
      </c>
    </row>
    <row r="270" spans="1:4" x14ac:dyDescent="0.3">
      <c r="A270">
        <f t="shared" ca="1" si="8"/>
        <v>0.60972842417014184</v>
      </c>
      <c r="B270">
        <f t="shared" ca="1" si="9"/>
        <v>-0.24776525335478217</v>
      </c>
      <c r="C270">
        <f ca="1">AVERAGE(B$2:B270)</f>
        <v>0.17951376497321686</v>
      </c>
      <c r="D270">
        <f ca="1">_xlfn.VAR.P(B$2:B270)</f>
        <v>1.7975182096943341</v>
      </c>
    </row>
    <row r="271" spans="1:4" x14ac:dyDescent="0.3">
      <c r="A271">
        <f t="shared" ca="1" si="8"/>
        <v>0.48339717793579629</v>
      </c>
      <c r="B271">
        <f t="shared" ca="1" si="9"/>
        <v>3.3769468118140675E-2</v>
      </c>
      <c r="C271">
        <f ca="1">AVERAGE(B$2:B271)</f>
        <v>0.17897397128116102</v>
      </c>
      <c r="D271">
        <f ca="1">_xlfn.VAR.P(B$2:B271)</f>
        <v>1.7909391153184799</v>
      </c>
    </row>
    <row r="272" spans="1:4" x14ac:dyDescent="0.3">
      <c r="A272">
        <f t="shared" ca="1" si="8"/>
        <v>0.50554808479583691</v>
      </c>
      <c r="B272">
        <f t="shared" ca="1" si="9"/>
        <v>-1.1158191310592919E-2</v>
      </c>
      <c r="C272">
        <f ca="1">AVERAGE(B$2:B272)</f>
        <v>0.1782723765852505</v>
      </c>
      <c r="D272">
        <f ca="1">_xlfn.VAR.P(B$2:B272)</f>
        <v>1.7844633873783193</v>
      </c>
    </row>
    <row r="273" spans="1:4" x14ac:dyDescent="0.3">
      <c r="A273">
        <f t="shared" ca="1" si="8"/>
        <v>0.38641288574977484</v>
      </c>
      <c r="B273">
        <f t="shared" ca="1" si="9"/>
        <v>0.25770164842616511</v>
      </c>
      <c r="C273">
        <f ca="1">AVERAGE(B$2:B273)</f>
        <v>0.17856439596701856</v>
      </c>
      <c r="D273">
        <f ca="1">_xlfn.VAR.P(B$2:B273)</f>
        <v>1.7779259698303782</v>
      </c>
    </row>
    <row r="274" spans="1:4" x14ac:dyDescent="0.3">
      <c r="A274">
        <f t="shared" ca="1" si="8"/>
        <v>5.8933927985164503E-2</v>
      </c>
      <c r="B274">
        <f t="shared" ca="1" si="9"/>
        <v>2.1381911466916605</v>
      </c>
      <c r="C274">
        <f ca="1">AVERAGE(B$2:B274)</f>
        <v>0.18574251593304289</v>
      </c>
      <c r="D274">
        <f ca="1">_xlfn.VAR.P(B$2:B274)</f>
        <v>1.7854283309894252</v>
      </c>
    </row>
    <row r="275" spans="1:4" x14ac:dyDescent="0.3">
      <c r="A275">
        <f t="shared" ca="1" si="8"/>
        <v>0.29195879248370693</v>
      </c>
      <c r="B275">
        <f t="shared" ca="1" si="9"/>
        <v>0.53799542774364495</v>
      </c>
      <c r="C275">
        <f ca="1">AVERAGE(B$2:B275)</f>
        <v>0.18702811050169471</v>
      </c>
      <c r="D275">
        <f ca="1">_xlfn.VAR.P(B$2:B275)</f>
        <v>1.7793633708743137</v>
      </c>
    </row>
    <row r="276" spans="1:4" x14ac:dyDescent="0.3">
      <c r="A276">
        <f t="shared" ca="1" si="8"/>
        <v>0.20827337107361421</v>
      </c>
      <c r="B276">
        <f t="shared" ca="1" si="9"/>
        <v>0.87575659762834535</v>
      </c>
      <c r="C276">
        <f ca="1">AVERAGE(B$2:B276)</f>
        <v>0.18953257772760981</v>
      </c>
      <c r="D276">
        <f ca="1">_xlfn.VAR.P(B$2:B276)</f>
        <v>1.7746115841840664</v>
      </c>
    </row>
    <row r="277" spans="1:4" x14ac:dyDescent="0.3">
      <c r="A277">
        <f t="shared" ca="1" si="8"/>
        <v>0.56049724598086215</v>
      </c>
      <c r="B277">
        <f t="shared" ca="1" si="9"/>
        <v>-0.12896411506144426</v>
      </c>
      <c r="C277">
        <f ca="1">AVERAGE(B$2:B277)</f>
        <v>0.18837860420301181</v>
      </c>
      <c r="D277">
        <f ca="1">_xlfn.VAR.P(B$2:B277)</f>
        <v>1.7685480371637119</v>
      </c>
    </row>
    <row r="278" spans="1:4" x14ac:dyDescent="0.3">
      <c r="A278">
        <f t="shared" ca="1" si="8"/>
        <v>0.29133808744273038</v>
      </c>
      <c r="B278">
        <f t="shared" ca="1" si="9"/>
        <v>0.54012369311460251</v>
      </c>
      <c r="C278">
        <f ca="1">AVERAGE(B$2:B278)</f>
        <v>0.18964844206911863</v>
      </c>
      <c r="D278">
        <f ca="1">_xlfn.VAR.P(B$2:B278)</f>
        <v>1.7626084339549635</v>
      </c>
    </row>
    <row r="279" spans="1:4" x14ac:dyDescent="0.3">
      <c r="A279">
        <f t="shared" ca="1" si="8"/>
        <v>0.62668766998215197</v>
      </c>
      <c r="B279">
        <f t="shared" ca="1" si="9"/>
        <v>-0.29219268326451558</v>
      </c>
      <c r="C279">
        <f ca="1">AVERAGE(B$2:B279)</f>
        <v>0.18791520061108397</v>
      </c>
      <c r="D279">
        <f ca="1">_xlfn.VAR.P(B$2:B279)</f>
        <v>1.7571002587358742</v>
      </c>
    </row>
    <row r="280" spans="1:4" x14ac:dyDescent="0.3">
      <c r="A280">
        <f t="shared" ca="1" si="8"/>
        <v>0.48676715776453516</v>
      </c>
      <c r="B280">
        <f t="shared" ca="1" si="9"/>
        <v>2.6822205146483154E-2</v>
      </c>
      <c r="C280">
        <f ca="1">AVERAGE(B$2:B280)</f>
        <v>0.1873378063621069</v>
      </c>
      <c r="D280">
        <f ca="1">_xlfn.VAR.P(B$2:B280)</f>
        <v>1.750895089131153</v>
      </c>
    </row>
    <row r="281" spans="1:4" x14ac:dyDescent="0.3">
      <c r="A281">
        <f t="shared" ca="1" si="8"/>
        <v>0.85828168332156896</v>
      </c>
      <c r="B281">
        <f t="shared" ca="1" si="9"/>
        <v>-1.260766696293719</v>
      </c>
      <c r="C281">
        <f ca="1">AVERAGE(B$2:B281)</f>
        <v>0.18216600456690749</v>
      </c>
      <c r="D281">
        <f ca="1">_xlfn.VAR.P(B$2:B281)</f>
        <v>1.7521044543169191</v>
      </c>
    </row>
    <row r="282" spans="1:4" x14ac:dyDescent="0.3">
      <c r="A282">
        <f t="shared" ca="1" si="8"/>
        <v>0.40036231820917356</v>
      </c>
      <c r="B282">
        <f t="shared" ca="1" si="9"/>
        <v>0.22223816577648403</v>
      </c>
      <c r="C282">
        <f ca="1">AVERAGE(B$2:B282)</f>
        <v>0.18230861012281346</v>
      </c>
      <c r="D282">
        <f ca="1">_xlfn.VAR.P(B$2:B282)</f>
        <v>1.7458749013250121</v>
      </c>
    </row>
    <row r="283" spans="1:4" x14ac:dyDescent="0.3">
      <c r="A283">
        <f t="shared" ca="1" si="8"/>
        <v>0.45129957133068488</v>
      </c>
      <c r="B283">
        <f t="shared" ca="1" si="9"/>
        <v>0.10247674144414141</v>
      </c>
      <c r="C283">
        <f ca="1">AVERAGE(B$2:B283)</f>
        <v>0.18202551838991038</v>
      </c>
      <c r="D283">
        <f ca="1">_xlfn.VAR.P(B$2:B283)</f>
        <v>1.7397063751767488</v>
      </c>
    </row>
    <row r="284" spans="1:4" x14ac:dyDescent="0.3">
      <c r="A284">
        <f t="shared" ca="1" si="8"/>
        <v>0.23568355732594992</v>
      </c>
      <c r="B284">
        <f t="shared" ca="1" si="9"/>
        <v>0.75211805194046133</v>
      </c>
      <c r="C284">
        <f ca="1">AVERAGE(B$2:B284)</f>
        <v>0.1840399796392056</v>
      </c>
      <c r="D284">
        <f ca="1">_xlfn.VAR.P(B$2:B284)</f>
        <v>1.7347033740895261</v>
      </c>
    </row>
    <row r="285" spans="1:4" x14ac:dyDescent="0.3">
      <c r="A285">
        <f t="shared" ca="1" si="8"/>
        <v>0.26622672544351289</v>
      </c>
      <c r="B285">
        <f t="shared" ca="1" si="9"/>
        <v>0.63025980139417281</v>
      </c>
      <c r="C285">
        <f ca="1">AVERAGE(B$2:B285)</f>
        <v>0.18561117619468084</v>
      </c>
      <c r="D285">
        <f ca="1">_xlfn.VAR.P(B$2:B285)</f>
        <v>1.7292938940056899</v>
      </c>
    </row>
    <row r="286" spans="1:4" x14ac:dyDescent="0.3">
      <c r="A286">
        <f t="shared" ca="1" si="8"/>
        <v>0.93726251373261826</v>
      </c>
      <c r="B286">
        <f t="shared" ca="1" si="9"/>
        <v>-2.0756489623312735</v>
      </c>
      <c r="C286">
        <f ca="1">AVERAGE(B$2:B286)</f>
        <v>0.17767693009458979</v>
      </c>
      <c r="D286">
        <f ca="1">_xlfn.VAR.P(B$2:B286)</f>
        <v>1.7411046383062001</v>
      </c>
    </row>
    <row r="287" spans="1:4" x14ac:dyDescent="0.3">
      <c r="A287">
        <f t="shared" ca="1" si="8"/>
        <v>0.5460729140002456</v>
      </c>
      <c r="B287">
        <f t="shared" ca="1" si="9"/>
        <v>-9.6671516803740892E-2</v>
      </c>
      <c r="C287">
        <f ca="1">AVERAGE(B$2:B287)</f>
        <v>0.17671766979074949</v>
      </c>
      <c r="D287">
        <f ca="1">_xlfn.VAR.P(B$2:B287)</f>
        <v>1.7352791112447834</v>
      </c>
    </row>
    <row r="288" spans="1:4" x14ac:dyDescent="0.3">
      <c r="A288">
        <f t="shared" ca="1" si="8"/>
        <v>0.25498098108632639</v>
      </c>
      <c r="B288">
        <f t="shared" ca="1" si="9"/>
        <v>0.6734191400204792</v>
      </c>
      <c r="C288">
        <f ca="1">AVERAGE(B$2:B288)</f>
        <v>0.17844833693440706</v>
      </c>
      <c r="D288">
        <f ca="1">_xlfn.VAR.P(B$2:B288)</f>
        <v>1.7300894722704585</v>
      </c>
    </row>
    <row r="289" spans="1:4" x14ac:dyDescent="0.3">
      <c r="A289">
        <f t="shared" ca="1" si="8"/>
        <v>0.98344932358789905</v>
      </c>
      <c r="B289">
        <f t="shared" ca="1" si="9"/>
        <v>-3.4081811266124995</v>
      </c>
      <c r="C289">
        <f ca="1">AVERAGE(B$2:B289)</f>
        <v>0.16599476240820255</v>
      </c>
      <c r="D289">
        <f ca="1">_xlfn.VAR.P(B$2:B289)</f>
        <v>1.7685934829620911</v>
      </c>
    </row>
    <row r="290" spans="1:4" x14ac:dyDescent="0.3">
      <c r="A290">
        <f t="shared" ca="1" si="8"/>
        <v>0.38732935071269325</v>
      </c>
      <c r="B290">
        <f t="shared" ca="1" si="9"/>
        <v>0.25533273188442213</v>
      </c>
      <c r="C290">
        <f ca="1">AVERAGE(B$2:B290)</f>
        <v>0.1663038903302656</v>
      </c>
      <c r="D290">
        <f ca="1">_xlfn.VAR.P(B$2:B290)</f>
        <v>1.7625013036297976</v>
      </c>
    </row>
    <row r="291" spans="1:4" x14ac:dyDescent="0.3">
      <c r="A291">
        <f t="shared" ca="1" si="8"/>
        <v>0.82646872964639417</v>
      </c>
      <c r="B291">
        <f t="shared" ca="1" si="9"/>
        <v>-1.0582502826895948</v>
      </c>
      <c r="C291">
        <f ca="1">AVERAGE(B$2:B291)</f>
        <v>0.16208128973364538</v>
      </c>
      <c r="D291">
        <f ca="1">_xlfn.VAR.P(B$2:B291)</f>
        <v>1.7615766857534148</v>
      </c>
    </row>
    <row r="292" spans="1:4" x14ac:dyDescent="0.3">
      <c r="A292">
        <f t="shared" ca="1" si="8"/>
        <v>0.96642265657346549</v>
      </c>
      <c r="B292">
        <f t="shared" ca="1" si="9"/>
        <v>-2.7007565616791149</v>
      </c>
      <c r="C292">
        <f ca="1">AVERAGE(B$2:B292)</f>
        <v>0.1522433589727768</v>
      </c>
      <c r="D292">
        <f ca="1">_xlfn.VAR.P(B$2:B292)</f>
        <v>1.7835907733038143</v>
      </c>
    </row>
    <row r="293" spans="1:4" x14ac:dyDescent="0.3">
      <c r="A293">
        <f t="shared" ca="1" si="8"/>
        <v>2.4157950749941759E-2</v>
      </c>
      <c r="B293">
        <f t="shared" ca="1" si="9"/>
        <v>3.0299945489057349</v>
      </c>
      <c r="C293">
        <f ca="1">AVERAGE(B$2:B293)</f>
        <v>0.16209867126706776</v>
      </c>
      <c r="D293">
        <f ca="1">_xlfn.VAR.P(B$2:B293)</f>
        <v>1.8057465952256457</v>
      </c>
    </row>
    <row r="294" spans="1:4" x14ac:dyDescent="0.3">
      <c r="A294">
        <f t="shared" ca="1" si="8"/>
        <v>0.36456522168831418</v>
      </c>
      <c r="B294">
        <f t="shared" ca="1" si="9"/>
        <v>0.31590262830736249</v>
      </c>
      <c r="C294">
        <f ca="1">AVERAGE(B$2:B294)</f>
        <v>0.16262359944809265</v>
      </c>
      <c r="D294">
        <f ca="1">_xlfn.VAR.P(B$2:B294)</f>
        <v>1.7996640980445682</v>
      </c>
    </row>
    <row r="295" spans="1:4" x14ac:dyDescent="0.3">
      <c r="A295">
        <f t="shared" ca="1" si="8"/>
        <v>1.8683492052283923E-2</v>
      </c>
      <c r="B295">
        <f t="shared" ca="1" si="9"/>
        <v>3.2869677423923065</v>
      </c>
      <c r="C295">
        <f ca="1">AVERAGE(B$2:B295)</f>
        <v>0.17325062034246072</v>
      </c>
      <c r="D295">
        <f ca="1">_xlfn.VAR.P(B$2:B295)</f>
        <v>1.8266323285038095</v>
      </c>
    </row>
    <row r="296" spans="1:4" x14ac:dyDescent="0.3">
      <c r="A296">
        <f t="shared" ca="1" si="8"/>
        <v>0.5306652289382866</v>
      </c>
      <c r="B296">
        <f t="shared" ca="1" si="9"/>
        <v>-6.3291787035286859E-2</v>
      </c>
      <c r="C296">
        <f ca="1">AVERAGE(B$2:B296)</f>
        <v>0.17244878167338359</v>
      </c>
      <c r="D296">
        <f ca="1">_xlfn.VAR.P(B$2:B296)</f>
        <v>1.8206293804127425</v>
      </c>
    </row>
    <row r="297" spans="1:4" x14ac:dyDescent="0.3">
      <c r="A297">
        <f t="shared" ca="1" si="8"/>
        <v>0.37806896740780016</v>
      </c>
      <c r="B297">
        <f t="shared" ca="1" si="9"/>
        <v>0.27953146598542344</v>
      </c>
      <c r="C297">
        <f ca="1">AVERAGE(B$2:B297)</f>
        <v>0.1728105474987621</v>
      </c>
      <c r="D297">
        <f ca="1">_xlfn.VAR.P(B$2:B297)</f>
        <v>1.8145172134600771</v>
      </c>
    </row>
    <row r="298" spans="1:4" x14ac:dyDescent="0.3">
      <c r="A298">
        <f t="shared" ca="1" si="8"/>
        <v>0.59151281101578923</v>
      </c>
      <c r="B298">
        <f t="shared" ca="1" si="9"/>
        <v>-0.20214754572966734</v>
      </c>
      <c r="C298">
        <f ca="1">AVERAGE(B$2:B298)</f>
        <v>0.17154806233637682</v>
      </c>
      <c r="D298">
        <f ca="1">_xlfn.VAR.P(B$2:B298)</f>
        <v>1.8088795130533035</v>
      </c>
    </row>
    <row r="299" spans="1:4" x14ac:dyDescent="0.3">
      <c r="A299">
        <f t="shared" ca="1" si="8"/>
        <v>0.41388527805672037</v>
      </c>
      <c r="B299">
        <f t="shared" ca="1" si="9"/>
        <v>0.18901926914106643</v>
      </c>
      <c r="C299">
        <f ca="1">AVERAGE(B$2:B299)</f>
        <v>0.17160669054713082</v>
      </c>
      <c r="D299">
        <f ca="1">_xlfn.VAR.P(B$2:B299)</f>
        <v>1.8028104684415867</v>
      </c>
    </row>
    <row r="300" spans="1:4" x14ac:dyDescent="0.3">
      <c r="A300">
        <f t="shared" ca="1" si="8"/>
        <v>0.93384811066596196</v>
      </c>
      <c r="B300">
        <f t="shared" ca="1" si="9"/>
        <v>-2.0226546469079758</v>
      </c>
      <c r="C300">
        <f ca="1">AVERAGE(B$2:B300)</f>
        <v>0.16426802386667896</v>
      </c>
      <c r="D300">
        <f ca="1">_xlfn.VAR.P(B$2:B300)</f>
        <v>1.8128300985286878</v>
      </c>
    </row>
    <row r="301" spans="1:4" x14ac:dyDescent="0.3">
      <c r="A301">
        <f t="shared" ca="1" si="8"/>
        <v>0.64737149788019077</v>
      </c>
      <c r="B301">
        <f t="shared" ca="1" si="9"/>
        <v>-0.34919299757952499</v>
      </c>
      <c r="C301">
        <f ca="1">AVERAGE(B$2:B301)</f>
        <v>0.16255648712852497</v>
      </c>
      <c r="D301">
        <f ca="1">_xlfn.VAR.P(B$2:B301)</f>
        <v>1.8076632095774015</v>
      </c>
    </row>
    <row r="302" spans="1:4" x14ac:dyDescent="0.3">
      <c r="A302">
        <f t="shared" ca="1" si="8"/>
        <v>0.11197765091036727</v>
      </c>
      <c r="B302">
        <f t="shared" ca="1" si="9"/>
        <v>1.4963087924820875</v>
      </c>
      <c r="C302">
        <f ca="1">AVERAGE(B$2:B302)</f>
        <v>0.16698755791043049</v>
      </c>
      <c r="D302">
        <f ca="1">_xlfn.VAR.P(B$2:B302)</f>
        <v>1.8075480004464648</v>
      </c>
    </row>
    <row r="303" spans="1:4" x14ac:dyDescent="0.3">
      <c r="A303">
        <f t="shared" ca="1" si="8"/>
        <v>0.98460154466802463</v>
      </c>
      <c r="B303">
        <f t="shared" ca="1" si="9"/>
        <v>-3.4803408971517849</v>
      </c>
      <c r="C303">
        <f ca="1">AVERAGE(B$2:B303)</f>
        <v>0.15491031137048938</v>
      </c>
      <c r="D303">
        <f ca="1">_xlfn.VAR.P(B$2:B303)</f>
        <v>1.8454665672467832</v>
      </c>
    </row>
    <row r="304" spans="1:4" x14ac:dyDescent="0.3">
      <c r="A304">
        <f t="shared" ca="1" si="8"/>
        <v>0.38912944481339373</v>
      </c>
      <c r="B304">
        <f t="shared" ca="1" si="9"/>
        <v>0.25069604714064231</v>
      </c>
      <c r="C304">
        <f ca="1">AVERAGE(B$2:B304)</f>
        <v>0.15522643591098492</v>
      </c>
      <c r="D304">
        <f ca="1">_xlfn.VAR.P(B$2:B304)</f>
        <v>1.8394060987969763</v>
      </c>
    </row>
    <row r="305" spans="1:4" x14ac:dyDescent="0.3">
      <c r="A305">
        <f t="shared" ca="1" si="8"/>
        <v>0.10130498371479624</v>
      </c>
      <c r="B305">
        <f t="shared" ca="1" si="9"/>
        <v>1.5964724907982855</v>
      </c>
      <c r="C305">
        <f ca="1">AVERAGE(B$2:B305)</f>
        <v>0.15996737688100895</v>
      </c>
      <c r="D305">
        <f ca="1">_xlfn.VAR.P(B$2:B305)</f>
        <v>1.8401658067886271</v>
      </c>
    </row>
    <row r="306" spans="1:4" x14ac:dyDescent="0.3">
      <c r="A306">
        <f t="shared" ca="1" si="8"/>
        <v>0.97727137592902902</v>
      </c>
      <c r="B306">
        <f t="shared" ca="1" si="9"/>
        <v>-3.0909829960032162</v>
      </c>
      <c r="C306">
        <f ca="1">AVERAGE(B$2:B306)</f>
        <v>0.14930852319942131</v>
      </c>
      <c r="D306">
        <f ca="1">_xlfn.VAR.P(B$2:B306)</f>
        <v>1.8686702694634358</v>
      </c>
    </row>
    <row r="307" spans="1:4" x14ac:dyDescent="0.3">
      <c r="A307">
        <f t="shared" ca="1" si="8"/>
        <v>0.54029749311281128</v>
      </c>
      <c r="B307">
        <f t="shared" ca="1" si="9"/>
        <v>-8.4028542313613244E-2</v>
      </c>
      <c r="C307">
        <f ca="1">AVERAGE(B$2:B307)</f>
        <v>0.14854598376964015</v>
      </c>
      <c r="D307">
        <f ca="1">_xlfn.VAR.P(B$2:B307)</f>
        <v>1.8627408511234556</v>
      </c>
    </row>
    <row r="308" spans="1:4" x14ac:dyDescent="0.3">
      <c r="A308">
        <f t="shared" ca="1" si="8"/>
        <v>0.37464481307155606</v>
      </c>
      <c r="B308">
        <f t="shared" ca="1" si="9"/>
        <v>0.2886296864386439</v>
      </c>
      <c r="C308">
        <f ca="1">AVERAGE(B$2:B308)</f>
        <v>0.1490022824754024</v>
      </c>
      <c r="D308">
        <f ca="1">_xlfn.VAR.P(B$2:B308)</f>
        <v>1.8567370031515265</v>
      </c>
    </row>
    <row r="309" spans="1:4" x14ac:dyDescent="0.3">
      <c r="A309">
        <f t="shared" ca="1" si="8"/>
        <v>0.76863627344571595</v>
      </c>
      <c r="B309">
        <f t="shared" ca="1" si="9"/>
        <v>-0.77061705241396228</v>
      </c>
      <c r="C309">
        <f ca="1">AVERAGE(B$2:B309)</f>
        <v>0.14601650541407329</v>
      </c>
      <c r="D309">
        <f ca="1">_xlfn.VAR.P(B$2:B309)</f>
        <v>1.8534454997087848</v>
      </c>
    </row>
    <row r="310" spans="1:4" x14ac:dyDescent="0.3">
      <c r="A310">
        <f t="shared" ca="1" si="8"/>
        <v>0.27581597859961338</v>
      </c>
      <c r="B310">
        <f t="shared" ca="1" si="9"/>
        <v>0.59487419928210739</v>
      </c>
      <c r="C310">
        <f ca="1">AVERAGE(B$2:B310)</f>
        <v>0.14746911931008636</v>
      </c>
      <c r="D310">
        <f ca="1">_xlfn.VAR.P(B$2:B310)</f>
        <v>1.8480972010444234</v>
      </c>
    </row>
    <row r="311" spans="1:4" x14ac:dyDescent="0.3">
      <c r="A311">
        <f t="shared" ca="1" si="8"/>
        <v>0.34053490220443883</v>
      </c>
      <c r="B311">
        <f t="shared" ca="1" si="9"/>
        <v>0.38409047528262713</v>
      </c>
      <c r="C311">
        <f ca="1">AVERAGE(B$2:B311)</f>
        <v>0.14823241400677198</v>
      </c>
      <c r="D311">
        <f ca="1">_xlfn.VAR.P(B$2:B311)</f>
        <v>1.8423156263774287</v>
      </c>
    </row>
    <row r="312" spans="1:4" x14ac:dyDescent="0.3">
      <c r="A312">
        <f t="shared" ca="1" si="8"/>
        <v>2.9595818403781227E-2</v>
      </c>
      <c r="B312">
        <f t="shared" ca="1" si="9"/>
        <v>2.8269750172142696</v>
      </c>
      <c r="C312">
        <f ca="1">AVERAGE(B$2:B312)</f>
        <v>0.15684573427432019</v>
      </c>
      <c r="D312">
        <f ca="1">_xlfn.VAR.P(B$2:B312)</f>
        <v>1.8593904605893439</v>
      </c>
    </row>
    <row r="313" spans="1:4" x14ac:dyDescent="0.3">
      <c r="A313">
        <f t="shared" ca="1" si="8"/>
        <v>0.77995779388331099</v>
      </c>
      <c r="B313">
        <f t="shared" ca="1" si="9"/>
        <v>-0.82078872448496787</v>
      </c>
      <c r="C313">
        <f ca="1">AVERAGE(B$2:B313)</f>
        <v>0.15371229049624555</v>
      </c>
      <c r="D313">
        <f ca="1">_xlfn.VAR.P(B$2:B313)</f>
        <v>1.8564844199218833</v>
      </c>
    </row>
    <row r="314" spans="1:4" x14ac:dyDescent="0.3">
      <c r="A314">
        <f t="shared" ca="1" si="8"/>
        <v>0.8515878406337366</v>
      </c>
      <c r="B314">
        <f t="shared" ca="1" si="9"/>
        <v>-1.2146148346151713</v>
      </c>
      <c r="C314">
        <f ca="1">AVERAGE(B$2:B314)</f>
        <v>0.14934063833934005</v>
      </c>
      <c r="D314">
        <f ca="1">_xlfn.VAR.P(B$2:B314)</f>
        <v>1.8565158986796018</v>
      </c>
    </row>
    <row r="315" spans="1:4" x14ac:dyDescent="0.3">
      <c r="A315">
        <f t="shared" ca="1" si="8"/>
        <v>0.38064425974070304</v>
      </c>
      <c r="B315">
        <f t="shared" ca="1" si="9"/>
        <v>0.27274286093420075</v>
      </c>
      <c r="C315">
        <f ca="1">AVERAGE(B$2:B315)</f>
        <v>0.14973363904824089</v>
      </c>
      <c r="D315">
        <f ca="1">_xlfn.VAR.P(B$2:B315)</f>
        <v>1.850651770376101</v>
      </c>
    </row>
    <row r="316" spans="1:4" x14ac:dyDescent="0.3">
      <c r="A316">
        <f t="shared" ca="1" si="8"/>
        <v>0.70322008826999183</v>
      </c>
      <c r="B316">
        <f t="shared" ca="1" si="9"/>
        <v>-0.5216172722699306</v>
      </c>
      <c r="C316">
        <f ca="1">AVERAGE(B$2:B316)</f>
        <v>0.1476023663138975</v>
      </c>
      <c r="D316">
        <f ca="1">_xlfn.VAR.P(B$2:B316)</f>
        <v>1.8462029749597808</v>
      </c>
    </row>
    <row r="317" spans="1:4" x14ac:dyDescent="0.3">
      <c r="A317">
        <f t="shared" ca="1" si="8"/>
        <v>0.5547205173639449</v>
      </c>
      <c r="B317">
        <f t="shared" ca="1" si="9"/>
        <v>-0.11590596252981918</v>
      </c>
      <c r="C317">
        <f ca="1">AVERAGE(B$2:B317)</f>
        <v>0.14676847919730343</v>
      </c>
      <c r="D317">
        <f ca="1">_xlfn.VAR.P(B$2:B317)</f>
        <v>1.8405796013148747</v>
      </c>
    </row>
    <row r="318" spans="1:4" x14ac:dyDescent="0.3">
      <c r="A318">
        <f t="shared" ca="1" si="8"/>
        <v>0.4264145471824744</v>
      </c>
      <c r="B318">
        <f t="shared" ca="1" si="9"/>
        <v>0.15919610987090368</v>
      </c>
      <c r="C318">
        <f ca="1">AVERAGE(B$2:B318)</f>
        <v>0.14680768307955455</v>
      </c>
      <c r="D318">
        <f ca="1">_xlfn.VAR.P(B$2:B318)</f>
        <v>1.8347738421901991</v>
      </c>
    </row>
    <row r="319" spans="1:4" x14ac:dyDescent="0.3">
      <c r="A319">
        <f t="shared" ca="1" si="8"/>
        <v>0.24595485641627524</v>
      </c>
      <c r="B319">
        <f t="shared" ca="1" si="9"/>
        <v>0.70946008983288777</v>
      </c>
      <c r="C319">
        <f ca="1">AVERAGE(B$2:B319)</f>
        <v>0.14857703027060276</v>
      </c>
      <c r="D319">
        <f ca="1">_xlfn.VAR.P(B$2:B319)</f>
        <v>1.829996509992651</v>
      </c>
    </row>
    <row r="320" spans="1:4" x14ac:dyDescent="0.3">
      <c r="A320">
        <f t="shared" ca="1" si="8"/>
        <v>0.75692730384342388</v>
      </c>
      <c r="B320">
        <f t="shared" ca="1" si="9"/>
        <v>-0.72124753868324054</v>
      </c>
      <c r="C320">
        <f ca="1">AVERAGE(B$2:B320)</f>
        <v>0.14585030748391359</v>
      </c>
      <c r="D320">
        <f ca="1">_xlfn.VAR.P(B$2:B320)</f>
        <v>1.8266241792725584</v>
      </c>
    </row>
    <row r="321" spans="1:4" x14ac:dyDescent="0.3">
      <c r="A321">
        <f t="shared" ca="1" si="8"/>
        <v>0.22060653396675256</v>
      </c>
      <c r="B321">
        <f t="shared" ca="1" si="9"/>
        <v>0.81822737297183101</v>
      </c>
      <c r="C321">
        <f ca="1">AVERAGE(B$2:B321)</f>
        <v>0.14795148581356335</v>
      </c>
      <c r="D321">
        <f ca="1">_xlfn.VAR.P(B$2:B321)</f>
        <v>1.8223243478813151</v>
      </c>
    </row>
    <row r="322" spans="1:4" x14ac:dyDescent="0.3">
      <c r="A322">
        <f t="shared" ca="1" si="8"/>
        <v>0.62554610140184863</v>
      </c>
      <c r="B322">
        <f t="shared" ca="1" si="9"/>
        <v>-0.2891394042490314</v>
      </c>
      <c r="C322">
        <f ca="1">AVERAGE(B$2:B322)</f>
        <v>0.14658983195043998</v>
      </c>
      <c r="D322">
        <f ca="1">_xlfn.VAR.P(B$2:B322)</f>
        <v>1.8172406373884664</v>
      </c>
    </row>
    <row r="323" spans="1:4" x14ac:dyDescent="0.3">
      <c r="A323">
        <f t="shared" ref="A323:A386" ca="1" si="10">RAND()</f>
        <v>0.6399421587066294</v>
      </c>
      <c r="B323">
        <f t="shared" ref="B323:B386" ca="1" si="11">-SIGN(0.5-A323)*LN(1-2*ABS(0.5-A323))*$F$1</f>
        <v>-0.32834340961875702</v>
      </c>
      <c r="C323">
        <f ca="1">AVERAGE(B$2:B323)</f>
        <v>0.14511488399525613</v>
      </c>
      <c r="D323">
        <f ca="1">_xlfn.VAR.P(B$2:B323)</f>
        <v>1.8122953592665574</v>
      </c>
    </row>
    <row r="324" spans="1:4" x14ac:dyDescent="0.3">
      <c r="A324">
        <f t="shared" ca="1" si="10"/>
        <v>0.86550982475033866</v>
      </c>
      <c r="B324">
        <f t="shared" ca="1" si="11"/>
        <v>-1.3131169485192407</v>
      </c>
      <c r="C324">
        <f ca="1">AVERAGE(B$2:B324)</f>
        <v>0.14060023435898836</v>
      </c>
      <c r="D324">
        <f ca="1">_xlfn.VAR.P(B$2:B324)</f>
        <v>1.8132475614717585</v>
      </c>
    </row>
    <row r="325" spans="1:4" x14ac:dyDescent="0.3">
      <c r="A325">
        <f t="shared" ca="1" si="10"/>
        <v>0.646234669897924</v>
      </c>
      <c r="B325">
        <f t="shared" ca="1" si="11"/>
        <v>-0.3459743144261207</v>
      </c>
      <c r="C325">
        <f ca="1">AVERAGE(B$2:B325)</f>
        <v>0.13909846106026888</v>
      </c>
      <c r="D325">
        <f ca="1">_xlfn.VAR.P(B$2:B325)</f>
        <v>1.8083795877229571</v>
      </c>
    </row>
    <row r="326" spans="1:4" x14ac:dyDescent="0.3">
      <c r="A326">
        <f t="shared" ca="1" si="10"/>
        <v>0.87664279584910854</v>
      </c>
      <c r="B326">
        <f t="shared" ca="1" si="11"/>
        <v>-1.3995238530104781</v>
      </c>
      <c r="C326">
        <f ca="1">AVERAGE(B$2:B326)</f>
        <v>0.13436423855543581</v>
      </c>
      <c r="D326">
        <f ca="1">_xlfn.VAR.P(B$2:B326)</f>
        <v>1.8100771103606421</v>
      </c>
    </row>
    <row r="327" spans="1:4" x14ac:dyDescent="0.3">
      <c r="A327">
        <f t="shared" ca="1" si="10"/>
        <v>0.74738233205173465</v>
      </c>
      <c r="B327">
        <f t="shared" ca="1" si="11"/>
        <v>-0.68273094658019773</v>
      </c>
      <c r="C327">
        <f ca="1">AVERAGE(B$2:B327)</f>
        <v>0.13185781160716697</v>
      </c>
      <c r="D327">
        <f ca="1">_xlfn.VAR.P(B$2:B327)</f>
        <v>1.8065664338018077</v>
      </c>
    </row>
    <row r="328" spans="1:4" x14ac:dyDescent="0.3">
      <c r="A328">
        <f t="shared" ca="1" si="10"/>
        <v>0.4184322335790992</v>
      </c>
      <c r="B328">
        <f t="shared" ca="1" si="11"/>
        <v>0.17809314853590535</v>
      </c>
      <c r="C328">
        <f ca="1">AVERAGE(B$2:B328)</f>
        <v>0.13199920407483898</v>
      </c>
      <c r="D328">
        <f ca="1">_xlfn.VAR.P(B$2:B328)</f>
        <v>1.8010482831450823</v>
      </c>
    </row>
    <row r="329" spans="1:4" x14ac:dyDescent="0.3">
      <c r="A329">
        <f t="shared" ca="1" si="10"/>
        <v>0.65100171435081333</v>
      </c>
      <c r="B329">
        <f t="shared" ca="1" si="11"/>
        <v>-0.35954108841181026</v>
      </c>
      <c r="C329">
        <f ca="1">AVERAGE(B$2:B329)</f>
        <v>0.13050060562213578</v>
      </c>
      <c r="D329">
        <f ca="1">_xlfn.VAR.P(B$2:B329)</f>
        <v>1.7962916580062747</v>
      </c>
    </row>
    <row r="330" spans="1:4" x14ac:dyDescent="0.3">
      <c r="A330">
        <f t="shared" ca="1" si="10"/>
        <v>0.45600394504096065</v>
      </c>
      <c r="B330">
        <f t="shared" ca="1" si="11"/>
        <v>9.2106637539613401E-2</v>
      </c>
      <c r="C330">
        <f ca="1">AVERAGE(B$2:B330)</f>
        <v>0.13038390663100349</v>
      </c>
      <c r="D330">
        <f ca="1">_xlfn.VAR.P(B$2:B330)</f>
        <v>1.7908362718611117</v>
      </c>
    </row>
    <row r="331" spans="1:4" x14ac:dyDescent="0.3">
      <c r="A331">
        <f t="shared" ca="1" si="10"/>
        <v>0.3419298459463963</v>
      </c>
      <c r="B331">
        <f t="shared" ca="1" si="11"/>
        <v>0.38000251121308559</v>
      </c>
      <c r="C331">
        <f ca="1">AVERAGE(B$2:B331)</f>
        <v>0.13114032664488859</v>
      </c>
      <c r="D331">
        <f ca="1">_xlfn.VAR.P(B$2:B331)</f>
        <v>1.785597739616821</v>
      </c>
    </row>
    <row r="332" spans="1:4" x14ac:dyDescent="0.3">
      <c r="A332">
        <f t="shared" ca="1" si="10"/>
        <v>0.40095506922749102</v>
      </c>
      <c r="B332">
        <f t="shared" ca="1" si="11"/>
        <v>0.22075872420757264</v>
      </c>
      <c r="C332">
        <f ca="1">AVERAGE(B$2:B332)</f>
        <v>0.1314110770906973</v>
      </c>
      <c r="D332">
        <f ca="1">_xlfn.VAR.P(B$2:B332)</f>
        <v>1.7802273754275273</v>
      </c>
    </row>
    <row r="333" spans="1:4" x14ac:dyDescent="0.3">
      <c r="A333">
        <f t="shared" ca="1" si="10"/>
        <v>4.2928545597361589E-2</v>
      </c>
      <c r="B333">
        <f t="shared" ca="1" si="11"/>
        <v>2.4550710952277779</v>
      </c>
      <c r="C333">
        <f ca="1">AVERAGE(B$2:B333)</f>
        <v>0.13841005304894152</v>
      </c>
      <c r="D333">
        <f ca="1">_xlfn.VAR.P(B$2:B333)</f>
        <v>1.7910794997162602</v>
      </c>
    </row>
    <row r="334" spans="1:4" x14ac:dyDescent="0.3">
      <c r="A334">
        <f t="shared" ca="1" si="10"/>
        <v>0.44181167199738325</v>
      </c>
      <c r="B334">
        <f t="shared" ca="1" si="11"/>
        <v>0.12372438859687296</v>
      </c>
      <c r="C334">
        <f ca="1">AVERAGE(B$2:B334)</f>
        <v>0.13836595195449086</v>
      </c>
      <c r="D334">
        <f ca="1">_xlfn.VAR.P(B$2:B334)</f>
        <v>1.7857015283089634</v>
      </c>
    </row>
    <row r="335" spans="1:4" x14ac:dyDescent="0.3">
      <c r="A335">
        <f t="shared" ca="1" si="10"/>
        <v>0.15659454284771002</v>
      </c>
      <c r="B335">
        <f t="shared" ca="1" si="11"/>
        <v>1.1609481631884573</v>
      </c>
      <c r="C335">
        <f ca="1">AVERAGE(B$2:B335)</f>
        <v>0.14142757534141889</v>
      </c>
      <c r="D335">
        <f ca="1">_xlfn.VAR.P(B$2:B335)</f>
        <v>1.783476504622767</v>
      </c>
    </row>
    <row r="336" spans="1:4" x14ac:dyDescent="0.3">
      <c r="A336">
        <f t="shared" ca="1" si="10"/>
        <v>0.94219407638292452</v>
      </c>
      <c r="B336">
        <f t="shared" ca="1" si="11"/>
        <v>-2.1575168432705714</v>
      </c>
      <c r="C336">
        <f ca="1">AVERAGE(B$2:B336)</f>
        <v>0.1345650546888458</v>
      </c>
      <c r="D336">
        <f ca="1">_xlfn.VAR.P(B$2:B336)</f>
        <v>1.7938821535233418</v>
      </c>
    </row>
    <row r="337" spans="1:4" x14ac:dyDescent="0.3">
      <c r="A337">
        <f t="shared" ca="1" si="10"/>
        <v>0.69179861970560996</v>
      </c>
      <c r="B337">
        <f t="shared" ca="1" si="11"/>
        <v>-0.48385469697907324</v>
      </c>
      <c r="C337">
        <f ca="1">AVERAGE(B$2:B337)</f>
        <v>0.13272451971364366</v>
      </c>
      <c r="D337">
        <f ca="1">_xlfn.VAR.P(B$2:B337)</f>
        <v>1.7896780541559232</v>
      </c>
    </row>
    <row r="338" spans="1:4" x14ac:dyDescent="0.3">
      <c r="A338">
        <f t="shared" ca="1" si="10"/>
        <v>6.2213788095146438E-2</v>
      </c>
      <c r="B338">
        <f t="shared" ca="1" si="11"/>
        <v>2.0840314496876013</v>
      </c>
      <c r="C338">
        <f ca="1">AVERAGE(B$2:B338)</f>
        <v>0.13851474799249813</v>
      </c>
      <c r="D338">
        <f ca="1">_xlfn.VAR.P(B$2:B338)</f>
        <v>1.7956324226076796</v>
      </c>
    </row>
    <row r="339" spans="1:4" x14ac:dyDescent="0.3">
      <c r="A339">
        <f t="shared" ca="1" si="10"/>
        <v>0.94280825060941442</v>
      </c>
      <c r="B339">
        <f t="shared" ca="1" si="11"/>
        <v>-2.1681984518635633</v>
      </c>
      <c r="C339">
        <f ca="1">AVERAGE(B$2:B339)</f>
        <v>0.1316901527266518</v>
      </c>
      <c r="D339">
        <f ca="1">_xlfn.VAR.P(B$2:B339)</f>
        <v>1.8060157095301619</v>
      </c>
    </row>
    <row r="340" spans="1:4" x14ac:dyDescent="0.3">
      <c r="A340">
        <f t="shared" ca="1" si="10"/>
        <v>0.52460887402945444</v>
      </c>
      <c r="B340">
        <f t="shared" ca="1" si="11"/>
        <v>-5.0470210118476778E-2</v>
      </c>
      <c r="C340">
        <f ca="1">AVERAGE(B$2:B340)</f>
        <v>0.13115280652356884</v>
      </c>
      <c r="D340">
        <f ca="1">_xlfn.VAR.P(B$2:B340)</f>
        <v>1.8007858239994314</v>
      </c>
    </row>
    <row r="341" spans="1:4" x14ac:dyDescent="0.3">
      <c r="A341">
        <f t="shared" ca="1" si="10"/>
        <v>0.51053002809864856</v>
      </c>
      <c r="B341">
        <f t="shared" ca="1" si="11"/>
        <v>-2.1284982763607324E-2</v>
      </c>
      <c r="C341">
        <f ca="1">AVERAGE(B$2:B341)</f>
        <v>0.13070446008448888</v>
      </c>
      <c r="D341">
        <f ca="1">_xlfn.VAR.P(B$2:B341)</f>
        <v>1.7955575390307938</v>
      </c>
    </row>
    <row r="342" spans="1:4" x14ac:dyDescent="0.3">
      <c r="A342">
        <f t="shared" ca="1" si="10"/>
        <v>0.28873123820002999</v>
      </c>
      <c r="B342">
        <f t="shared" ca="1" si="11"/>
        <v>0.54911181462784775</v>
      </c>
      <c r="C342">
        <f ca="1">AVERAGE(B$2:B342)</f>
        <v>0.13193146112420548</v>
      </c>
      <c r="D342">
        <f ca="1">_xlfn.VAR.P(B$2:B342)</f>
        <v>1.7908038551277037</v>
      </c>
    </row>
    <row r="343" spans="1:4" x14ac:dyDescent="0.3">
      <c r="A343">
        <f t="shared" ca="1" si="10"/>
        <v>0.70191915945683581</v>
      </c>
      <c r="B343">
        <f t="shared" ca="1" si="11"/>
        <v>-0.51724337171525303</v>
      </c>
      <c r="C343">
        <f ca="1">AVERAGE(B$2:B343)</f>
        <v>0.13003328909835912</v>
      </c>
      <c r="D343">
        <f ca="1">_xlfn.VAR.P(B$2:B343)</f>
        <v>1.7867962289959984</v>
      </c>
    </row>
    <row r="344" spans="1:4" x14ac:dyDescent="0.3">
      <c r="A344">
        <f t="shared" ca="1" si="10"/>
        <v>0.83486190015025408</v>
      </c>
      <c r="B344">
        <f t="shared" ca="1" si="11"/>
        <v>-1.1078260057983327</v>
      </c>
      <c r="C344">
        <f ca="1">AVERAGE(B$2:B344)</f>
        <v>0.12642436987125508</v>
      </c>
      <c r="D344">
        <f ca="1">_xlfn.VAR.P(B$2:B344)</f>
        <v>1.7860412204559295</v>
      </c>
    </row>
    <row r="345" spans="1:4" x14ac:dyDescent="0.3">
      <c r="A345">
        <f t="shared" ca="1" si="10"/>
        <v>0.54453641854938772</v>
      </c>
      <c r="B345">
        <f t="shared" ca="1" si="11"/>
        <v>-9.3292337826129959E-2</v>
      </c>
      <c r="C345">
        <f ca="1">AVERAGE(B$2:B345)</f>
        <v>0.12578565851166965</v>
      </c>
      <c r="D345">
        <f ca="1">_xlfn.VAR.P(B$2:B345)</f>
        <v>1.7809891677688026</v>
      </c>
    </row>
    <row r="346" spans="1:4" x14ac:dyDescent="0.3">
      <c r="A346">
        <f t="shared" ca="1" si="10"/>
        <v>0.1104208695664699</v>
      </c>
      <c r="B346">
        <f t="shared" ca="1" si="11"/>
        <v>1.5103089465160671</v>
      </c>
      <c r="C346">
        <f ca="1">AVERAGE(B$2:B346)</f>
        <v>0.12979876949139255</v>
      </c>
      <c r="D346">
        <f ca="1">_xlfn.VAR.P(B$2:B346)</f>
        <v>1.7813670208750314</v>
      </c>
    </row>
    <row r="347" spans="1:4" x14ac:dyDescent="0.3">
      <c r="A347">
        <f t="shared" ca="1" si="10"/>
        <v>5.194381438730955E-2</v>
      </c>
      <c r="B347">
        <f t="shared" ca="1" si="11"/>
        <v>2.2644454565454009</v>
      </c>
      <c r="C347">
        <f ca="1">AVERAGE(B$2:B347)</f>
        <v>0.13596826858692437</v>
      </c>
      <c r="D347">
        <f ca="1">_xlfn.VAR.P(B$2:B347)</f>
        <v>1.7893501993630967</v>
      </c>
    </row>
    <row r="348" spans="1:4" x14ac:dyDescent="0.3">
      <c r="A348">
        <f t="shared" ca="1" si="10"/>
        <v>0.33457582372782846</v>
      </c>
      <c r="B348">
        <f t="shared" ca="1" si="11"/>
        <v>0.40174456673029546</v>
      </c>
      <c r="C348">
        <f ca="1">AVERAGE(B$2:B348)</f>
        <v>0.13673419451817329</v>
      </c>
      <c r="D348">
        <f ca="1">_xlfn.VAR.P(B$2:B348)</f>
        <v>1.7843965488626157</v>
      </c>
    </row>
    <row r="349" spans="1:4" x14ac:dyDescent="0.3">
      <c r="A349">
        <f t="shared" ca="1" si="10"/>
        <v>0.52991874039073061</v>
      </c>
      <c r="B349">
        <f t="shared" ca="1" si="11"/>
        <v>-6.170252587664312E-2</v>
      </c>
      <c r="C349">
        <f ca="1">AVERAGE(B$2:B349)</f>
        <v>0.13616397405726863</v>
      </c>
      <c r="D349">
        <f ca="1">_xlfn.VAR.P(B$2:B349)</f>
        <v>1.7793818000995705</v>
      </c>
    </row>
    <row r="350" spans="1:4" x14ac:dyDescent="0.3">
      <c r="A350">
        <f t="shared" ca="1" si="10"/>
        <v>0.26321209140904034</v>
      </c>
      <c r="B350">
        <f t="shared" ca="1" si="11"/>
        <v>0.64164796002228663</v>
      </c>
      <c r="C350">
        <f ca="1">AVERAGE(B$2:B350)</f>
        <v>0.13761235224054949</v>
      </c>
      <c r="D350">
        <f ca="1">_xlfn.VAR.P(B$2:B350)</f>
        <v>1.7750133190909465</v>
      </c>
    </row>
    <row r="351" spans="1:4" x14ac:dyDescent="0.3">
      <c r="A351">
        <f t="shared" ca="1" si="10"/>
        <v>0.23724163126856057</v>
      </c>
      <c r="B351">
        <f t="shared" ca="1" si="11"/>
        <v>0.74552893544866361</v>
      </c>
      <c r="C351">
        <f ca="1">AVERAGE(B$2:B351)</f>
        <v>0.13934925676400126</v>
      </c>
      <c r="D351">
        <f ca="1">_xlfn.VAR.P(B$2:B351)</f>
        <v>1.7709947286909042</v>
      </c>
    </row>
    <row r="352" spans="1:4" x14ac:dyDescent="0.3">
      <c r="A352">
        <f t="shared" ca="1" si="10"/>
        <v>0.16565102098145801</v>
      </c>
      <c r="B352">
        <f t="shared" ca="1" si="11"/>
        <v>1.1047248062092683</v>
      </c>
      <c r="C352">
        <f ca="1">AVERAGE(B$2:B352)</f>
        <v>0.14209961445472852</v>
      </c>
      <c r="D352">
        <f ca="1">_xlfn.VAR.P(B$2:B352)</f>
        <v>1.7685967232627244</v>
      </c>
    </row>
    <row r="353" spans="1:4" x14ac:dyDescent="0.3">
      <c r="A353">
        <f t="shared" ca="1" si="10"/>
        <v>0.44739842980828914</v>
      </c>
      <c r="B353">
        <f t="shared" ca="1" si="11"/>
        <v>0.11115855896488006</v>
      </c>
      <c r="C353">
        <f ca="1">AVERAGE(B$2:B353)</f>
        <v>0.14201171372890509</v>
      </c>
      <c r="D353">
        <f ca="1">_xlfn.VAR.P(B$2:B353)</f>
        <v>1.7635750127681533</v>
      </c>
    </row>
    <row r="354" spans="1:4" x14ac:dyDescent="0.3">
      <c r="A354">
        <f t="shared" ca="1" si="10"/>
        <v>0.22623324541815315</v>
      </c>
      <c r="B354">
        <f t="shared" ca="1" si="11"/>
        <v>0.79304157198467273</v>
      </c>
      <c r="C354">
        <f ca="1">AVERAGE(B$2:B354)</f>
        <v>0.14385599094775994</v>
      </c>
      <c r="D354">
        <f ca="1">_xlfn.VAR.P(B$2:B354)</f>
        <v>1.7597763277370937</v>
      </c>
    </row>
    <row r="355" spans="1:4" x14ac:dyDescent="0.3">
      <c r="A355">
        <f t="shared" ca="1" si="10"/>
        <v>0.80549286433640443</v>
      </c>
      <c r="B355">
        <f t="shared" ca="1" si="11"/>
        <v>-0.9441392488202206</v>
      </c>
      <c r="C355">
        <f ca="1">AVERAGE(B$2:B355)</f>
        <v>0.14078255806705944</v>
      </c>
      <c r="D355">
        <f ca="1">_xlfn.VAR.P(B$2:B355)</f>
        <v>1.7581396425214912</v>
      </c>
    </row>
    <row r="356" spans="1:4" x14ac:dyDescent="0.3">
      <c r="A356">
        <f t="shared" ca="1" si="10"/>
        <v>0.53672954993662392</v>
      </c>
      <c r="B356">
        <f t="shared" ca="1" si="11"/>
        <v>-7.6297089463937429E-2</v>
      </c>
      <c r="C356">
        <f ca="1">AVERAGE(B$2:B356)</f>
        <v>0.14017106610218338</v>
      </c>
      <c r="D356">
        <f ca="1">_xlfn.VAR.P(B$2:B356)</f>
        <v>1.7533195050239998</v>
      </c>
    </row>
    <row r="357" spans="1:4" x14ac:dyDescent="0.3">
      <c r="A357">
        <f t="shared" ca="1" si="10"/>
        <v>7.0620362307603934E-2</v>
      </c>
      <c r="B357">
        <f t="shared" ca="1" si="11"/>
        <v>1.9572895775527281</v>
      </c>
      <c r="C357">
        <f ca="1">AVERAGE(B$2:B357)</f>
        <v>0.14527533158378605</v>
      </c>
      <c r="D357">
        <f ca="1">_xlfn.VAR.P(B$2:B357)</f>
        <v>1.7576434520024782</v>
      </c>
    </row>
    <row r="358" spans="1:4" x14ac:dyDescent="0.3">
      <c r="A358">
        <f t="shared" ca="1" si="10"/>
        <v>7.600103799799951E-2</v>
      </c>
      <c r="B358">
        <f t="shared" ca="1" si="11"/>
        <v>1.883861100360714</v>
      </c>
      <c r="C358">
        <f ca="1">AVERAGE(B$2:B358)</f>
        <v>0.15014531973162057</v>
      </c>
      <c r="D358">
        <f ca="1">_xlfn.VAR.P(B$2:B358)</f>
        <v>1.7611632562918431</v>
      </c>
    </row>
    <row r="359" spans="1:4" x14ac:dyDescent="0.3">
      <c r="A359">
        <f t="shared" ca="1" si="10"/>
        <v>0.1544921128087654</v>
      </c>
      <c r="B359">
        <f t="shared" ca="1" si="11"/>
        <v>1.1744650531689298</v>
      </c>
      <c r="C359">
        <f ca="1">AVERAGE(B$2:B359)</f>
        <v>0.15300654803731137</v>
      </c>
      <c r="D359">
        <f ca="1">_xlfn.VAR.P(B$2:B359)</f>
        <v>1.7591664318432447</v>
      </c>
    </row>
    <row r="360" spans="1:4" x14ac:dyDescent="0.3">
      <c r="A360">
        <f t="shared" ca="1" si="10"/>
        <v>0.40409280003134684</v>
      </c>
      <c r="B360">
        <f t="shared" ca="1" si="11"/>
        <v>0.21296354379085927</v>
      </c>
      <c r="C360">
        <f ca="1">AVERAGE(B$2:B360)</f>
        <v>0.1531735591675441</v>
      </c>
      <c r="D360">
        <f ca="1">_xlfn.VAR.P(B$2:B360)</f>
        <v>1.754276232389236</v>
      </c>
    </row>
    <row r="361" spans="1:4" x14ac:dyDescent="0.3">
      <c r="A361">
        <f t="shared" ca="1" si="10"/>
        <v>0.32054465309862124</v>
      </c>
      <c r="B361">
        <f t="shared" ca="1" si="11"/>
        <v>0.44458650852542048</v>
      </c>
      <c r="C361">
        <f ca="1">AVERAGE(B$2:B361)</f>
        <v>0.15398303958242707</v>
      </c>
      <c r="D361">
        <f ca="1">_xlfn.VAR.P(B$2:B361)</f>
        <v>1.749638480671428</v>
      </c>
    </row>
    <row r="362" spans="1:4" x14ac:dyDescent="0.3">
      <c r="A362">
        <f t="shared" ca="1" si="10"/>
        <v>0.20185864013443544</v>
      </c>
      <c r="B362">
        <f t="shared" ca="1" si="11"/>
        <v>0.90704044731089906</v>
      </c>
      <c r="C362">
        <f ca="1">AVERAGE(B$2:B362)</f>
        <v>0.15606907118278296</v>
      </c>
      <c r="D362">
        <f ca="1">_xlfn.VAR.P(B$2:B362)</f>
        <v>1.7463583867022141</v>
      </c>
    </row>
    <row r="363" spans="1:4" x14ac:dyDescent="0.3">
      <c r="A363">
        <f t="shared" ca="1" si="10"/>
        <v>5.9528686154152743E-2</v>
      </c>
      <c r="B363">
        <f t="shared" ca="1" si="11"/>
        <v>2.1281497818153672</v>
      </c>
      <c r="C363">
        <f ca="1">AVERAGE(B$2:B363)</f>
        <v>0.16151680795248621</v>
      </c>
      <c r="D363">
        <f ca="1">_xlfn.VAR.P(B$2:B363)</f>
        <v>1.7522478910280339</v>
      </c>
    </row>
    <row r="364" spans="1:4" x14ac:dyDescent="0.3">
      <c r="A364">
        <f t="shared" ca="1" si="10"/>
        <v>6.7313414497341073E-2</v>
      </c>
      <c r="B364">
        <f t="shared" ca="1" si="11"/>
        <v>2.00524855775065</v>
      </c>
      <c r="C364">
        <f ca="1">AVERAGE(B$2:B364)</f>
        <v>0.16659595877837646</v>
      </c>
      <c r="D364">
        <f ca="1">_xlfn.VAR.P(B$2:B364)</f>
        <v>1.7567595557182436</v>
      </c>
    </row>
    <row r="365" spans="1:4" x14ac:dyDescent="0.3">
      <c r="A365">
        <f t="shared" ca="1" si="10"/>
        <v>0.40062690198121131</v>
      </c>
      <c r="B365">
        <f t="shared" ca="1" si="11"/>
        <v>0.22157752322352192</v>
      </c>
      <c r="C365">
        <f ca="1">AVERAGE(B$2:B365)</f>
        <v>0.16674700703234666</v>
      </c>
      <c r="D365">
        <f ca="1">_xlfn.VAR.P(B$2:B365)</f>
        <v>1.7519415752562688</v>
      </c>
    </row>
    <row r="366" spans="1:4" x14ac:dyDescent="0.3">
      <c r="A366">
        <f t="shared" ca="1" si="10"/>
        <v>0.51897951334517933</v>
      </c>
      <c r="B366">
        <f t="shared" ca="1" si="11"/>
        <v>-3.8698237425471474E-2</v>
      </c>
      <c r="C366">
        <f ca="1">AVERAGE(B$2:B366)</f>
        <v>0.16618414334890058</v>
      </c>
      <c r="D366">
        <f ca="1">_xlfn.VAR.P(B$2:B366)</f>
        <v>1.7472570561755758</v>
      </c>
    </row>
    <row r="367" spans="1:4" x14ac:dyDescent="0.3">
      <c r="A367">
        <f t="shared" ca="1" si="10"/>
        <v>0.99859329838563027</v>
      </c>
      <c r="B367">
        <f t="shared" ca="1" si="11"/>
        <v>-5.8733604150123249</v>
      </c>
      <c r="C367">
        <f ca="1">AVERAGE(B$2:B367)</f>
        <v>0.14968265548452564</v>
      </c>
      <c r="D367">
        <f ca="1">_xlfn.VAR.P(B$2:B367)</f>
        <v>1.8418723019269938</v>
      </c>
    </row>
    <row r="368" spans="1:4" x14ac:dyDescent="0.3">
      <c r="A368">
        <f t="shared" ca="1" si="10"/>
        <v>0.65163139400801062</v>
      </c>
      <c r="B368">
        <f t="shared" ca="1" si="11"/>
        <v>-0.36134696659693927</v>
      </c>
      <c r="C368">
        <f ca="1">AVERAGE(B$2:B368)</f>
        <v>0.14829020419820013</v>
      </c>
      <c r="D368">
        <f ca="1">_xlfn.VAR.P(B$2:B368)</f>
        <v>1.8375632212426969</v>
      </c>
    </row>
    <row r="369" spans="1:4" x14ac:dyDescent="0.3">
      <c r="A369">
        <f t="shared" ca="1" si="10"/>
        <v>0.466622294096669</v>
      </c>
      <c r="B369">
        <f t="shared" ca="1" si="11"/>
        <v>6.9087960086295447E-2</v>
      </c>
      <c r="C369">
        <f ca="1">AVERAGE(B$2:B369)</f>
        <v>0.1480749807087656</v>
      </c>
      <c r="D369">
        <f ca="1">_xlfn.VAR.P(B$2:B369)</f>
        <v>1.8325868427863012</v>
      </c>
    </row>
    <row r="370" spans="1:4" x14ac:dyDescent="0.3">
      <c r="A370">
        <f t="shared" ca="1" si="10"/>
        <v>7.9299329644050176E-2</v>
      </c>
      <c r="B370">
        <f t="shared" ca="1" si="11"/>
        <v>1.8413784232338892</v>
      </c>
      <c r="C370">
        <f ca="1">AVERAGE(B$2:B370)</f>
        <v>0.15266387892699085</v>
      </c>
      <c r="D370">
        <f ca="1">_xlfn.VAR.P(B$2:B370)</f>
        <v>1.8353698219422114</v>
      </c>
    </row>
    <row r="371" spans="1:4" x14ac:dyDescent="0.3">
      <c r="A371">
        <f t="shared" ca="1" si="10"/>
        <v>0.72917774315870287</v>
      </c>
      <c r="B371">
        <f t="shared" ca="1" si="11"/>
        <v>-0.61314537153949644</v>
      </c>
      <c r="C371">
        <f ca="1">AVERAGE(B$2:B371)</f>
        <v>0.15059412419600035</v>
      </c>
      <c r="D371">
        <f ca="1">_xlfn.VAR.P(B$2:B371)</f>
        <v>1.8319901163985319</v>
      </c>
    </row>
    <row r="372" spans="1:4" x14ac:dyDescent="0.3">
      <c r="A372">
        <f t="shared" ca="1" si="10"/>
        <v>0.47193641367757433</v>
      </c>
      <c r="B372">
        <f t="shared" ca="1" si="11"/>
        <v>5.7763838696557622E-2</v>
      </c>
      <c r="C372">
        <f ca="1">AVERAGE(B$2:B372)</f>
        <v>0.15034390779303691</v>
      </c>
      <c r="D372">
        <f ca="1">_xlfn.VAR.P(B$2:B372)</f>
        <v>1.8270753027000071</v>
      </c>
    </row>
    <row r="373" spans="1:4" x14ac:dyDescent="0.3">
      <c r="A373">
        <f t="shared" ca="1" si="10"/>
        <v>0.6405093659911939</v>
      </c>
      <c r="B373">
        <f t="shared" ca="1" si="11"/>
        <v>-0.32991997442715792</v>
      </c>
      <c r="C373">
        <f ca="1">AVERAGE(B$2:B373)</f>
        <v>0.14905287585158478</v>
      </c>
      <c r="D373">
        <f ca="1">_xlfn.VAR.P(B$2:B373)</f>
        <v>1.8227821791996117</v>
      </c>
    </row>
    <row r="374" spans="1:4" x14ac:dyDescent="0.3">
      <c r="A374">
        <f t="shared" ca="1" si="10"/>
        <v>0.84673829009087487</v>
      </c>
      <c r="B374">
        <f t="shared" ca="1" si="11"/>
        <v>-1.1824611160250036</v>
      </c>
      <c r="C374">
        <f ca="1">AVERAGE(B$2:B374)</f>
        <v>0.1454831332460175</v>
      </c>
      <c r="D374">
        <f ca="1">_xlfn.VAR.P(B$2:B374)</f>
        <v>1.8226357828702198</v>
      </c>
    </row>
    <row r="375" spans="1:4" x14ac:dyDescent="0.3">
      <c r="A375">
        <f t="shared" ca="1" si="10"/>
        <v>0.1887669085596998</v>
      </c>
      <c r="B375">
        <f t="shared" ca="1" si="11"/>
        <v>0.97409513253202118</v>
      </c>
      <c r="C375">
        <f ca="1">AVERAGE(B$2:B375)</f>
        <v>0.14769867335106029</v>
      </c>
      <c r="D375">
        <f ca="1">_xlfn.VAR.P(B$2:B375)</f>
        <v>1.8195933396599917</v>
      </c>
    </row>
    <row r="376" spans="1:4" x14ac:dyDescent="0.3">
      <c r="A376">
        <f t="shared" ca="1" si="10"/>
        <v>0.72970712491828793</v>
      </c>
      <c r="B376">
        <f t="shared" ca="1" si="11"/>
        <v>-0.61510200478534482</v>
      </c>
      <c r="C376">
        <f ca="1">AVERAGE(B$2:B376)</f>
        <v>0.14566453820936323</v>
      </c>
      <c r="D376">
        <f ca="1">_xlfn.VAR.P(B$2:B376)</f>
        <v>1.8162885927139649</v>
      </c>
    </row>
    <row r="377" spans="1:4" x14ac:dyDescent="0.3">
      <c r="A377">
        <f t="shared" ca="1" si="10"/>
        <v>0.26284287544807095</v>
      </c>
      <c r="B377">
        <f t="shared" ca="1" si="11"/>
        <v>0.64305167653427442</v>
      </c>
      <c r="C377">
        <f ca="1">AVERAGE(B$2:B377)</f>
        <v>0.14698737634320608</v>
      </c>
      <c r="D377">
        <f ca="1">_xlfn.VAR.P(B$2:B377)</f>
        <v>1.8121142507192392</v>
      </c>
    </row>
    <row r="378" spans="1:4" x14ac:dyDescent="0.3">
      <c r="A378">
        <f t="shared" ca="1" si="10"/>
        <v>0.62182290076680002</v>
      </c>
      <c r="B378">
        <f t="shared" ca="1" si="11"/>
        <v>-0.27924549603223875</v>
      </c>
      <c r="C378">
        <f ca="1">AVERAGE(B$2:B378)</f>
        <v>0.14585678516979642</v>
      </c>
      <c r="D378">
        <f ca="1">_xlfn.VAR.P(B$2:B378)</f>
        <v>1.8077881985061115</v>
      </c>
    </row>
    <row r="379" spans="1:4" x14ac:dyDescent="0.3">
      <c r="A379">
        <f t="shared" ca="1" si="10"/>
        <v>0.72764742470910226</v>
      </c>
      <c r="B379">
        <f t="shared" ca="1" si="11"/>
        <v>-0.60751063882338008</v>
      </c>
      <c r="C379">
        <f ca="1">AVERAGE(B$2:B379)</f>
        <v>0.14386374965658696</v>
      </c>
      <c r="D379">
        <f ca="1">_xlfn.VAR.P(B$2:B379)</f>
        <v>1.8045032058844117</v>
      </c>
    </row>
    <row r="380" spans="1:4" x14ac:dyDescent="0.3">
      <c r="A380">
        <f t="shared" ca="1" si="10"/>
        <v>0.80731997969839286</v>
      </c>
      <c r="B380">
        <f t="shared" ca="1" si="11"/>
        <v>-0.95357721129580553</v>
      </c>
      <c r="C380">
        <f ca="1">AVERAGE(B$2:B380)</f>
        <v>0.14096812706832207</v>
      </c>
      <c r="D380">
        <f ca="1">_xlfn.VAR.P(B$2:B380)</f>
        <v>1.8029113739109444</v>
      </c>
    </row>
    <row r="381" spans="1:4" x14ac:dyDescent="0.3">
      <c r="A381">
        <f t="shared" ca="1" si="10"/>
        <v>0.86242064676660424</v>
      </c>
      <c r="B381">
        <f t="shared" ca="1" si="11"/>
        <v>-1.2904072333573551</v>
      </c>
      <c r="C381">
        <f ca="1">AVERAGE(B$2:B381)</f>
        <v>0.13720134980404397</v>
      </c>
      <c r="D381">
        <f ca="1">_xlfn.VAR.P(B$2:B381)</f>
        <v>1.8035443538487297</v>
      </c>
    </row>
    <row r="382" spans="1:4" x14ac:dyDescent="0.3">
      <c r="A382">
        <f t="shared" ca="1" si="10"/>
        <v>0.33482114486819581</v>
      </c>
      <c r="B382">
        <f t="shared" ca="1" si="11"/>
        <v>0.4010116050861316</v>
      </c>
      <c r="C382">
        <f ca="1">AVERAGE(B$2:B382)</f>
        <v>0.13789376517223842</v>
      </c>
      <c r="D382">
        <f ca="1">_xlfn.VAR.P(B$2:B382)</f>
        <v>1.7989928284699064</v>
      </c>
    </row>
    <row r="383" spans="1:4" x14ac:dyDescent="0.3">
      <c r="A383">
        <f t="shared" ca="1" si="10"/>
        <v>0.30478663500369851</v>
      </c>
      <c r="B383">
        <f t="shared" ca="1" si="11"/>
        <v>0.4949961239841329</v>
      </c>
      <c r="C383">
        <f ca="1">AVERAGE(B$2:B383)</f>
        <v>0.13882858810106535</v>
      </c>
      <c r="D383">
        <f ca="1">_xlfn.VAR.P(B$2:B383)</f>
        <v>1.7946163767388232</v>
      </c>
    </row>
    <row r="384" spans="1:4" x14ac:dyDescent="0.3">
      <c r="A384">
        <f t="shared" ca="1" si="10"/>
        <v>0.46298107963521229</v>
      </c>
      <c r="B384">
        <f t="shared" ca="1" si="11"/>
        <v>7.6921909889706985E-2</v>
      </c>
      <c r="C384">
        <f ca="1">AVERAGE(B$2:B384)</f>
        <v>0.13866695186552658</v>
      </c>
      <c r="D384">
        <f ca="1">_xlfn.VAR.P(B$2:B384)</f>
        <v>1.7899406745291779</v>
      </c>
    </row>
    <row r="385" spans="1:4" x14ac:dyDescent="0.3">
      <c r="A385">
        <f t="shared" ca="1" si="10"/>
        <v>0.81044297927232534</v>
      </c>
      <c r="B385">
        <f t="shared" ca="1" si="11"/>
        <v>-0.96991821822372137</v>
      </c>
      <c r="C385">
        <f ca="1">AVERAGE(B$2:B385)</f>
        <v>0.13578001131841916</v>
      </c>
      <c r="D385">
        <f ca="1">_xlfn.VAR.P(B$2:B385)</f>
        <v>1.7884714557409882</v>
      </c>
    </row>
    <row r="386" spans="1:4" x14ac:dyDescent="0.3">
      <c r="A386">
        <f t="shared" ca="1" si="10"/>
        <v>0.27458665218500333</v>
      </c>
      <c r="B386">
        <f t="shared" ca="1" si="11"/>
        <v>0.59934121448167099</v>
      </c>
      <c r="C386">
        <f ca="1">AVERAGE(B$2:B386)</f>
        <v>0.13698406639157046</v>
      </c>
      <c r="D386">
        <f ca="1">_xlfn.VAR.P(B$2:B386)</f>
        <v>1.7843827788062321</v>
      </c>
    </row>
    <row r="387" spans="1:4" x14ac:dyDescent="0.3">
      <c r="A387">
        <f t="shared" ref="A387:A450" ca="1" si="12">RAND()</f>
        <v>0.19281705607853028</v>
      </c>
      <c r="B387">
        <f t="shared" ref="B387:B450" ca="1" si="13">-SIGN(0.5-A387)*LN(1-2*ABS(0.5-A387))*$F$1</f>
        <v>0.95286625502095079</v>
      </c>
      <c r="C387">
        <f ca="1">AVERAGE(B$2:B387)</f>
        <v>0.13909775081807144</v>
      </c>
      <c r="D387">
        <f ca="1">_xlfn.VAR.P(B$2:B387)</f>
        <v>1.7814800753073732</v>
      </c>
    </row>
    <row r="388" spans="1:4" x14ac:dyDescent="0.3">
      <c r="A388">
        <f t="shared" ca="1" si="12"/>
        <v>0.6691046694827073</v>
      </c>
      <c r="B388">
        <f t="shared" ca="1" si="13"/>
        <v>-0.41280599505598586</v>
      </c>
      <c r="C388">
        <f ca="1">AVERAGE(B$2:B388)</f>
        <v>0.13767164294759585</v>
      </c>
      <c r="D388">
        <f ca="1">_xlfn.VAR.P(B$2:B388)</f>
        <v>1.777661808111318</v>
      </c>
    </row>
    <row r="389" spans="1:4" x14ac:dyDescent="0.3">
      <c r="A389">
        <f t="shared" ca="1" si="12"/>
        <v>0.31559266133202779</v>
      </c>
      <c r="B389">
        <f t="shared" ca="1" si="13"/>
        <v>0.46015576278791492</v>
      </c>
      <c r="C389">
        <f ca="1">AVERAGE(B$2:B389)</f>
        <v>0.13850278758635956</v>
      </c>
      <c r="D389">
        <f ca="1">_xlfn.VAR.P(B$2:B389)</f>
        <v>1.7733475456589742</v>
      </c>
    </row>
    <row r="390" spans="1:4" x14ac:dyDescent="0.3">
      <c r="A390">
        <f t="shared" ca="1" si="12"/>
        <v>0.34729784504179062</v>
      </c>
      <c r="B390">
        <f t="shared" ca="1" si="13"/>
        <v>0.36442534358116152</v>
      </c>
      <c r="C390">
        <f ca="1">AVERAGE(B$2:B390)</f>
        <v>0.1390835653652665</v>
      </c>
      <c r="D390">
        <f ca="1">_xlfn.VAR.P(B$2:B390)</f>
        <v>1.7689196851058842</v>
      </c>
    </row>
    <row r="391" spans="1:4" x14ac:dyDescent="0.3">
      <c r="A391">
        <f t="shared" ca="1" si="12"/>
        <v>9.3928388751096659E-3</v>
      </c>
      <c r="B391">
        <f t="shared" ca="1" si="13"/>
        <v>3.9746605212767672</v>
      </c>
      <c r="C391">
        <f ca="1">AVERAGE(B$2:B391)</f>
        <v>0.14891837807273189</v>
      </c>
      <c r="D391">
        <f ca="1">_xlfn.VAR.P(B$2:B391)</f>
        <v>1.8020094510510818</v>
      </c>
    </row>
    <row r="392" spans="1:4" x14ac:dyDescent="0.3">
      <c r="A392">
        <f t="shared" ca="1" si="12"/>
        <v>0.55892136010078064</v>
      </c>
      <c r="B392">
        <f t="shared" ca="1" si="13"/>
        <v>-0.12538491710584482</v>
      </c>
      <c r="C392">
        <f ca="1">AVERAGE(B$2:B392)</f>
        <v>0.14821683511831096</v>
      </c>
      <c r="D392">
        <f ca="1">_xlfn.VAR.P(B$2:B392)</f>
        <v>1.7975926746090118</v>
      </c>
    </row>
    <row r="393" spans="1:4" x14ac:dyDescent="0.3">
      <c r="A393">
        <f t="shared" ca="1" si="12"/>
        <v>0.16593129796582684</v>
      </c>
      <c r="B393">
        <f t="shared" ca="1" si="13"/>
        <v>1.1030342634082542</v>
      </c>
      <c r="C393">
        <f ca="1">AVERAGE(B$2:B393)</f>
        <v>0.15065259386394858</v>
      </c>
      <c r="D393">
        <f ca="1">_xlfn.VAR.P(B$2:B393)</f>
        <v>1.7953267509912969</v>
      </c>
    </row>
    <row r="394" spans="1:4" x14ac:dyDescent="0.3">
      <c r="A394">
        <f t="shared" ca="1" si="12"/>
        <v>0.16296375464279389</v>
      </c>
      <c r="B394">
        <f t="shared" ca="1" si="13"/>
        <v>1.1210802864966423</v>
      </c>
      <c r="C394">
        <f ca="1">AVERAGE(B$2:B394)</f>
        <v>0.15312187552459156</v>
      </c>
      <c r="D394">
        <f ca="1">_xlfn.VAR.P(B$2:B394)</f>
        <v>1.793148651490871</v>
      </c>
    </row>
    <row r="395" spans="1:4" x14ac:dyDescent="0.3">
      <c r="A395">
        <f t="shared" ca="1" si="12"/>
        <v>0.56899239900325771</v>
      </c>
      <c r="B395">
        <f t="shared" ca="1" si="13"/>
        <v>-0.14848237275065151</v>
      </c>
      <c r="C395">
        <f ca="1">AVERAGE(B$2:B395)</f>
        <v>0.15235638250866454</v>
      </c>
      <c r="D395">
        <f ca="1">_xlfn.VAR.P(B$2:B395)</f>
        <v>1.7888278027475746</v>
      </c>
    </row>
    <row r="396" spans="1:4" x14ac:dyDescent="0.3">
      <c r="A396">
        <f t="shared" ca="1" si="12"/>
        <v>0.90393890766085294</v>
      </c>
      <c r="B396">
        <f t="shared" ca="1" si="13"/>
        <v>-1.6496237308245267</v>
      </c>
      <c r="C396">
        <f ca="1">AVERAGE(B$2:B396)</f>
        <v>0.14779440753820078</v>
      </c>
      <c r="D396">
        <f ca="1">_xlfn.VAR.P(B$2:B396)</f>
        <v>1.7924989013246035</v>
      </c>
    </row>
    <row r="397" spans="1:4" x14ac:dyDescent="0.3">
      <c r="A397">
        <f t="shared" ca="1" si="12"/>
        <v>0.29047356959138126</v>
      </c>
      <c r="B397">
        <f t="shared" ca="1" si="13"/>
        <v>0.54309550874311274</v>
      </c>
      <c r="C397">
        <f ca="1">AVERAGE(B$2:B397)</f>
        <v>0.14879264264225359</v>
      </c>
      <c r="D397">
        <f ca="1">_xlfn.VAR.P(B$2:B397)</f>
        <v>1.7883659959100917</v>
      </c>
    </row>
    <row r="398" spans="1:4" x14ac:dyDescent="0.3">
      <c r="A398">
        <f t="shared" ca="1" si="12"/>
        <v>0.45342423361902906</v>
      </c>
      <c r="B398">
        <f t="shared" ca="1" si="13"/>
        <v>9.7779913124623308E-2</v>
      </c>
      <c r="C398">
        <f ca="1">AVERAGE(B$2:B398)</f>
        <v>0.14866414710190692</v>
      </c>
      <c r="D398">
        <f ca="1">_xlfn.VAR.P(B$2:B398)</f>
        <v>1.7838678340656444</v>
      </c>
    </row>
    <row r="399" spans="1:4" x14ac:dyDescent="0.3">
      <c r="A399">
        <f t="shared" ca="1" si="12"/>
        <v>0.16813760600867766</v>
      </c>
      <c r="B399">
        <f t="shared" ca="1" si="13"/>
        <v>1.0898253708996812</v>
      </c>
      <c r="C399">
        <f ca="1">AVERAGE(B$2:B399)</f>
        <v>0.15102887379486615</v>
      </c>
      <c r="D399">
        <f ca="1">_xlfn.VAR.P(B$2:B399)</f>
        <v>1.7816057512165153</v>
      </c>
    </row>
    <row r="400" spans="1:4" x14ac:dyDescent="0.3">
      <c r="A400">
        <f t="shared" ca="1" si="12"/>
        <v>0.85111279817482866</v>
      </c>
      <c r="B400">
        <f t="shared" ca="1" si="13"/>
        <v>-1.2114191139026191</v>
      </c>
      <c r="C400">
        <f ca="1">AVERAGE(B$2:B400)</f>
        <v>0.14761421718409551</v>
      </c>
      <c r="D400">
        <f ca="1">_xlfn.VAR.P(B$2:B400)</f>
        <v>1.7817812060434237</v>
      </c>
    </row>
    <row r="401" spans="1:4" x14ac:dyDescent="0.3">
      <c r="A401">
        <f t="shared" ca="1" si="12"/>
        <v>0.99718027450217495</v>
      </c>
      <c r="B401">
        <f t="shared" ca="1" si="13"/>
        <v>-5.1779685594069207</v>
      </c>
      <c r="C401">
        <f ca="1">AVERAGE(B$2:B401)</f>
        <v>0.13430026024261796</v>
      </c>
      <c r="D401">
        <f ca="1">_xlfn.VAR.P(B$2:B401)</f>
        <v>1.8480540713546831</v>
      </c>
    </row>
    <row r="402" spans="1:4" x14ac:dyDescent="0.3">
      <c r="A402">
        <f t="shared" ca="1" si="12"/>
        <v>0.58295137850796186</v>
      </c>
      <c r="B402">
        <f t="shared" ca="1" si="13"/>
        <v>-0.18140528511819426</v>
      </c>
      <c r="C402">
        <f ca="1">AVERAGE(B$2:B402)</f>
        <v>0.13351296461827677</v>
      </c>
      <c r="D402">
        <f ca="1">_xlfn.VAR.P(B$2:B402)</f>
        <v>1.8436933914704492</v>
      </c>
    </row>
    <row r="403" spans="1:4" x14ac:dyDescent="0.3">
      <c r="A403">
        <f t="shared" ca="1" si="12"/>
        <v>0.66970627182318798</v>
      </c>
      <c r="B403">
        <f t="shared" ca="1" si="13"/>
        <v>-0.41462575446848215</v>
      </c>
      <c r="C403">
        <f ca="1">AVERAGE(B$2:B403)</f>
        <v>0.13214943546631966</v>
      </c>
      <c r="D403">
        <f ca="1">_xlfn.VAR.P(B$2:B403)</f>
        <v>1.8398526334126606</v>
      </c>
    </row>
    <row r="404" spans="1:4" x14ac:dyDescent="0.3">
      <c r="A404">
        <f t="shared" ca="1" si="12"/>
        <v>5.6885452547129067E-2</v>
      </c>
      <c r="B404">
        <f t="shared" ca="1" si="13"/>
        <v>2.1735684569883222</v>
      </c>
      <c r="C404">
        <f ca="1">AVERAGE(B$2:B404)</f>
        <v>0.13721499135098963</v>
      </c>
      <c r="D404">
        <f ca="1">_xlfn.VAR.P(B$2:B404)</f>
        <v>1.8456025045438806</v>
      </c>
    </row>
    <row r="405" spans="1:4" x14ac:dyDescent="0.3">
      <c r="A405">
        <f t="shared" ca="1" si="12"/>
        <v>0.5993231129206591</v>
      </c>
      <c r="B405">
        <f t="shared" ca="1" si="13"/>
        <v>-0.22145276380299547</v>
      </c>
      <c r="C405">
        <f ca="1">AVERAGE(B$2:B405)</f>
        <v>0.13632719987783623</v>
      </c>
      <c r="D405">
        <f ca="1">_xlfn.VAR.P(B$2:B405)</f>
        <v>1.8413518155138524</v>
      </c>
    </row>
    <row r="406" spans="1:4" x14ac:dyDescent="0.3">
      <c r="A406">
        <f t="shared" ca="1" si="12"/>
        <v>0.67368662544000846</v>
      </c>
      <c r="B406">
        <f t="shared" ca="1" si="13"/>
        <v>-0.42674990712479483</v>
      </c>
      <c r="C406">
        <f ca="1">AVERAGE(B$2:B406)</f>
        <v>0.13493688603338527</v>
      </c>
      <c r="D406">
        <f ca="1">_xlfn.VAR.P(B$2:B406)</f>
        <v>1.8375861887459985</v>
      </c>
    </row>
    <row r="407" spans="1:4" x14ac:dyDescent="0.3">
      <c r="A407">
        <f t="shared" ca="1" si="12"/>
        <v>0.72652477584442809</v>
      </c>
      <c r="B407">
        <f t="shared" ca="1" si="13"/>
        <v>-0.60339706876013455</v>
      </c>
      <c r="C407">
        <f ca="1">AVERAGE(B$2:B407)</f>
        <v>0.13311832949448499</v>
      </c>
      <c r="D407">
        <f ca="1">_xlfn.VAR.P(B$2:B407)</f>
        <v>1.8343995092829781</v>
      </c>
    </row>
    <row r="408" spans="1:4" x14ac:dyDescent="0.3">
      <c r="A408">
        <f t="shared" ca="1" si="12"/>
        <v>0.17549226646226657</v>
      </c>
      <c r="B408">
        <f t="shared" ca="1" si="13"/>
        <v>1.0470131222292653</v>
      </c>
      <c r="C408">
        <f ca="1">AVERAGE(B$2:B408)</f>
        <v>0.13536377124567611</v>
      </c>
      <c r="D408">
        <f ca="1">_xlfn.VAR.P(B$2:B408)</f>
        <v>1.8319394406966902</v>
      </c>
    </row>
    <row r="409" spans="1:4" x14ac:dyDescent="0.3">
      <c r="A409">
        <f t="shared" ca="1" si="12"/>
        <v>0.71543700086218587</v>
      </c>
      <c r="B409">
        <f t="shared" ca="1" si="13"/>
        <v>-0.56365343127535206</v>
      </c>
      <c r="C409">
        <f ca="1">AVERAGE(B$2:B409)</f>
        <v>0.13365049378851671</v>
      </c>
      <c r="D409">
        <f ca="1">_xlfn.VAR.P(B$2:B409)</f>
        <v>1.8286440681435252</v>
      </c>
    </row>
    <row r="410" spans="1:4" x14ac:dyDescent="0.3">
      <c r="A410">
        <f t="shared" ca="1" si="12"/>
        <v>0.57079622121455031</v>
      </c>
      <c r="B410">
        <f t="shared" ca="1" si="13"/>
        <v>-0.15267628345126089</v>
      </c>
      <c r="C410">
        <f ca="1">AVERAGE(B$2:B410)</f>
        <v>0.1329504283184928</v>
      </c>
      <c r="D410">
        <f ca="1">_xlfn.VAR.P(B$2:B410)</f>
        <v>1.8243730131502027</v>
      </c>
    </row>
    <row r="411" spans="1:4" x14ac:dyDescent="0.3">
      <c r="A411">
        <f t="shared" ca="1" si="12"/>
        <v>8.1086447662017669E-3</v>
      </c>
      <c r="B411">
        <f t="shared" ca="1" si="13"/>
        <v>4.1216773507689819</v>
      </c>
      <c r="C411">
        <f ca="1">AVERAGE(B$2:B411)</f>
        <v>0.14267903056837206</v>
      </c>
      <c r="D411">
        <f ca="1">_xlfn.VAR.P(B$2:B411)</f>
        <v>1.8586334148843957</v>
      </c>
    </row>
    <row r="412" spans="1:4" x14ac:dyDescent="0.3">
      <c r="A412">
        <f t="shared" ca="1" si="12"/>
        <v>0.68307022263421935</v>
      </c>
      <c r="B412">
        <f t="shared" ca="1" si="13"/>
        <v>-0.45592787159006926</v>
      </c>
      <c r="C412">
        <f ca="1">AVERAGE(B$2:B412)</f>
        <v>0.14122256608623471</v>
      </c>
      <c r="D412">
        <f ca="1">_xlfn.VAR.P(B$2:B412)</f>
        <v>1.8549809208667207</v>
      </c>
    </row>
    <row r="413" spans="1:4" x14ac:dyDescent="0.3">
      <c r="A413">
        <f t="shared" ca="1" si="12"/>
        <v>0.15892112327190122</v>
      </c>
      <c r="B413">
        <f t="shared" ca="1" si="13"/>
        <v>1.1462000993413139</v>
      </c>
      <c r="C413">
        <f ca="1">AVERAGE(B$2:B413)</f>
        <v>0.14366183194364995</v>
      </c>
      <c r="D413">
        <f ca="1">_xlfn.VAR.P(B$2:B413)</f>
        <v>1.8529239973572462</v>
      </c>
    </row>
    <row r="414" spans="1:4" x14ac:dyDescent="0.3">
      <c r="A414">
        <f t="shared" ca="1" si="12"/>
        <v>0.97358763272049997</v>
      </c>
      <c r="B414">
        <f t="shared" ca="1" si="13"/>
        <v>-2.9407757404050874</v>
      </c>
      <c r="C414">
        <f ca="1">AVERAGE(B$2:B414)</f>
        <v>0.13619346009776925</v>
      </c>
      <c r="D414">
        <f ca="1">_xlfn.VAR.P(B$2:B414)</f>
        <v>1.8714174487219761</v>
      </c>
    </row>
    <row r="415" spans="1:4" x14ac:dyDescent="0.3">
      <c r="A415">
        <f t="shared" ca="1" si="12"/>
        <v>0.14467097673267604</v>
      </c>
      <c r="B415">
        <f t="shared" ca="1" si="13"/>
        <v>1.2401460603506875</v>
      </c>
      <c r="C415">
        <f ca="1">AVERAGE(B$2:B415)</f>
        <v>0.13886001227229319</v>
      </c>
      <c r="D415">
        <f ca="1">_xlfn.VAR.P(B$2:B415)</f>
        <v>1.869833753426509</v>
      </c>
    </row>
    <row r="416" spans="1:4" x14ac:dyDescent="0.3">
      <c r="A416">
        <f t="shared" ca="1" si="12"/>
        <v>0.27440708466446384</v>
      </c>
      <c r="B416">
        <f t="shared" ca="1" si="13"/>
        <v>0.59999538415571363</v>
      </c>
      <c r="C416">
        <f ca="1">AVERAGE(B$2:B416)</f>
        <v>0.13997118184309662</v>
      </c>
      <c r="D416">
        <f ca="1">_xlfn.VAR.P(B$2:B416)</f>
        <v>1.8658392948197193</v>
      </c>
    </row>
    <row r="417" spans="1:4" x14ac:dyDescent="0.3">
      <c r="A417">
        <f t="shared" ca="1" si="12"/>
        <v>0.91671286293649423</v>
      </c>
      <c r="B417">
        <f t="shared" ca="1" si="13"/>
        <v>-1.7923139781776605</v>
      </c>
      <c r="C417">
        <f ca="1">AVERAGE(B$2:B417)</f>
        <v>0.13532626559304672</v>
      </c>
      <c r="D417">
        <f ca="1">_xlfn.VAR.P(B$2:B417)</f>
        <v>1.8703078316997126</v>
      </c>
    </row>
    <row r="418" spans="1:4" x14ac:dyDescent="0.3">
      <c r="A418">
        <f t="shared" ca="1" si="12"/>
        <v>0.76569473103919539</v>
      </c>
      <c r="B418">
        <f t="shared" ca="1" si="13"/>
        <v>-0.7579832650656716</v>
      </c>
      <c r="C418">
        <f ca="1">AVERAGE(B$2:B418)</f>
        <v>0.13318403650273805</v>
      </c>
      <c r="D418">
        <f ca="1">_xlfn.VAR.P(B$2:B418)</f>
        <v>1.8677317655419254</v>
      </c>
    </row>
    <row r="419" spans="1:4" x14ac:dyDescent="0.3">
      <c r="A419">
        <f t="shared" ca="1" si="12"/>
        <v>0.57527653478211871</v>
      </c>
      <c r="B419">
        <f t="shared" ca="1" si="13"/>
        <v>-0.16316981135099187</v>
      </c>
      <c r="C419">
        <f ca="1">AVERAGE(B$2:B419)</f>
        <v>0.13247505600548035</v>
      </c>
      <c r="D419">
        <f ca="1">_xlfn.VAR.P(B$2:B419)</f>
        <v>1.8634731141746943</v>
      </c>
    </row>
    <row r="420" spans="1:4" x14ac:dyDescent="0.3">
      <c r="A420">
        <f t="shared" ca="1" si="12"/>
        <v>0.63340032934823143</v>
      </c>
      <c r="B420">
        <f t="shared" ca="1" si="13"/>
        <v>-0.31033766140278285</v>
      </c>
      <c r="C420">
        <f ca="1">AVERAGE(B$2:B420)</f>
        <v>0.13141822374436277</v>
      </c>
      <c r="D420">
        <f ca="1">_xlfn.VAR.P(B$2:B420)</f>
        <v>1.8594925461788909</v>
      </c>
    </row>
    <row r="421" spans="1:4" x14ac:dyDescent="0.3">
      <c r="A421">
        <f t="shared" ca="1" si="12"/>
        <v>0.52638920651424137</v>
      </c>
      <c r="B421">
        <f t="shared" ca="1" si="13"/>
        <v>-5.422222481276931E-2</v>
      </c>
      <c r="C421">
        <f ca="1">AVERAGE(B$2:B421)</f>
        <v>0.13097622267636957</v>
      </c>
      <c r="D421">
        <f ca="1">_xlfn.VAR.P(B$2:B421)</f>
        <v>1.8551470408852839</v>
      </c>
    </row>
    <row r="422" spans="1:4" x14ac:dyDescent="0.3">
      <c r="A422">
        <f t="shared" ca="1" si="12"/>
        <v>0.6895956725090272</v>
      </c>
      <c r="B422">
        <f t="shared" ca="1" si="13"/>
        <v>-0.47673236855125023</v>
      </c>
      <c r="C422">
        <f ca="1">AVERAGE(B$2:B422)</f>
        <v>0.12953273433616144</v>
      </c>
      <c r="D422">
        <f ca="1">_xlfn.VAR.P(B$2:B422)</f>
        <v>1.8516156524546445</v>
      </c>
    </row>
    <row r="423" spans="1:4" x14ac:dyDescent="0.3">
      <c r="A423">
        <f t="shared" ca="1" si="12"/>
        <v>0.87025665190668999</v>
      </c>
      <c r="B423">
        <f t="shared" ca="1" si="13"/>
        <v>-1.3490498447939803</v>
      </c>
      <c r="C423">
        <f ca="1">AVERAGE(B$2:B423)</f>
        <v>0.12602898414864927</v>
      </c>
      <c r="D423">
        <f ca="1">_xlfn.VAR.P(B$2:B423)</f>
        <v>1.8523962453619043</v>
      </c>
    </row>
    <row r="424" spans="1:4" x14ac:dyDescent="0.3">
      <c r="A424">
        <f t="shared" ca="1" si="12"/>
        <v>0.86422220241807324</v>
      </c>
      <c r="B424">
        <f t="shared" ca="1" si="13"/>
        <v>-1.30358839016981</v>
      </c>
      <c r="C424">
        <f ca="1">AVERAGE(B$2:B424)</f>
        <v>0.1226492740438775</v>
      </c>
      <c r="D424">
        <f ca="1">_xlfn.VAR.P(B$2:B424)</f>
        <v>1.8528373278661723</v>
      </c>
    </row>
    <row r="425" spans="1:4" x14ac:dyDescent="0.3">
      <c r="A425">
        <f t="shared" ca="1" si="12"/>
        <v>0.54520812638157989</v>
      </c>
      <c r="B425">
        <f t="shared" ca="1" si="13"/>
        <v>-9.4768204738823053E-2</v>
      </c>
      <c r="C425">
        <f ca="1">AVERAGE(B$2:B425)</f>
        <v>0.12213649697127681</v>
      </c>
      <c r="D425">
        <f ca="1">_xlfn.VAR.P(B$2:B425)</f>
        <v>1.8485786522659735</v>
      </c>
    </row>
    <row r="426" spans="1:4" x14ac:dyDescent="0.3">
      <c r="A426">
        <f t="shared" ca="1" si="12"/>
        <v>0.17186525394705365</v>
      </c>
      <c r="B426">
        <f t="shared" ca="1" si="13"/>
        <v>1.0678973359171575</v>
      </c>
      <c r="C426">
        <f ca="1">AVERAGE(B$2:B426)</f>
        <v>0.12436181659232594</v>
      </c>
      <c r="D426">
        <f ca="1">_xlfn.VAR.P(B$2:B426)</f>
        <v>1.846328723541423</v>
      </c>
    </row>
    <row r="427" spans="1:4" x14ac:dyDescent="0.3">
      <c r="A427">
        <f t="shared" ca="1" si="12"/>
        <v>0.18512124106132211</v>
      </c>
      <c r="B427">
        <f t="shared" ca="1" si="13"/>
        <v>0.99359713090831825</v>
      </c>
      <c r="C427">
        <f ca="1">AVERAGE(B$2:B427)</f>
        <v>0.12640227507663579</v>
      </c>
      <c r="D427">
        <f ca="1">_xlfn.VAR.P(B$2:B427)</f>
        <v>1.8437640936577158</v>
      </c>
    </row>
    <row r="428" spans="1:4" x14ac:dyDescent="0.3">
      <c r="A428">
        <f t="shared" ca="1" si="12"/>
        <v>0.77894807581174419</v>
      </c>
      <c r="B428">
        <f t="shared" ca="1" si="13"/>
        <v>-0.81621047342304043</v>
      </c>
      <c r="C428">
        <f ca="1">AVERAGE(B$2:B428)</f>
        <v>0.12419475107546558</v>
      </c>
      <c r="D428">
        <f ca="1">_xlfn.VAR.P(B$2:B428)</f>
        <v>1.8415221120645311</v>
      </c>
    </row>
    <row r="429" spans="1:4" x14ac:dyDescent="0.3">
      <c r="A429">
        <f t="shared" ca="1" si="12"/>
        <v>0.59796086989249086</v>
      </c>
      <c r="B429">
        <f t="shared" ca="1" si="13"/>
        <v>-0.21805867596436909</v>
      </c>
      <c r="C429">
        <f ca="1">AVERAGE(B$2:B429)</f>
        <v>0.12339509353565288</v>
      </c>
      <c r="D429">
        <f ca="1">_xlfn.VAR.P(B$2:B429)</f>
        <v>1.8374925363886494</v>
      </c>
    </row>
    <row r="430" spans="1:4" x14ac:dyDescent="0.3">
      <c r="A430">
        <f t="shared" ca="1" si="12"/>
        <v>0.16959375622035755</v>
      </c>
      <c r="B430">
        <f t="shared" ca="1" si="13"/>
        <v>1.081202190480526</v>
      </c>
      <c r="C430">
        <f ca="1">AVERAGE(B$2:B430)</f>
        <v>0.12562774411128194</v>
      </c>
      <c r="D430">
        <f ca="1">_xlfn.VAR.P(B$2:B430)</f>
        <v>1.8353428008408708</v>
      </c>
    </row>
    <row r="431" spans="1:4" x14ac:dyDescent="0.3">
      <c r="A431">
        <f t="shared" ca="1" si="12"/>
        <v>0.95824933744690755</v>
      </c>
      <c r="B431">
        <f t="shared" ca="1" si="13"/>
        <v>-2.4828927777160983</v>
      </c>
      <c r="C431">
        <f ca="1">AVERAGE(B$2:B431)</f>
        <v>0.11956141731633456</v>
      </c>
      <c r="D431">
        <f ca="1">_xlfn.VAR.P(B$2:B431)</f>
        <v>1.846861899385096</v>
      </c>
    </row>
    <row r="432" spans="1:4" x14ac:dyDescent="0.3">
      <c r="A432">
        <f t="shared" ca="1" si="12"/>
        <v>0.87038895600639998</v>
      </c>
      <c r="B432">
        <f t="shared" ca="1" si="13"/>
        <v>-1.3500701021346944</v>
      </c>
      <c r="C432">
        <f ca="1">AVERAGE(B$2:B432)</f>
        <v>0.11615159940577532</v>
      </c>
      <c r="D432">
        <f ca="1">_xlfn.VAR.P(B$2:B432)</f>
        <v>1.8475763859922931</v>
      </c>
    </row>
    <row r="433" spans="1:4" x14ac:dyDescent="0.3">
      <c r="A433">
        <f t="shared" ca="1" si="12"/>
        <v>0.33168204330101614</v>
      </c>
      <c r="B433">
        <f t="shared" ca="1" si="13"/>
        <v>0.41043128929477313</v>
      </c>
      <c r="C433">
        <f ca="1">AVERAGE(B$2:B433)</f>
        <v>0.11683280239162948</v>
      </c>
      <c r="D433">
        <f ca="1">_xlfn.VAR.P(B$2:B433)</f>
        <v>1.8434995889684169</v>
      </c>
    </row>
    <row r="434" spans="1:4" x14ac:dyDescent="0.3">
      <c r="A434">
        <f t="shared" ca="1" si="12"/>
        <v>0.49468644016821728</v>
      </c>
      <c r="B434">
        <f t="shared" ca="1" si="13"/>
        <v>1.0683990776006189E-2</v>
      </c>
      <c r="C434">
        <f ca="1">AVERAGE(B$2:B434)</f>
        <v>0.11658765502069271</v>
      </c>
      <c r="D434">
        <f ca="1">_xlfn.VAR.P(B$2:B434)</f>
        <v>1.839268046148872</v>
      </c>
    </row>
    <row r="435" spans="1:4" x14ac:dyDescent="0.3">
      <c r="A435">
        <f t="shared" ca="1" si="12"/>
        <v>0.68675875052259949</v>
      </c>
      <c r="B435">
        <f t="shared" ca="1" si="13"/>
        <v>-0.46763443966540136</v>
      </c>
      <c r="C435">
        <f ca="1">AVERAGE(B$2:B435)</f>
        <v>0.11524152116196899</v>
      </c>
      <c r="D435">
        <f ca="1">_xlfn.VAR.P(B$2:B435)</f>
        <v>1.8358147304083829</v>
      </c>
    </row>
    <row r="436" spans="1:4" x14ac:dyDescent="0.3">
      <c r="A436">
        <f t="shared" ca="1" si="12"/>
        <v>0.65590499904777699</v>
      </c>
      <c r="B436">
        <f t="shared" ca="1" si="13"/>
        <v>-0.37369031361669414</v>
      </c>
      <c r="C436">
        <f ca="1">AVERAGE(B$2:B436)</f>
        <v>0.11411753993259276</v>
      </c>
      <c r="D436">
        <f ca="1">_xlfn.VAR.P(B$2:B436)</f>
        <v>1.8321427535312493</v>
      </c>
    </row>
    <row r="437" spans="1:4" x14ac:dyDescent="0.3">
      <c r="A437">
        <f t="shared" ca="1" si="12"/>
        <v>0.95813333734132733</v>
      </c>
      <c r="B437">
        <f t="shared" ca="1" si="13"/>
        <v>-2.4801182287885486</v>
      </c>
      <c r="C437">
        <f ca="1">AVERAGE(B$2:B437)</f>
        <v>0.10816745789424152</v>
      </c>
      <c r="D437">
        <f ca="1">_xlfn.VAR.P(B$2:B437)</f>
        <v>1.8433411034269604</v>
      </c>
    </row>
    <row r="438" spans="1:4" x14ac:dyDescent="0.3">
      <c r="A438">
        <f t="shared" ca="1" si="12"/>
        <v>0.59841906575998027</v>
      </c>
      <c r="B438">
        <f t="shared" ca="1" si="13"/>
        <v>-0.21919900567356504</v>
      </c>
      <c r="C438">
        <f ca="1">AVERAGE(B$2:B438)</f>
        <v>0.10741833555198109</v>
      </c>
      <c r="D438">
        <f ca="1">_xlfn.VAR.P(B$2:B438)</f>
        <v>1.8393676079132535</v>
      </c>
    </row>
    <row r="439" spans="1:4" x14ac:dyDescent="0.3">
      <c r="A439">
        <f t="shared" ca="1" si="12"/>
        <v>0.55295624797677423</v>
      </c>
      <c r="B439">
        <f t="shared" ca="1" si="13"/>
        <v>-0.11195162935189372</v>
      </c>
      <c r="C439">
        <f ca="1">AVERAGE(B$2:B439)</f>
        <v>0.10691749088325078</v>
      </c>
      <c r="D439">
        <f ca="1">_xlfn.VAR.P(B$2:B439)</f>
        <v>1.8352777579208137</v>
      </c>
    </row>
    <row r="440" spans="1:4" x14ac:dyDescent="0.3">
      <c r="A440">
        <f t="shared" ca="1" si="12"/>
        <v>0.52472417368583679</v>
      </c>
      <c r="B440">
        <f t="shared" ca="1" si="13"/>
        <v>-5.0712775943807277E-2</v>
      </c>
      <c r="C440">
        <f ca="1">AVERAGE(B$2:B440)</f>
        <v>0.10655842421621876</v>
      </c>
      <c r="D440">
        <f ca="1">_xlfn.VAR.P(B$2:B440)</f>
        <v>1.8311536416185918</v>
      </c>
    </row>
    <row r="441" spans="1:4" x14ac:dyDescent="0.3">
      <c r="A441">
        <f t="shared" ca="1" si="12"/>
        <v>0.32723833762243548</v>
      </c>
      <c r="B441">
        <f t="shared" ca="1" si="13"/>
        <v>0.42391933178459967</v>
      </c>
      <c r="C441">
        <f ca="1">AVERAGE(B$2:B441)</f>
        <v>0.10727969900614691</v>
      </c>
      <c r="D441">
        <f ca="1">_xlfn.VAR.P(B$2:B441)</f>
        <v>1.8272203129813462</v>
      </c>
    </row>
    <row r="442" spans="1:4" x14ac:dyDescent="0.3">
      <c r="A442">
        <f t="shared" ca="1" si="12"/>
        <v>0.24349293413936279</v>
      </c>
      <c r="B442">
        <f t="shared" ca="1" si="13"/>
        <v>0.71952017422873593</v>
      </c>
      <c r="C442">
        <f ca="1">AVERAGE(B$2:B442)</f>
        <v>0.10866799940347703</v>
      </c>
      <c r="D442">
        <f ca="1">_xlfn.VAR.P(B$2:B442)</f>
        <v>1.8239250025795877</v>
      </c>
    </row>
    <row r="443" spans="1:4" x14ac:dyDescent="0.3">
      <c r="A443">
        <f t="shared" ca="1" si="12"/>
        <v>0.97967390605269611</v>
      </c>
      <c r="B443">
        <f t="shared" ca="1" si="13"/>
        <v>-3.2027026216911305</v>
      </c>
      <c r="C443">
        <f ca="1">AVERAGE(B$2:B443)</f>
        <v>0.10117621066796888</v>
      </c>
      <c r="D443">
        <f ca="1">_xlfn.VAR.P(B$2:B443)</f>
        <v>1.8445504376441821</v>
      </c>
    </row>
    <row r="444" spans="1:4" x14ac:dyDescent="0.3">
      <c r="A444">
        <f t="shared" ca="1" si="12"/>
        <v>0.40945814324449936</v>
      </c>
      <c r="B444">
        <f t="shared" ca="1" si="13"/>
        <v>0.19977341465245196</v>
      </c>
      <c r="C444">
        <f ca="1">AVERAGE(B$2:B444)</f>
        <v>0.10139877771985259</v>
      </c>
      <c r="D444">
        <f ca="1">_xlfn.VAR.P(B$2:B444)</f>
        <v>1.840408561857501</v>
      </c>
    </row>
    <row r="445" spans="1:4" x14ac:dyDescent="0.3">
      <c r="A445">
        <f t="shared" ca="1" si="12"/>
        <v>6.6928611492845791E-3</v>
      </c>
      <c r="B445">
        <f t="shared" ca="1" si="13"/>
        <v>4.313566640180829</v>
      </c>
      <c r="C445">
        <f ca="1">AVERAGE(B$2:B445)</f>
        <v>0.11088564227494488</v>
      </c>
      <c r="D445">
        <f ca="1">_xlfn.VAR.P(B$2:B445)</f>
        <v>1.8761337629243866</v>
      </c>
    </row>
    <row r="446" spans="1:4" x14ac:dyDescent="0.3">
      <c r="A446">
        <f t="shared" ca="1" si="12"/>
        <v>0.24603582598391105</v>
      </c>
      <c r="B446">
        <f t="shared" ca="1" si="13"/>
        <v>0.70913093901250301</v>
      </c>
      <c r="C446">
        <f ca="1">AVERAGE(B$2:B446)</f>
        <v>0.11223001372828771</v>
      </c>
      <c r="D446">
        <f ca="1">_xlfn.VAR.P(B$2:B446)</f>
        <v>1.8727201885608928</v>
      </c>
    </row>
    <row r="447" spans="1:4" x14ac:dyDescent="0.3">
      <c r="A447">
        <f t="shared" ca="1" si="12"/>
        <v>6.3287435233670863E-2</v>
      </c>
      <c r="B447">
        <f t="shared" ca="1" si="13"/>
        <v>2.0669212844935316</v>
      </c>
      <c r="C447">
        <f ca="1">AVERAGE(B$2:B447)</f>
        <v>0.11661272958202144</v>
      </c>
      <c r="D447">
        <f ca="1">_xlfn.VAR.P(B$2:B447)</f>
        <v>1.8770689125945776</v>
      </c>
    </row>
    <row r="448" spans="1:4" x14ac:dyDescent="0.3">
      <c r="A448">
        <f t="shared" ca="1" si="12"/>
        <v>0.21637090280149751</v>
      </c>
      <c r="B448">
        <f t="shared" ca="1" si="13"/>
        <v>0.83761402074231528</v>
      </c>
      <c r="C448">
        <f ca="1">AVERAGE(B$2:B448)</f>
        <v>0.11822570786202209</v>
      </c>
      <c r="D448">
        <f ca="1">_xlfn.VAR.P(B$2:B448)</f>
        <v>1.8740300110058477</v>
      </c>
    </row>
    <row r="449" spans="1:4" x14ac:dyDescent="0.3">
      <c r="A449">
        <f t="shared" ca="1" si="12"/>
        <v>0.12550183047224728</v>
      </c>
      <c r="B449">
        <f t="shared" ca="1" si="13"/>
        <v>1.3822877545204864</v>
      </c>
      <c r="C449">
        <f ca="1">AVERAGE(B$2:B449)</f>
        <v>0.12104727493045617</v>
      </c>
      <c r="D449">
        <f ca="1">_xlfn.VAR.P(B$2:B449)</f>
        <v>1.8734055829052969</v>
      </c>
    </row>
    <row r="450" spans="1:4" x14ac:dyDescent="0.3">
      <c r="A450">
        <f t="shared" ca="1" si="12"/>
        <v>0.33433757889114057</v>
      </c>
      <c r="B450">
        <f t="shared" ca="1" si="13"/>
        <v>0.40245690063130352</v>
      </c>
      <c r="C450">
        <f ca="1">AVERAGE(B$2:B450)</f>
        <v>0.12167402242644913</v>
      </c>
      <c r="D450">
        <f ca="1">_xlfn.VAR.P(B$2:B450)</f>
        <v>1.8694091673635451</v>
      </c>
    </row>
    <row r="451" spans="1:4" x14ac:dyDescent="0.3">
      <c r="A451">
        <f t="shared" ref="A451:A514" ca="1" si="14">RAND()</f>
        <v>0.95462779296105527</v>
      </c>
      <c r="B451">
        <f t="shared" ref="B451:B514" ca="1" si="15">-SIGN(0.5-A451)*LN(1-2*ABS(0.5-A451))*$F$1</f>
        <v>-2.3997083605923542</v>
      </c>
      <c r="C451">
        <f ca="1">AVERAGE(B$2:B451)</f>
        <v>0.11607095046418513</v>
      </c>
      <c r="D451">
        <f ca="1">_xlfn.VAR.P(B$2:B451)</f>
        <v>1.8793510172904291</v>
      </c>
    </row>
    <row r="452" spans="1:4" x14ac:dyDescent="0.3">
      <c r="A452">
        <f t="shared" ca="1" si="14"/>
        <v>0.10479300516690426</v>
      </c>
      <c r="B452">
        <f t="shared" ca="1" si="15"/>
        <v>1.5626210733533774</v>
      </c>
      <c r="C452">
        <f ca="1">AVERAGE(B$2:B452)</f>
        <v>0.11927837867458244</v>
      </c>
      <c r="D452">
        <f ca="1">_xlfn.VAR.P(B$2:B452)</f>
        <v>1.879813359940248</v>
      </c>
    </row>
    <row r="453" spans="1:4" x14ac:dyDescent="0.3">
      <c r="A453">
        <f t="shared" ca="1" si="14"/>
        <v>1.9837085415692957E-2</v>
      </c>
      <c r="B453">
        <f t="shared" ca="1" si="15"/>
        <v>3.2270549118079406</v>
      </c>
      <c r="C453">
        <f ca="1">AVERAGE(B$2:B453)</f>
        <v>0.12615399047355005</v>
      </c>
      <c r="D453">
        <f ca="1">_xlfn.VAR.P(B$2:B453)</f>
        <v>1.8969750717874925</v>
      </c>
    </row>
    <row r="454" spans="1:4" x14ac:dyDescent="0.3">
      <c r="A454">
        <f t="shared" ca="1" si="14"/>
        <v>0.72337215862953674</v>
      </c>
      <c r="B454">
        <f t="shared" ca="1" si="15"/>
        <v>-0.59193502854308577</v>
      </c>
      <c r="C454">
        <f ca="1">AVERAGE(B$2:B454)</f>
        <v>0.12456880500110715</v>
      </c>
      <c r="D454">
        <f ca="1">_xlfn.VAR.P(B$2:B454)</f>
        <v>1.893923280315448</v>
      </c>
    </row>
    <row r="455" spans="1:4" x14ac:dyDescent="0.3">
      <c r="A455">
        <f t="shared" ca="1" si="14"/>
        <v>0.31209881804305739</v>
      </c>
      <c r="B455">
        <f t="shared" ca="1" si="15"/>
        <v>0.47128823626234589</v>
      </c>
      <c r="C455">
        <f ca="1">AVERAGE(B$2:B455)</f>
        <v>0.12533250418890723</v>
      </c>
      <c r="D455">
        <f ca="1">_xlfn.VAR.P(B$2:B455)</f>
        <v>1.8900158492457357</v>
      </c>
    </row>
    <row r="456" spans="1:4" x14ac:dyDescent="0.3">
      <c r="A456">
        <f t="shared" ca="1" si="14"/>
        <v>0.44290165761657674</v>
      </c>
      <c r="B456">
        <f t="shared" ca="1" si="15"/>
        <v>0.12126034485706087</v>
      </c>
      <c r="C456">
        <f ca="1">AVERAGE(B$2:B456)</f>
        <v>0.12532355438817791</v>
      </c>
      <c r="D456">
        <f ca="1">_xlfn.VAR.P(B$2:B456)</f>
        <v>1.8858620046232979</v>
      </c>
    </row>
    <row r="457" spans="1:4" x14ac:dyDescent="0.3">
      <c r="A457">
        <f t="shared" ca="1" si="14"/>
        <v>0.50624165563458623</v>
      </c>
      <c r="B457">
        <f t="shared" ca="1" si="15"/>
        <v>-1.256188236907833E-2</v>
      </c>
      <c r="C457">
        <f ca="1">AVERAGE(B$2:B457)</f>
        <v>0.12502117404441199</v>
      </c>
      <c r="D457">
        <f ca="1">_xlfn.VAR.P(B$2:B457)</f>
        <v>1.8817679447443523</v>
      </c>
    </row>
    <row r="458" spans="1:4" x14ac:dyDescent="0.3">
      <c r="A458">
        <f t="shared" ca="1" si="14"/>
        <v>6.6749012747787773E-2</v>
      </c>
      <c r="B458">
        <f t="shared" ca="1" si="15"/>
        <v>2.0136685915465247</v>
      </c>
      <c r="C458">
        <f ca="1">AVERAGE(B$2:B458)</f>
        <v>0.12915388174135317</v>
      </c>
      <c r="D458">
        <f ca="1">_xlfn.VAR.P(B$2:B458)</f>
        <v>1.885438439044514</v>
      </c>
    </row>
    <row r="459" spans="1:4" x14ac:dyDescent="0.3">
      <c r="A459">
        <f t="shared" ca="1" si="14"/>
        <v>0.82046078836717173</v>
      </c>
      <c r="B459">
        <f t="shared" ca="1" si="15"/>
        <v>-1.0242144651424552</v>
      </c>
      <c r="C459">
        <f ca="1">AVERAGE(B$2:B459)</f>
        <v>0.12663561024160686</v>
      </c>
      <c r="D459">
        <f ca="1">_xlfn.VAR.P(B$2:B459)</f>
        <v>1.8842199141753269</v>
      </c>
    </row>
    <row r="460" spans="1:4" x14ac:dyDescent="0.3">
      <c r="A460">
        <f t="shared" ca="1" si="14"/>
        <v>0.66523775205688074</v>
      </c>
      <c r="B460">
        <f t="shared" ca="1" si="15"/>
        <v>-0.40118752619128673</v>
      </c>
      <c r="C460">
        <f ca="1">AVERAGE(B$2:B460)</f>
        <v>0.12548566876789685</v>
      </c>
      <c r="D460">
        <f ca="1">_xlfn.VAR.P(B$2:B460)</f>
        <v>1.880720503246053</v>
      </c>
    </row>
    <row r="461" spans="1:4" x14ac:dyDescent="0.3">
      <c r="A461">
        <f t="shared" ca="1" si="14"/>
        <v>0.41711673953905259</v>
      </c>
      <c r="B461">
        <f t="shared" ca="1" si="15"/>
        <v>0.18124196486936095</v>
      </c>
      <c r="C461">
        <f ca="1">AVERAGE(B$2:B461)</f>
        <v>0.12560687810724785</v>
      </c>
      <c r="D461">
        <f ca="1">_xlfn.VAR.P(B$2:B461)</f>
        <v>1.8766387239050204</v>
      </c>
    </row>
    <row r="462" spans="1:4" x14ac:dyDescent="0.3">
      <c r="A462">
        <f t="shared" ca="1" si="14"/>
        <v>0.93512469001311627</v>
      </c>
      <c r="B462">
        <f t="shared" ca="1" si="15"/>
        <v>-2.0421409787296936</v>
      </c>
      <c r="C462">
        <f ca="1">AVERAGE(B$2:B462)</f>
        <v>0.12090460509892477</v>
      </c>
      <c r="D462">
        <f ca="1">_xlfn.VAR.P(B$2:B462)</f>
        <v>1.882739154934695</v>
      </c>
    </row>
    <row r="463" spans="1:4" x14ac:dyDescent="0.3">
      <c r="A463">
        <f t="shared" ca="1" si="14"/>
        <v>0.34005969544124615</v>
      </c>
      <c r="B463">
        <f t="shared" ca="1" si="15"/>
        <v>0.38548692139624618</v>
      </c>
      <c r="C463">
        <f ca="1">AVERAGE(B$2:B463)</f>
        <v>0.12147729409523932</v>
      </c>
      <c r="D463">
        <f ca="1">_xlfn.VAR.P(B$2:B463)</f>
        <v>1.8788151573671223</v>
      </c>
    </row>
    <row r="464" spans="1:4" x14ac:dyDescent="0.3">
      <c r="A464">
        <f t="shared" ca="1" si="14"/>
        <v>0.70333128197797712</v>
      </c>
      <c r="B464">
        <f t="shared" ca="1" si="15"/>
        <v>-0.52199200970704618</v>
      </c>
      <c r="C464">
        <f ca="1">AVERAGE(B$2:B464)</f>
        <v>0.12008751158162746</v>
      </c>
      <c r="D464">
        <f ca="1">_xlfn.VAR.P(B$2:B464)</f>
        <v>1.875649592151533</v>
      </c>
    </row>
    <row r="465" spans="1:4" x14ac:dyDescent="0.3">
      <c r="A465">
        <f t="shared" ca="1" si="14"/>
        <v>0.77053730536537568</v>
      </c>
      <c r="B465">
        <f t="shared" ca="1" si="15"/>
        <v>-0.77886763274603321</v>
      </c>
      <c r="C465">
        <f ca="1">AVERAGE(B$2:B465)</f>
        <v>0.11815010825333508</v>
      </c>
      <c r="D465">
        <f ca="1">_xlfn.VAR.P(B$2:B465)</f>
        <v>1.8733451290495355</v>
      </c>
    </row>
    <row r="466" spans="1:4" x14ac:dyDescent="0.3">
      <c r="A466">
        <f t="shared" ca="1" si="14"/>
        <v>2.6671228841240513E-2</v>
      </c>
      <c r="B466">
        <f t="shared" ca="1" si="15"/>
        <v>2.9310226855026795</v>
      </c>
      <c r="C466">
        <f ca="1">AVERAGE(B$2:B466)</f>
        <v>0.12419929659150572</v>
      </c>
      <c r="D466">
        <f ca="1">_xlfn.VAR.P(B$2:B466)</f>
        <v>1.8862954331587845</v>
      </c>
    </row>
    <row r="467" spans="1:4" x14ac:dyDescent="0.3">
      <c r="A467">
        <f t="shared" ca="1" si="14"/>
        <v>0.86670541727783634</v>
      </c>
      <c r="B467">
        <f t="shared" ca="1" si="15"/>
        <v>-1.3220465118070541</v>
      </c>
      <c r="C467">
        <f ca="1">AVERAGE(B$2:B467)</f>
        <v>0.12109576481382642</v>
      </c>
      <c r="D467">
        <f ca="1">_xlfn.VAR.P(B$2:B467)</f>
        <v>1.8867264267968249</v>
      </c>
    </row>
    <row r="468" spans="1:4" x14ac:dyDescent="0.3">
      <c r="A468">
        <f t="shared" ca="1" si="14"/>
        <v>0.34284390810670395</v>
      </c>
      <c r="B468">
        <f t="shared" ca="1" si="15"/>
        <v>0.37733283324196637</v>
      </c>
      <c r="C468">
        <f ca="1">AVERAGE(B$2:B468)</f>
        <v>0.12164445232652051</v>
      </c>
      <c r="D468">
        <f ca="1">_xlfn.VAR.P(B$2:B468)</f>
        <v>1.8828266204035915</v>
      </c>
    </row>
    <row r="469" spans="1:4" x14ac:dyDescent="0.3">
      <c r="A469">
        <f t="shared" ca="1" si="14"/>
        <v>0.91153171728091198</v>
      </c>
      <c r="B469">
        <f t="shared" ca="1" si="15"/>
        <v>-1.7319639979993418</v>
      </c>
      <c r="C469">
        <f ca="1">AVERAGE(B$2:B469)</f>
        <v>0.11768375050958489</v>
      </c>
      <c r="D469">
        <f ca="1">_xlfn.VAR.P(B$2:B469)</f>
        <v>1.8861293897975202</v>
      </c>
    </row>
    <row r="470" spans="1:4" x14ac:dyDescent="0.3">
      <c r="A470">
        <f t="shared" ca="1" si="14"/>
        <v>2.6765289514297907E-2</v>
      </c>
      <c r="B470">
        <f t="shared" ca="1" si="15"/>
        <v>2.9275022177364924</v>
      </c>
      <c r="C470">
        <f ca="1">AVERAGE(B$2:B470)</f>
        <v>0.12367483466145462</v>
      </c>
      <c r="D470">
        <f ca="1">_xlfn.VAR.P(B$2:B470)</f>
        <v>1.8989057577507893</v>
      </c>
    </row>
    <row r="471" spans="1:4" x14ac:dyDescent="0.3">
      <c r="A471">
        <f t="shared" ca="1" si="14"/>
        <v>0.86560628015822849</v>
      </c>
      <c r="B471">
        <f t="shared" ca="1" si="15"/>
        <v>-1.3138343987926715</v>
      </c>
      <c r="C471">
        <f ca="1">AVERAGE(B$2:B471)</f>
        <v>0.12061630437750968</v>
      </c>
      <c r="D471">
        <f ca="1">_xlfn.VAR.P(B$2:B471)</f>
        <v>1.8992528436507707</v>
      </c>
    </row>
    <row r="472" spans="1:4" x14ac:dyDescent="0.3">
      <c r="A472">
        <f t="shared" ca="1" si="14"/>
        <v>0.48927686267645365</v>
      </c>
      <c r="B472">
        <f t="shared" ca="1" si="15"/>
        <v>2.1679587825062047E-2</v>
      </c>
      <c r="C472">
        <f ca="1">AVERAGE(B$2:B472)</f>
        <v>0.12040624765446839</v>
      </c>
      <c r="D472">
        <f ca="1">_xlfn.VAR.P(B$2:B472)</f>
        <v>1.8952411978926154</v>
      </c>
    </row>
    <row r="473" spans="1:4" x14ac:dyDescent="0.3">
      <c r="A473">
        <f t="shared" ca="1" si="14"/>
        <v>0.2682977739661756</v>
      </c>
      <c r="B473">
        <f t="shared" ca="1" si="15"/>
        <v>0.62251063783391902</v>
      </c>
      <c r="C473">
        <f ca="1">AVERAGE(B$2:B473)</f>
        <v>0.12147002814213671</v>
      </c>
      <c r="D473">
        <f ca="1">_xlfn.VAR.P(B$2:B473)</f>
        <v>1.8917588535957761</v>
      </c>
    </row>
    <row r="474" spans="1:4" x14ac:dyDescent="0.3">
      <c r="A474">
        <f t="shared" ca="1" si="14"/>
        <v>0.72493201649952244</v>
      </c>
      <c r="B474">
        <f t="shared" ca="1" si="15"/>
        <v>-0.59758981857864268</v>
      </c>
      <c r="C474">
        <f ca="1">AVERAGE(B$2:B474)</f>
        <v>0.11994981704970378</v>
      </c>
      <c r="D474">
        <f ca="1">_xlfn.VAR.P(B$2:B474)</f>
        <v>1.8888501751323834</v>
      </c>
    </row>
    <row r="475" spans="1:4" x14ac:dyDescent="0.3">
      <c r="A475">
        <f t="shared" ca="1" si="14"/>
        <v>8.5366104366695339E-3</v>
      </c>
      <c r="B475">
        <f t="shared" ca="1" si="15"/>
        <v>4.0702440737803505</v>
      </c>
      <c r="C475">
        <f ca="1">AVERAGE(B$2:B475)</f>
        <v>0.12828377117782752</v>
      </c>
      <c r="D475">
        <f ca="1">_xlfn.VAR.P(B$2:B475)</f>
        <v>1.9177173754878656</v>
      </c>
    </row>
    <row r="476" spans="1:4" x14ac:dyDescent="0.3">
      <c r="A476">
        <f t="shared" ca="1" si="14"/>
        <v>0.18223839497743288</v>
      </c>
      <c r="B476">
        <f t="shared" ca="1" si="15"/>
        <v>1.0092924059535382</v>
      </c>
      <c r="C476">
        <f ca="1">AVERAGE(B$2:B476)</f>
        <v>0.13013852619840796</v>
      </c>
      <c r="D476">
        <f ca="1">_xlfn.VAR.P(B$2:B476)</f>
        <v>1.915310690822335</v>
      </c>
    </row>
    <row r="477" spans="1:4" x14ac:dyDescent="0.3">
      <c r="A477">
        <f t="shared" ca="1" si="14"/>
        <v>0.79150987975268239</v>
      </c>
      <c r="B477">
        <f t="shared" ca="1" si="15"/>
        <v>-0.87471644321098718</v>
      </c>
      <c r="C477">
        <f ca="1">AVERAGE(B$2:B477)</f>
        <v>0.12802748634670755</v>
      </c>
      <c r="D477">
        <f ca="1">_xlfn.VAR.P(B$2:B477)</f>
        <v>1.9134037612631727</v>
      </c>
    </row>
    <row r="478" spans="1:4" x14ac:dyDescent="0.3">
      <c r="A478">
        <f t="shared" ca="1" si="14"/>
        <v>0.52863419814914414</v>
      </c>
      <c r="B478">
        <f t="shared" ca="1" si="15"/>
        <v>-5.8973656476954225E-2</v>
      </c>
      <c r="C478">
        <f ca="1">AVERAGE(B$2:B478)</f>
        <v>0.12763545040787388</v>
      </c>
      <c r="D478">
        <f ca="1">_xlfn.VAR.P(B$2:B478)</f>
        <v>1.9094655900996205</v>
      </c>
    </row>
    <row r="479" spans="1:4" x14ac:dyDescent="0.3">
      <c r="A479">
        <f t="shared" ca="1" si="14"/>
        <v>0.33322493138885023</v>
      </c>
      <c r="B479">
        <f t="shared" ca="1" si="15"/>
        <v>0.40579036683249803</v>
      </c>
      <c r="C479">
        <f ca="1">AVERAGE(B$2:B479)</f>
        <v>0.12821736445897142</v>
      </c>
      <c r="D479">
        <f ca="1">_xlfn.VAR.P(B$2:B479)</f>
        <v>1.9056324158426696</v>
      </c>
    </row>
    <row r="480" spans="1:4" x14ac:dyDescent="0.3">
      <c r="A480">
        <f t="shared" ca="1" si="14"/>
        <v>2.0689157932205826E-2</v>
      </c>
      <c r="B480">
        <f t="shared" ca="1" si="15"/>
        <v>3.1849983067580414</v>
      </c>
      <c r="C480">
        <f ca="1">AVERAGE(B$2:B480)</f>
        <v>0.13459895306502376</v>
      </c>
      <c r="D480">
        <f ca="1">_xlfn.VAR.P(B$2:B480)</f>
        <v>1.9211204538279043</v>
      </c>
    </row>
    <row r="481" spans="1:4" x14ac:dyDescent="0.3">
      <c r="A481">
        <f t="shared" ca="1" si="14"/>
        <v>6.2290676187902849E-2</v>
      </c>
      <c r="B481">
        <f t="shared" ca="1" si="15"/>
        <v>2.0827963437341968</v>
      </c>
      <c r="C481">
        <f ca="1">AVERAGE(B$2:B481)</f>
        <v>0.13865769762891789</v>
      </c>
      <c r="D481">
        <f ca="1">_xlfn.VAR.P(B$2:B481)</f>
        <v>1.9250088817104325</v>
      </c>
    </row>
    <row r="482" spans="1:4" x14ac:dyDescent="0.3">
      <c r="A482">
        <f t="shared" ca="1" si="14"/>
        <v>0.51820765780995559</v>
      </c>
      <c r="B482">
        <f t="shared" ca="1" si="15"/>
        <v>-3.7094902535346641E-2</v>
      </c>
      <c r="C482">
        <f ca="1">AVERAGE(B$2:B482)</f>
        <v>0.13829230760778635</v>
      </c>
      <c r="D482">
        <f ca="1">_xlfn.VAR.P(B$2:B482)</f>
        <v>1.9210708689796789</v>
      </c>
    </row>
    <row r="483" spans="1:4" x14ac:dyDescent="0.3">
      <c r="A483">
        <f t="shared" ca="1" si="14"/>
        <v>0.18174520684756168</v>
      </c>
      <c r="B483">
        <f t="shared" ca="1" si="15"/>
        <v>1.0120023545843126</v>
      </c>
      <c r="C483">
        <f ca="1">AVERAGE(B$2:B483)</f>
        <v>0.14010498405379573</v>
      </c>
      <c r="D483">
        <f ca="1">_xlfn.VAR.P(B$2:B483)</f>
        <v>1.9186657125970761</v>
      </c>
    </row>
    <row r="484" spans="1:4" x14ac:dyDescent="0.3">
      <c r="A484">
        <f t="shared" ca="1" si="14"/>
        <v>0.42863229834620431</v>
      </c>
      <c r="B484">
        <f t="shared" ca="1" si="15"/>
        <v>0.15400866043801248</v>
      </c>
      <c r="C484">
        <f ca="1">AVERAGE(B$2:B484)</f>
        <v>0.14013377013326617</v>
      </c>
      <c r="D484">
        <f ca="1">_xlfn.VAR.P(B$2:B484)</f>
        <v>1.9146937192210669</v>
      </c>
    </row>
    <row r="485" spans="1:4" x14ac:dyDescent="0.3">
      <c r="A485">
        <f t="shared" ca="1" si="14"/>
        <v>0.5596149858243914</v>
      </c>
      <c r="B485">
        <f t="shared" ca="1" si="15"/>
        <v>-0.12695872191009777</v>
      </c>
      <c r="C485">
        <f ca="1">AVERAGE(B$2:B485)</f>
        <v>0.13958192614144102</v>
      </c>
      <c r="D485">
        <f ca="1">_xlfn.VAR.P(B$2:B485)</f>
        <v>1.91088482931755</v>
      </c>
    </row>
    <row r="486" spans="1:4" x14ac:dyDescent="0.3">
      <c r="A486">
        <f t="shared" ca="1" si="14"/>
        <v>0.58286909638021134</v>
      </c>
      <c r="B486">
        <f t="shared" ca="1" si="15"/>
        <v>-0.18120800833174627</v>
      </c>
      <c r="C486">
        <f ca="1">AVERAGE(B$2:B486)</f>
        <v>0.13892050359613548</v>
      </c>
      <c r="D486">
        <f ca="1">_xlfn.VAR.P(B$2:B486)</f>
        <v>1.9071566008124918</v>
      </c>
    </row>
    <row r="487" spans="1:4" x14ac:dyDescent="0.3">
      <c r="A487">
        <f t="shared" ca="1" si="14"/>
        <v>0.9204964635866697</v>
      </c>
      <c r="B487">
        <f t="shared" ca="1" si="15"/>
        <v>-1.8388065945647085</v>
      </c>
      <c r="C487">
        <f ca="1">AVERAGE(B$2:B487)</f>
        <v>0.13485110627481686</v>
      </c>
      <c r="D487">
        <f ca="1">_xlfn.VAR.P(B$2:B487)</f>
        <v>1.9112640076368366</v>
      </c>
    </row>
    <row r="488" spans="1:4" x14ac:dyDescent="0.3">
      <c r="A488">
        <f t="shared" ca="1" si="14"/>
        <v>0.61238355612351247</v>
      </c>
      <c r="B488">
        <f t="shared" ca="1" si="15"/>
        <v>-0.25459179444355068</v>
      </c>
      <c r="C488">
        <f ca="1">AVERAGE(B$2:B488)</f>
        <v>0.13405142886061075</v>
      </c>
      <c r="D488">
        <f ca="1">_xlfn.VAR.P(B$2:B488)</f>
        <v>1.9076502300939031</v>
      </c>
    </row>
    <row r="489" spans="1:4" x14ac:dyDescent="0.3">
      <c r="A489">
        <f t="shared" ca="1" si="14"/>
        <v>0.24192859462546779</v>
      </c>
      <c r="B489">
        <f t="shared" ca="1" si="15"/>
        <v>0.72596547933643873</v>
      </c>
      <c r="C489">
        <f ca="1">AVERAGE(B$2:B489)</f>
        <v>0.13526436748863499</v>
      </c>
      <c r="D489">
        <f ca="1">_xlfn.VAR.P(B$2:B489)</f>
        <v>1.9044575949661171</v>
      </c>
    </row>
    <row r="490" spans="1:4" x14ac:dyDescent="0.3">
      <c r="A490">
        <f t="shared" ca="1" si="14"/>
        <v>0.33680209601124422</v>
      </c>
      <c r="B490">
        <f t="shared" ca="1" si="15"/>
        <v>0.3951125927620896</v>
      </c>
      <c r="C490">
        <f ca="1">AVERAGE(B$2:B490)</f>
        <v>0.13579575445238437</v>
      </c>
      <c r="D490">
        <f ca="1">_xlfn.VAR.P(B$2:B490)</f>
        <v>1.9007007962447513</v>
      </c>
    </row>
    <row r="491" spans="1:4" x14ac:dyDescent="0.3">
      <c r="A491">
        <f t="shared" ca="1" si="14"/>
        <v>0.80141372760805318</v>
      </c>
      <c r="B491">
        <f t="shared" ca="1" si="15"/>
        <v>-0.92338447109366828</v>
      </c>
      <c r="C491">
        <f ca="1">AVERAGE(B$2:B491)</f>
        <v>0.13363416215535162</v>
      </c>
      <c r="D491">
        <f ca="1">_xlfn.VAR.P(B$2:B491)</f>
        <v>1.8991066583633767</v>
      </c>
    </row>
    <row r="492" spans="1:4" x14ac:dyDescent="0.3">
      <c r="A492">
        <f t="shared" ca="1" si="14"/>
        <v>0.92645757408354923</v>
      </c>
      <c r="B492">
        <f t="shared" ca="1" si="15"/>
        <v>-1.9167456353796488</v>
      </c>
      <c r="C492">
        <f ca="1">AVERAGE(B$2:B492)</f>
        <v>0.12945823588745956</v>
      </c>
      <c r="D492">
        <f ca="1">_xlfn.VAR.P(B$2:B492)</f>
        <v>1.9037836205241112</v>
      </c>
    </row>
    <row r="493" spans="1:4" x14ac:dyDescent="0.3">
      <c r="A493">
        <f t="shared" ca="1" si="14"/>
        <v>0.28772300172319354</v>
      </c>
      <c r="B493">
        <f t="shared" ca="1" si="15"/>
        <v>0.5526098806844868</v>
      </c>
      <c r="C493">
        <f ca="1">AVERAGE(B$2:B493)</f>
        <v>0.13031830020615273</v>
      </c>
      <c r="D493">
        <f ca="1">_xlfn.VAR.P(B$2:B493)</f>
        <v>1.9002773395410608</v>
      </c>
    </row>
    <row r="494" spans="1:4" x14ac:dyDescent="0.3">
      <c r="A494">
        <f t="shared" ca="1" si="14"/>
        <v>0.49820464260672759</v>
      </c>
      <c r="B494">
        <f t="shared" ca="1" si="15"/>
        <v>3.5971768765363228E-3</v>
      </c>
      <c r="C494">
        <f ca="1">AVERAGE(B$2:B494)</f>
        <v>0.13006125938803992</v>
      </c>
      <c r="D494">
        <f ca="1">_xlfn.VAR.P(B$2:B494)</f>
        <v>1.8964553280421879</v>
      </c>
    </row>
    <row r="495" spans="1:4" x14ac:dyDescent="0.3">
      <c r="A495">
        <f t="shared" ca="1" si="14"/>
        <v>0.50629131186483689</v>
      </c>
      <c r="B495">
        <f t="shared" ca="1" si="15"/>
        <v>-1.2662455307025982E-2</v>
      </c>
      <c r="C495">
        <f ca="1">AVERAGE(B$2:B495)</f>
        <v>0.12977234498582318</v>
      </c>
      <c r="D495">
        <f ca="1">_xlfn.VAR.P(B$2:B495)</f>
        <v>1.8926575011105227</v>
      </c>
    </row>
    <row r="496" spans="1:4" x14ac:dyDescent="0.3">
      <c r="A496">
        <f t="shared" ca="1" si="14"/>
        <v>0.28114014416143829</v>
      </c>
      <c r="B496">
        <f t="shared" ca="1" si="15"/>
        <v>0.57575481974414877</v>
      </c>
      <c r="C496">
        <f ca="1">AVERAGE(B$2:B496)</f>
        <v>0.13067331968230464</v>
      </c>
      <c r="D496">
        <f ca="1">_xlfn.VAR.P(B$2:B496)</f>
        <v>1.8892349577726566</v>
      </c>
    </row>
    <row r="497" spans="1:4" x14ac:dyDescent="0.3">
      <c r="A497">
        <f t="shared" ca="1" si="14"/>
        <v>0.88298374289674375</v>
      </c>
      <c r="B497">
        <f t="shared" ca="1" si="15"/>
        <v>-1.4522952236765565</v>
      </c>
      <c r="C497">
        <f ca="1">AVERAGE(B$2:B497)</f>
        <v>0.12748185084488758</v>
      </c>
      <c r="D497">
        <f ca="1">_xlfn.VAR.P(B$2:B497)</f>
        <v>1.8904678256289353</v>
      </c>
    </row>
    <row r="498" spans="1:4" x14ac:dyDescent="0.3">
      <c r="A498">
        <f t="shared" ca="1" si="14"/>
        <v>0.60843213558160847</v>
      </c>
      <c r="B498">
        <f t="shared" ca="1" si="15"/>
        <v>-0.24444925339464096</v>
      </c>
      <c r="C498">
        <f ca="1">AVERAGE(B$2:B498)</f>
        <v>0.12673349852247406</v>
      </c>
      <c r="D498">
        <f ca="1">_xlfn.VAR.P(B$2:B498)</f>
        <v>1.8869418429029117</v>
      </c>
    </row>
    <row r="499" spans="1:4" x14ac:dyDescent="0.3">
      <c r="A499">
        <f t="shared" ca="1" si="14"/>
        <v>0.39126250621317749</v>
      </c>
      <c r="B499">
        <f t="shared" ca="1" si="15"/>
        <v>0.24522939231657592</v>
      </c>
      <c r="C499">
        <f ca="1">AVERAGE(B$2:B499)</f>
        <v>0.1269714420843096</v>
      </c>
      <c r="D499">
        <f ca="1">_xlfn.VAR.P(B$2:B499)</f>
        <v>1.8831809417756189</v>
      </c>
    </row>
    <row r="500" spans="1:4" x14ac:dyDescent="0.3">
      <c r="A500">
        <f t="shared" ca="1" si="14"/>
        <v>0.14997177766398306</v>
      </c>
      <c r="B500">
        <f t="shared" ca="1" si="15"/>
        <v>1.2041609709349417</v>
      </c>
      <c r="C500">
        <f ca="1">AVERAGE(B$2:B500)</f>
        <v>0.12913013853491206</v>
      </c>
      <c r="D500">
        <f ca="1">_xlfn.VAR.P(B$2:B500)</f>
        <v>1.8817276973148522</v>
      </c>
    </row>
    <row r="501" spans="1:4" x14ac:dyDescent="0.3">
      <c r="A501">
        <f t="shared" ca="1" si="14"/>
        <v>0.66124388013036173</v>
      </c>
      <c r="B501">
        <f t="shared" ca="1" si="15"/>
        <v>-0.38932766035563743</v>
      </c>
      <c r="C501">
        <f ca="1">AVERAGE(B$2:B501)</f>
        <v>0.12809322293713096</v>
      </c>
      <c r="D501">
        <f ca="1">_xlfn.VAR.P(B$2:B501)</f>
        <v>1.8785007637047262</v>
      </c>
    </row>
    <row r="502" spans="1:4" x14ac:dyDescent="0.3">
      <c r="A502">
        <f t="shared" ca="1" si="14"/>
        <v>0.89960282424209148</v>
      </c>
      <c r="B502">
        <f t="shared" ca="1" si="15"/>
        <v>-1.6054740214615255</v>
      </c>
      <c r="C502">
        <f ca="1">AVERAGE(B$2:B502)</f>
        <v>0.12463300887645501</v>
      </c>
      <c r="D502">
        <f ca="1">_xlfn.VAR.P(B$2:B502)</f>
        <v>1.8807378018552114</v>
      </c>
    </row>
    <row r="503" spans="1:4" x14ac:dyDescent="0.3">
      <c r="A503">
        <f t="shared" ca="1" si="14"/>
        <v>2.081161184510627E-3</v>
      </c>
      <c r="B503">
        <f t="shared" ca="1" si="15"/>
        <v>5.4816820986951482</v>
      </c>
      <c r="C503">
        <f ca="1">AVERAGE(B$2:B503)</f>
        <v>0.13530442140597435</v>
      </c>
      <c r="D503">
        <f ca="1">_xlfn.VAR.P(B$2:B503)</f>
        <v>1.9340447139430472</v>
      </c>
    </row>
    <row r="504" spans="1:4" x14ac:dyDescent="0.3">
      <c r="A504">
        <f t="shared" ca="1" si="14"/>
        <v>0.1256893461121823</v>
      </c>
      <c r="B504">
        <f t="shared" ca="1" si="15"/>
        <v>1.3807947428843523</v>
      </c>
      <c r="C504">
        <f ca="1">AVERAGE(B$2:B504)</f>
        <v>0.13778054530553371</v>
      </c>
      <c r="D504">
        <f ca="1">_xlfn.VAR.P(B$2:B504)</f>
        <v>1.93327755179315</v>
      </c>
    </row>
    <row r="505" spans="1:4" x14ac:dyDescent="0.3">
      <c r="A505">
        <f t="shared" ca="1" si="14"/>
        <v>0.54097799901975641</v>
      </c>
      <c r="B505">
        <f t="shared" ca="1" si="15"/>
        <v>-8.5509957091536914E-2</v>
      </c>
      <c r="C505">
        <f ca="1">AVERAGE(B$2:B505)</f>
        <v>0.13733750859442845</v>
      </c>
      <c r="D505">
        <f ca="1">_xlfn.VAR.P(B$2:B505)</f>
        <v>1.929540413243106</v>
      </c>
    </row>
    <row r="506" spans="1:4" x14ac:dyDescent="0.3">
      <c r="A506">
        <f t="shared" ca="1" si="14"/>
        <v>0.95368314364656193</v>
      </c>
      <c r="B506">
        <f t="shared" ca="1" si="15"/>
        <v>-2.3791021354779027</v>
      </c>
      <c r="C506">
        <f ca="1">AVERAGE(B$2:B506)</f>
        <v>0.1323544597942852</v>
      </c>
      <c r="D506">
        <f ca="1">_xlfn.VAR.P(B$2:B506)</f>
        <v>1.9382342519113569</v>
      </c>
    </row>
    <row r="507" spans="1:4" x14ac:dyDescent="0.3">
      <c r="A507">
        <f t="shared" ca="1" si="14"/>
        <v>0.68604465177071916</v>
      </c>
      <c r="B507">
        <f t="shared" ca="1" si="15"/>
        <v>-0.46535732571721894</v>
      </c>
      <c r="C507">
        <f ca="1">AVERAGE(B$2:B507)</f>
        <v>0.13117321120631778</v>
      </c>
      <c r="D507">
        <f ca="1">_xlfn.VAR.P(B$2:B507)</f>
        <v>1.9351084002916441</v>
      </c>
    </row>
    <row r="508" spans="1:4" x14ac:dyDescent="0.3">
      <c r="A508">
        <f t="shared" ca="1" si="14"/>
        <v>0.89926787783727313</v>
      </c>
      <c r="B508">
        <f t="shared" ca="1" si="15"/>
        <v>-1.6021433608574314</v>
      </c>
      <c r="C508">
        <f ca="1">AVERAGE(B$2:B508)</f>
        <v>0.12775444084721771</v>
      </c>
      <c r="D508">
        <f ca="1">_xlfn.VAR.P(B$2:B508)</f>
        <v>1.9372057417657658</v>
      </c>
    </row>
    <row r="509" spans="1:4" x14ac:dyDescent="0.3">
      <c r="A509">
        <f t="shared" ca="1" si="14"/>
        <v>0.38952395602033463</v>
      </c>
      <c r="B509">
        <f t="shared" ca="1" si="15"/>
        <v>0.24968273045756911</v>
      </c>
      <c r="C509">
        <f ca="1">AVERAGE(B$2:B509)</f>
        <v>0.1279944571653483</v>
      </c>
      <c r="D509">
        <f ca="1">_xlfn.VAR.P(B$2:B509)</f>
        <v>1.9334215518076205</v>
      </c>
    </row>
    <row r="510" spans="1:4" x14ac:dyDescent="0.3">
      <c r="A510">
        <f t="shared" ca="1" si="14"/>
        <v>0.95028406997697246</v>
      </c>
      <c r="B510">
        <f t="shared" ca="1" si="15"/>
        <v>-2.3082826930741609</v>
      </c>
      <c r="C510">
        <f ca="1">AVERAGE(B$2:B510)</f>
        <v>0.1232080580489642</v>
      </c>
      <c r="D510">
        <f ca="1">_xlfn.VAR.P(B$2:B510)</f>
        <v>1.9412611663580577</v>
      </c>
    </row>
    <row r="511" spans="1:4" x14ac:dyDescent="0.3">
      <c r="A511">
        <f t="shared" ca="1" si="14"/>
        <v>0.18626850069150336</v>
      </c>
      <c r="B511">
        <f t="shared" ca="1" si="15"/>
        <v>0.98741891352384592</v>
      </c>
      <c r="C511">
        <f ca="1">AVERAGE(B$2:B511)</f>
        <v>0.12490258913813064</v>
      </c>
      <c r="D511">
        <f ca="1">_xlfn.VAR.P(B$2:B511)</f>
        <v>1.9389163326408032</v>
      </c>
    </row>
    <row r="512" spans="1:4" x14ac:dyDescent="0.3">
      <c r="A512">
        <f t="shared" ca="1" si="14"/>
        <v>0.75560641029923481</v>
      </c>
      <c r="B512">
        <f t="shared" ca="1" si="15"/>
        <v>-0.71582810018900378</v>
      </c>
      <c r="C512">
        <f ca="1">AVERAGE(B$2:B512)</f>
        <v>0.12325732360128694</v>
      </c>
      <c r="D512">
        <f ca="1">_xlfn.VAR.P(B$2:B512)</f>
        <v>1.9365024941556892</v>
      </c>
    </row>
    <row r="513" spans="1:4" x14ac:dyDescent="0.3">
      <c r="A513">
        <f t="shared" ca="1" si="14"/>
        <v>0.40822776986547982</v>
      </c>
      <c r="B513">
        <f t="shared" ca="1" si="15"/>
        <v>0.20278282031266481</v>
      </c>
      <c r="C513">
        <f ca="1">AVERAGE(B$2:B513)</f>
        <v>0.12341264683705135</v>
      </c>
      <c r="D513">
        <f ca="1">_xlfn.VAR.P(B$2:B513)</f>
        <v>1.9327325907539588</v>
      </c>
    </row>
    <row r="514" spans="1:4" x14ac:dyDescent="0.3">
      <c r="A514">
        <f t="shared" ca="1" si="14"/>
        <v>0.39947347380961973</v>
      </c>
      <c r="B514">
        <f t="shared" ca="1" si="15"/>
        <v>0.22446073389438187</v>
      </c>
      <c r="C514">
        <f ca="1">AVERAGE(B$2:B514)</f>
        <v>0.12360962166562314</v>
      </c>
      <c r="D514">
        <f ca="1">_xlfn.VAR.P(B$2:B514)</f>
        <v>1.9289849459610044</v>
      </c>
    </row>
    <row r="515" spans="1:4" x14ac:dyDescent="0.3">
      <c r="A515">
        <f t="shared" ref="A515:A578" ca="1" si="16">RAND()</f>
        <v>0.290207923930631</v>
      </c>
      <c r="B515">
        <f t="shared" ref="B515:B578" ca="1" si="17">-SIGN(0.5-A515)*LN(1-2*ABS(0.5-A515))*$F$1</f>
        <v>0.54401045327723441</v>
      </c>
      <c r="C515">
        <f ca="1">AVERAGE(B$2:B515)</f>
        <v>0.12442752211622939</v>
      </c>
      <c r="D515">
        <f ca="1">_xlfn.VAR.P(B$2:B515)</f>
        <v>1.9255752340295433</v>
      </c>
    </row>
    <row r="516" spans="1:4" x14ac:dyDescent="0.3">
      <c r="A516">
        <f t="shared" ca="1" si="16"/>
        <v>0.62853614907504629</v>
      </c>
      <c r="B516">
        <f t="shared" ca="1" si="17"/>
        <v>-0.29715654471906505</v>
      </c>
      <c r="C516">
        <f ca="1">AVERAGE(B$2:B516)</f>
        <v>0.12360891227771424</v>
      </c>
      <c r="D516">
        <f ca="1">_xlfn.VAR.P(B$2:B516)</f>
        <v>1.9221806957353977</v>
      </c>
    </row>
    <row r="517" spans="1:4" x14ac:dyDescent="0.3">
      <c r="A517">
        <f t="shared" ca="1" si="16"/>
        <v>0.27394939036526844</v>
      </c>
      <c r="B517">
        <f t="shared" ca="1" si="17"/>
        <v>0.60166471579060465</v>
      </c>
      <c r="C517">
        <f ca="1">AVERAGE(B$2:B517)</f>
        <v>0.12453537701320434</v>
      </c>
      <c r="D517">
        <f ca="1">_xlfn.VAR.P(B$2:B517)</f>
        <v>1.9188975828549586</v>
      </c>
    </row>
    <row r="518" spans="1:4" x14ac:dyDescent="0.3">
      <c r="A518">
        <f t="shared" ca="1" si="16"/>
        <v>0.21187339967382979</v>
      </c>
      <c r="B518">
        <f t="shared" ca="1" si="17"/>
        <v>0.85861917347786765</v>
      </c>
      <c r="C518">
        <f ca="1">AVERAGE(B$2:B518)</f>
        <v>0.12595526830230427</v>
      </c>
      <c r="D518">
        <f ca="1">_xlfn.VAR.P(B$2:B518)</f>
        <v>1.9162262852112233</v>
      </c>
    </row>
    <row r="519" spans="1:4" x14ac:dyDescent="0.3">
      <c r="A519">
        <f t="shared" ca="1" si="16"/>
        <v>0.15757030610678902</v>
      </c>
      <c r="B519">
        <f t="shared" ca="1" si="17"/>
        <v>1.154736351778366</v>
      </c>
      <c r="C519">
        <f ca="1">AVERAGE(B$2:B519)</f>
        <v>0.12794133217001868</v>
      </c>
      <c r="D519">
        <f ca="1">_xlfn.VAR.P(B$2:B519)</f>
        <v>1.914566287156338</v>
      </c>
    </row>
    <row r="520" spans="1:4" x14ac:dyDescent="0.3">
      <c r="A520">
        <f t="shared" ca="1" si="16"/>
        <v>5.7391004086850828E-3</v>
      </c>
      <c r="B520">
        <f t="shared" ca="1" si="17"/>
        <v>4.4673056235986799</v>
      </c>
      <c r="C520">
        <f ca="1">AVERAGE(B$2:B520)</f>
        <v>0.13630234236544961</v>
      </c>
      <c r="D520">
        <f ca="1">_xlfn.VAR.P(B$2:B520)</f>
        <v>1.9470888973634428</v>
      </c>
    </row>
    <row r="521" spans="1:4" x14ac:dyDescent="0.3">
      <c r="A521">
        <f t="shared" ca="1" si="16"/>
        <v>0.26305721495483236</v>
      </c>
      <c r="B521">
        <f t="shared" ca="1" si="17"/>
        <v>0.64223654254764495</v>
      </c>
      <c r="C521">
        <f ca="1">AVERAGE(B$2:B521)</f>
        <v>0.13727529275041539</v>
      </c>
      <c r="D521">
        <f ca="1">_xlfn.VAR.P(B$2:B521)</f>
        <v>1.9438357978801268</v>
      </c>
    </row>
    <row r="522" spans="1:4" x14ac:dyDescent="0.3">
      <c r="A522">
        <f t="shared" ca="1" si="16"/>
        <v>0.31808391687031778</v>
      </c>
      <c r="B522">
        <f t="shared" ca="1" si="17"/>
        <v>0.45229286092543119</v>
      </c>
      <c r="C522">
        <f ca="1">AVERAGE(B$2:B522)</f>
        <v>0.13787993299643267</v>
      </c>
      <c r="D522">
        <f ca="1">_xlfn.VAR.P(B$2:B522)</f>
        <v>1.9402949337689535</v>
      </c>
    </row>
    <row r="523" spans="1:4" x14ac:dyDescent="0.3">
      <c r="A523">
        <f t="shared" ca="1" si="16"/>
        <v>0.20292572507810658</v>
      </c>
      <c r="B523">
        <f t="shared" ca="1" si="17"/>
        <v>0.90176807264787984</v>
      </c>
      <c r="C523">
        <f ca="1">AVERAGE(B$2:B523)</f>
        <v>0.13934332023714427</v>
      </c>
      <c r="D523">
        <f ca="1">_xlfn.VAR.P(B$2:B523)</f>
        <v>1.9376936163206289</v>
      </c>
    </row>
    <row r="524" spans="1:4" x14ac:dyDescent="0.3">
      <c r="A524">
        <f t="shared" ca="1" si="16"/>
        <v>0.84975182202717303</v>
      </c>
      <c r="B524">
        <f t="shared" ca="1" si="17"/>
        <v>-1.2023196517171619</v>
      </c>
      <c r="C524">
        <f ca="1">AVERAGE(B$2:B524)</f>
        <v>0.13677799906705956</v>
      </c>
      <c r="D524">
        <f ca="1">_xlfn.VAR.P(B$2:B524)</f>
        <v>1.9374238727595723</v>
      </c>
    </row>
    <row r="525" spans="1:4" x14ac:dyDescent="0.3">
      <c r="A525">
        <f t="shared" ca="1" si="16"/>
        <v>0.33963211473737454</v>
      </c>
      <c r="B525">
        <f t="shared" ca="1" si="17"/>
        <v>0.38674508209164471</v>
      </c>
      <c r="C525">
        <f ca="1">AVERAGE(B$2:B525)</f>
        <v>0.13725503548504542</v>
      </c>
      <c r="D525">
        <f ca="1">_xlfn.VAR.P(B$2:B525)</f>
        <v>1.9338455147947522</v>
      </c>
    </row>
    <row r="526" spans="1:4" x14ac:dyDescent="0.3">
      <c r="A526">
        <f t="shared" ca="1" si="16"/>
        <v>0.45255280161304023</v>
      </c>
      <c r="B526">
        <f t="shared" ca="1" si="17"/>
        <v>9.9703653442198864E-2</v>
      </c>
      <c r="C526">
        <f ca="1">AVERAGE(B$2:B526)</f>
        <v>0.13718350904305904</v>
      </c>
      <c r="D526">
        <f ca="1">_xlfn.VAR.P(B$2:B526)</f>
        <v>1.9301646803291936</v>
      </c>
    </row>
    <row r="527" spans="1:4" x14ac:dyDescent="0.3">
      <c r="A527">
        <f t="shared" ca="1" si="16"/>
        <v>0.4629515392555299</v>
      </c>
      <c r="B527">
        <f t="shared" ca="1" si="17"/>
        <v>7.6985716648621694E-2</v>
      </c>
      <c r="C527">
        <f ca="1">AVERAGE(B$2:B527)</f>
        <v>0.13706906457082627</v>
      </c>
      <c r="D527">
        <f ca="1">_xlfn.VAR.P(B$2:B527)</f>
        <v>1.9265020419348504</v>
      </c>
    </row>
    <row r="528" spans="1:4" x14ac:dyDescent="0.3">
      <c r="A528">
        <f t="shared" ca="1" si="16"/>
        <v>8.2643386699303045E-2</v>
      </c>
      <c r="B528">
        <f t="shared" ca="1" si="17"/>
        <v>1.8000732930939987</v>
      </c>
      <c r="C528">
        <f ca="1">AVERAGE(B$2:B528)</f>
        <v>0.14022467031754957</v>
      </c>
      <c r="D528">
        <f ca="1">_xlfn.VAR.P(B$2:B528)</f>
        <v>1.928084268189975</v>
      </c>
    </row>
    <row r="529" spans="1:4" x14ac:dyDescent="0.3">
      <c r="A529">
        <f t="shared" ca="1" si="16"/>
        <v>0.27536949611384776</v>
      </c>
      <c r="B529">
        <f t="shared" ca="1" si="17"/>
        <v>0.59649428037605579</v>
      </c>
      <c r="C529">
        <f ca="1">AVERAGE(B$2:B529)</f>
        <v>0.14108881730629674</v>
      </c>
      <c r="D529">
        <f ca="1">_xlfn.VAR.P(B$2:B529)</f>
        <v>1.9248261306991858</v>
      </c>
    </row>
    <row r="530" spans="1:4" x14ac:dyDescent="0.3">
      <c r="A530">
        <f t="shared" ca="1" si="16"/>
        <v>4.5422449994128034E-2</v>
      </c>
      <c r="B530">
        <f t="shared" ca="1" si="17"/>
        <v>2.3986016223336608</v>
      </c>
      <c r="C530">
        <f ca="1">AVERAGE(B$2:B530)</f>
        <v>0.14535632733470383</v>
      </c>
      <c r="D530">
        <f ca="1">_xlfn.VAR.P(B$2:B530)</f>
        <v>1.9308032648686164</v>
      </c>
    </row>
    <row r="531" spans="1:4" x14ac:dyDescent="0.3">
      <c r="A531">
        <f t="shared" ca="1" si="16"/>
        <v>0.57773017885874678</v>
      </c>
      <c r="B531">
        <f t="shared" ca="1" si="17"/>
        <v>-0.16896360211605008</v>
      </c>
      <c r="C531">
        <f ca="1">AVERAGE(B$2:B531)</f>
        <v>0.14476327086404203</v>
      </c>
      <c r="D531">
        <f ca="1">_xlfn.VAR.P(B$2:B531)</f>
        <v>1.9273462975926039</v>
      </c>
    </row>
    <row r="532" spans="1:4" x14ac:dyDescent="0.3">
      <c r="A532">
        <f t="shared" ca="1" si="16"/>
        <v>1.0634344938187379E-3</v>
      </c>
      <c r="B532">
        <f t="shared" ca="1" si="17"/>
        <v>6.1531043395658882</v>
      </c>
      <c r="C532">
        <f ca="1">AVERAGE(B$2:B532)</f>
        <v>0.15607841411960108</v>
      </c>
      <c r="D532">
        <f ca="1">_xlfn.VAR.P(B$2:B532)</f>
        <v>1.9915738510018994</v>
      </c>
    </row>
    <row r="533" spans="1:4" x14ac:dyDescent="0.3">
      <c r="A533">
        <f t="shared" ca="1" si="16"/>
        <v>0.31056262969975346</v>
      </c>
      <c r="B533">
        <f t="shared" ca="1" si="17"/>
        <v>0.47622251143123179</v>
      </c>
      <c r="C533">
        <f ca="1">AVERAGE(B$2:B533)</f>
        <v>0.1566801887386079</v>
      </c>
      <c r="D533">
        <f ca="1">_xlfn.VAR.P(B$2:B533)</f>
        <v>1.9880225835910903</v>
      </c>
    </row>
    <row r="534" spans="1:4" x14ac:dyDescent="0.3">
      <c r="A534">
        <f t="shared" ca="1" si="16"/>
        <v>0.70690236327622036</v>
      </c>
      <c r="B534">
        <f t="shared" ca="1" si="17"/>
        <v>-0.53410231377510964</v>
      </c>
      <c r="C534">
        <f ca="1">AVERAGE(B$2:B534)</f>
        <v>0.15538416152938891</v>
      </c>
      <c r="D534">
        <f ca="1">_xlfn.VAR.P(B$2:B534)</f>
        <v>1.9851863033082933</v>
      </c>
    </row>
    <row r="535" spans="1:4" x14ac:dyDescent="0.3">
      <c r="A535">
        <f t="shared" ca="1" si="16"/>
        <v>0.99318067584315239</v>
      </c>
      <c r="B535">
        <f t="shared" ca="1" si="17"/>
        <v>-4.2948477287136981</v>
      </c>
      <c r="C535">
        <f ca="1">AVERAGE(B$2:B535)</f>
        <v>0.14705039394466404</v>
      </c>
      <c r="D535">
        <f ca="1">_xlfn.VAR.P(B$2:B535)</f>
        <v>2.0184864725505345</v>
      </c>
    </row>
    <row r="536" spans="1:4" x14ac:dyDescent="0.3">
      <c r="A536">
        <f t="shared" ca="1" si="16"/>
        <v>0.20302462496123352</v>
      </c>
      <c r="B536">
        <f t="shared" ca="1" si="17"/>
        <v>0.90128082150953726</v>
      </c>
      <c r="C536">
        <f ca="1">AVERAGE(B$2:B536)</f>
        <v>0.14846017044478529</v>
      </c>
      <c r="D536">
        <f ca="1">_xlfn.VAR.P(B$2:B536)</f>
        <v>2.0157749095019017</v>
      </c>
    </row>
    <row r="537" spans="1:4" x14ac:dyDescent="0.3">
      <c r="A537">
        <f t="shared" ca="1" si="16"/>
        <v>0.13620416858792106</v>
      </c>
      <c r="B537">
        <f t="shared" ca="1" si="17"/>
        <v>1.3004530988027438</v>
      </c>
      <c r="C537">
        <f ca="1">AVERAGE(B$2:B537)</f>
        <v>0.15060941098276656</v>
      </c>
      <c r="D537">
        <f ca="1">_xlfn.VAR.P(B$2:B537)</f>
        <v>2.014485426083215</v>
      </c>
    </row>
    <row r="538" spans="1:4" x14ac:dyDescent="0.3">
      <c r="A538">
        <f t="shared" ca="1" si="16"/>
        <v>0.10940476262336651</v>
      </c>
      <c r="B538">
        <f t="shared" ca="1" si="17"/>
        <v>1.5195536753474606</v>
      </c>
      <c r="C538">
        <f ca="1">AVERAGE(B$2:B538)</f>
        <v>0.15315865542292428</v>
      </c>
      <c r="D538">
        <f ca="1">_xlfn.VAR.P(B$2:B538)</f>
        <v>2.014217331482282</v>
      </c>
    </row>
    <row r="539" spans="1:4" x14ac:dyDescent="0.3">
      <c r="A539">
        <f t="shared" ca="1" si="16"/>
        <v>0.6080193325799047</v>
      </c>
      <c r="B539">
        <f t="shared" ca="1" si="17"/>
        <v>-0.24339557765377151</v>
      </c>
      <c r="C539">
        <f ca="1">AVERAGE(B$2:B539)</f>
        <v>0.15242156577036536</v>
      </c>
      <c r="D539">
        <f ca="1">_xlfn.VAR.P(B$2:B539)</f>
        <v>2.0107651858173505</v>
      </c>
    </row>
    <row r="540" spans="1:4" x14ac:dyDescent="0.3">
      <c r="A540">
        <f t="shared" ca="1" si="16"/>
        <v>0.73128350939830566</v>
      </c>
      <c r="B540">
        <f t="shared" ca="1" si="17"/>
        <v>-0.62095121288751165</v>
      </c>
      <c r="C540">
        <f ca="1">AVERAGE(B$2:B540)</f>
        <v>0.15098673686747507</v>
      </c>
      <c r="D540">
        <f ca="1">_xlfn.VAR.P(B$2:B540)</f>
        <v>2.0081422370443192</v>
      </c>
    </row>
    <row r="541" spans="1:4" x14ac:dyDescent="0.3">
      <c r="A541">
        <f t="shared" ca="1" si="16"/>
        <v>0.45784870298371516</v>
      </c>
      <c r="B541">
        <f t="shared" ca="1" si="17"/>
        <v>8.8069311713535145E-2</v>
      </c>
      <c r="C541">
        <f ca="1">AVERAGE(B$2:B541)</f>
        <v>0.15087022311719001</v>
      </c>
      <c r="D541">
        <f ca="1">_xlfn.VAR.P(B$2:B541)</f>
        <v>2.0044307722935755</v>
      </c>
    </row>
    <row r="542" spans="1:4" x14ac:dyDescent="0.3">
      <c r="A542">
        <f t="shared" ca="1" si="16"/>
        <v>0.30357084873083795</v>
      </c>
      <c r="B542">
        <f t="shared" ca="1" si="17"/>
        <v>0.49899307618393407</v>
      </c>
      <c r="C542">
        <f ca="1">AVERAGE(B$2:B542)</f>
        <v>0.15151370343709158</v>
      </c>
      <c r="D542">
        <f ca="1">_xlfn.VAR.P(B$2:B542)</f>
        <v>2.0009493207932594</v>
      </c>
    </row>
    <row r="543" spans="1:4" x14ac:dyDescent="0.3">
      <c r="A543">
        <f t="shared" ca="1" si="16"/>
        <v>0.88881654825034817</v>
      </c>
      <c r="B543">
        <f t="shared" ca="1" si="17"/>
        <v>-1.5034265428807632</v>
      </c>
      <c r="C543">
        <f ca="1">AVERAGE(B$2:B543)</f>
        <v>0.14846030814868225</v>
      </c>
      <c r="D543">
        <f ca="1">_xlfn.VAR.P(B$2:B543)</f>
        <v>2.00230139590643</v>
      </c>
    </row>
    <row r="544" spans="1:4" x14ac:dyDescent="0.3">
      <c r="A544">
        <f t="shared" ca="1" si="16"/>
        <v>0.12869726615592569</v>
      </c>
      <c r="B544">
        <f t="shared" ca="1" si="17"/>
        <v>1.3571452260354244</v>
      </c>
      <c r="C544">
        <f ca="1">AVERAGE(B$2:B544)</f>
        <v>0.15068624722398014</v>
      </c>
      <c r="D544">
        <f ca="1">_xlfn.VAR.P(B$2:B544)</f>
        <v>2.0012994205396382</v>
      </c>
    </row>
    <row r="545" spans="1:4" x14ac:dyDescent="0.3">
      <c r="A545">
        <f t="shared" ca="1" si="16"/>
        <v>0.25657302210421173</v>
      </c>
      <c r="B545">
        <f t="shared" ca="1" si="17"/>
        <v>0.66719478776077101</v>
      </c>
      <c r="C545">
        <f ca="1">AVERAGE(B$2:B545)</f>
        <v>0.15163571145290808</v>
      </c>
      <c r="D545">
        <f ca="1">_xlfn.VAR.P(B$2:B545)</f>
        <v>1.9981100662115585</v>
      </c>
    </row>
    <row r="546" spans="1:4" x14ac:dyDescent="0.3">
      <c r="A546">
        <f t="shared" ca="1" si="16"/>
        <v>0.37283268317500629</v>
      </c>
      <c r="B546">
        <f t="shared" ca="1" si="17"/>
        <v>0.29347834999264444</v>
      </c>
      <c r="C546">
        <f ca="1">AVERAGE(B$2:B546)</f>
        <v>0.15189597317499931</v>
      </c>
      <c r="D546">
        <f ca="1">_xlfn.VAR.P(B$2:B546)</f>
        <v>1.9944806576825438</v>
      </c>
    </row>
    <row r="547" spans="1:4" x14ac:dyDescent="0.3">
      <c r="A547">
        <f t="shared" ca="1" si="16"/>
        <v>0.85081143333769582</v>
      </c>
      <c r="B547">
        <f t="shared" ca="1" si="17"/>
        <v>-1.2093970445385365</v>
      </c>
      <c r="C547">
        <f ca="1">AVERAGE(B$2:B547)</f>
        <v>0.14940276251984633</v>
      </c>
      <c r="D547">
        <f ca="1">_xlfn.VAR.P(B$2:B547)</f>
        <v>1.9942155368622809</v>
      </c>
    </row>
    <row r="548" spans="1:4" x14ac:dyDescent="0.3">
      <c r="A548">
        <f t="shared" ca="1" si="16"/>
        <v>0.71272750645480443</v>
      </c>
      <c r="B548">
        <f t="shared" ca="1" si="17"/>
        <v>-0.55417687824843187</v>
      </c>
      <c r="C548">
        <f ca="1">AVERAGE(B$2:B548)</f>
        <v>0.14811651089138514</v>
      </c>
      <c r="D548">
        <f ca="1">_xlfn.VAR.P(B$2:B548)</f>
        <v>1.9914731306348272</v>
      </c>
    </row>
    <row r="549" spans="1:4" x14ac:dyDescent="0.3">
      <c r="A549">
        <f t="shared" ca="1" si="16"/>
        <v>0.13188554031160693</v>
      </c>
      <c r="B549">
        <f t="shared" ca="1" si="17"/>
        <v>1.3326736708523037</v>
      </c>
      <c r="C549">
        <f ca="1">AVERAGE(B$2:B549)</f>
        <v>0.15027811154824811</v>
      </c>
      <c r="D549">
        <f ca="1">_xlfn.VAR.P(B$2:B549)</f>
        <v>1.9903949225965878</v>
      </c>
    </row>
    <row r="550" spans="1:4" x14ac:dyDescent="0.3">
      <c r="A550">
        <f t="shared" ca="1" si="16"/>
        <v>0.34100667514497596</v>
      </c>
      <c r="B550">
        <f t="shared" ca="1" si="17"/>
        <v>0.38270604612505871</v>
      </c>
      <c r="C550">
        <f ca="1">AVERAGE(B$2:B550)</f>
        <v>0.1507014775492988</v>
      </c>
      <c r="D550">
        <f ca="1">_xlfn.VAR.P(B$2:B550)</f>
        <v>1.9868676537807226</v>
      </c>
    </row>
    <row r="551" spans="1:4" x14ac:dyDescent="0.3">
      <c r="A551">
        <f t="shared" ca="1" si="16"/>
        <v>0.62182378758028967</v>
      </c>
      <c r="B551">
        <f t="shared" ca="1" si="17"/>
        <v>-0.2792478410037646</v>
      </c>
      <c r="C551">
        <f ca="1">AVERAGE(B$2:B551)</f>
        <v>0.14991975151556594</v>
      </c>
      <c r="D551">
        <f ca="1">_xlfn.VAR.P(B$2:B551)</f>
        <v>1.9835906586173915</v>
      </c>
    </row>
    <row r="552" spans="1:4" x14ac:dyDescent="0.3">
      <c r="A552">
        <f t="shared" ca="1" si="16"/>
        <v>0.13951980436090672</v>
      </c>
      <c r="B552">
        <f t="shared" ca="1" si="17"/>
        <v>1.2764015404922451</v>
      </c>
      <c r="C552">
        <f ca="1">AVERAGE(B$2:B552)</f>
        <v>0.15196418307450729</v>
      </c>
      <c r="D552">
        <f ca="1">_xlfn.VAR.P(B$2:B552)</f>
        <v>1.9822895107904563</v>
      </c>
    </row>
    <row r="553" spans="1:4" x14ac:dyDescent="0.3">
      <c r="A553">
        <f t="shared" ca="1" si="16"/>
        <v>7.7196514868118848E-2</v>
      </c>
      <c r="B553">
        <f t="shared" ca="1" si="17"/>
        <v>1.8682537866058428</v>
      </c>
      <c r="C553">
        <f ca="1">AVERAGE(B$2:B553)</f>
        <v>0.1550734033707597</v>
      </c>
      <c r="D553">
        <f ca="1">_xlfn.VAR.P(B$2:B553)</f>
        <v>1.9840250618229378</v>
      </c>
    </row>
    <row r="554" spans="1:4" x14ac:dyDescent="0.3">
      <c r="A554">
        <f t="shared" ca="1" si="16"/>
        <v>0.59791883688425063</v>
      </c>
      <c r="B554">
        <f t="shared" ca="1" si="17"/>
        <v>-0.21795413188400511</v>
      </c>
      <c r="C554">
        <f ca="1">AVERAGE(B$2:B554)</f>
        <v>0.15439885086577823</v>
      </c>
      <c r="D554">
        <f ca="1">_xlfn.VAR.P(B$2:B554)</f>
        <v>1.980688484704632</v>
      </c>
    </row>
    <row r="555" spans="1:4" x14ac:dyDescent="0.3">
      <c r="A555">
        <f t="shared" ca="1" si="16"/>
        <v>9.3590645887171586E-3</v>
      </c>
      <c r="B555">
        <f t="shared" ca="1" si="17"/>
        <v>3.9782627500296037</v>
      </c>
      <c r="C555">
        <f ca="1">AVERAGE(B$2:B555)</f>
        <v>0.16130113227221113</v>
      </c>
      <c r="D555">
        <f ca="1">_xlfn.VAR.P(B$2:B555)</f>
        <v>2.0034589779355563</v>
      </c>
    </row>
    <row r="556" spans="1:4" x14ac:dyDescent="0.3">
      <c r="A556">
        <f t="shared" ca="1" si="16"/>
        <v>0.95481784537475467</v>
      </c>
      <c r="B556">
        <f t="shared" ca="1" si="17"/>
        <v>-2.4039058987176567</v>
      </c>
      <c r="C556">
        <f ca="1">AVERAGE(B$2:B556)</f>
        <v>0.15667913762177893</v>
      </c>
      <c r="D556">
        <f ca="1">_xlfn.VAR.P(B$2:B556)</f>
        <v>2.0116841522792135</v>
      </c>
    </row>
    <row r="557" spans="1:4" x14ac:dyDescent="0.3">
      <c r="A557">
        <f t="shared" ca="1" si="16"/>
        <v>0.62008263288655951</v>
      </c>
      <c r="B557">
        <f t="shared" ca="1" si="17"/>
        <v>-0.27465432431314957</v>
      </c>
      <c r="C557">
        <f ca="1">AVERAGE(B$2:B557)</f>
        <v>0.15590335801398231</v>
      </c>
      <c r="D557">
        <f ca="1">_xlfn.VAR.P(B$2:B557)</f>
        <v>2.0084000331846124</v>
      </c>
    </row>
    <row r="558" spans="1:4" x14ac:dyDescent="0.3">
      <c r="A558">
        <f t="shared" ca="1" si="16"/>
        <v>0.91669549542916573</v>
      </c>
      <c r="B558">
        <f t="shared" ca="1" si="17"/>
        <v>-1.7921054742308715</v>
      </c>
      <c r="C558">
        <f ca="1">AVERAGE(B$2:B558)</f>
        <v>0.15240603515537396</v>
      </c>
      <c r="D558">
        <f ca="1">_xlfn.VAR.P(B$2:B558)</f>
        <v>2.0115948726128017</v>
      </c>
    </row>
    <row r="559" spans="1:4" x14ac:dyDescent="0.3">
      <c r="A559">
        <f t="shared" ca="1" si="16"/>
        <v>0.15276232255118938</v>
      </c>
      <c r="B559">
        <f t="shared" ca="1" si="17"/>
        <v>1.1857248322580314</v>
      </c>
      <c r="C559">
        <f ca="1">AVERAGE(B$2:B559)</f>
        <v>0.15425786095663321</v>
      </c>
      <c r="D559">
        <f ca="1">_xlfn.VAR.P(B$2:B559)</f>
        <v>2.0098999610311234</v>
      </c>
    </row>
    <row r="560" spans="1:4" x14ac:dyDescent="0.3">
      <c r="A560">
        <f t="shared" ca="1" si="16"/>
        <v>0.62913895775746431</v>
      </c>
      <c r="B560">
        <f t="shared" ca="1" si="17"/>
        <v>-0.29878065518732633</v>
      </c>
      <c r="C560">
        <f ca="1">AVERAGE(B$2:B560)</f>
        <v>0.15344741638392487</v>
      </c>
      <c r="D560">
        <f ca="1">_xlfn.VAR.P(B$2:B560)</f>
        <v>2.0066709391589805</v>
      </c>
    </row>
    <row r="561" spans="1:4" x14ac:dyDescent="0.3">
      <c r="A561">
        <f t="shared" ca="1" si="16"/>
        <v>0.24028841994139705</v>
      </c>
      <c r="B561">
        <f t="shared" ca="1" si="17"/>
        <v>0.73276814684761482</v>
      </c>
      <c r="C561">
        <f ca="1">AVERAGE(B$2:B561)</f>
        <v>0.15448191768832431</v>
      </c>
      <c r="D561">
        <f ca="1">_xlfn.VAR.P(B$2:B561)</f>
        <v>2.0036858360545784</v>
      </c>
    </row>
    <row r="562" spans="1:4" x14ac:dyDescent="0.3">
      <c r="A562">
        <f t="shared" ca="1" si="16"/>
        <v>0.25294873505649007</v>
      </c>
      <c r="B562">
        <f t="shared" ca="1" si="17"/>
        <v>0.68142125846176305</v>
      </c>
      <c r="C562">
        <f ca="1">AVERAGE(B$2:B562)</f>
        <v>0.1554212035007547</v>
      </c>
      <c r="D562">
        <f ca="1">_xlfn.VAR.P(B$2:B562)</f>
        <v>2.0006082679372041</v>
      </c>
    </row>
    <row r="563" spans="1:4" x14ac:dyDescent="0.3">
      <c r="A563">
        <f t="shared" ca="1" si="16"/>
        <v>0.49173914529653195</v>
      </c>
      <c r="B563">
        <f t="shared" ca="1" si="17"/>
        <v>1.6659715018343308E-2</v>
      </c>
      <c r="C563">
        <f ca="1">AVERAGE(B$2:B563)</f>
        <v>0.15517429693761875</v>
      </c>
      <c r="D563">
        <f ca="1">_xlfn.VAR.P(B$2:B563)</f>
        <v>1.9970826669080703</v>
      </c>
    </row>
    <row r="564" spans="1:4" x14ac:dyDescent="0.3">
      <c r="A564">
        <f t="shared" ca="1" si="16"/>
        <v>0.7260539353238582</v>
      </c>
      <c r="B564">
        <f t="shared" ca="1" si="17"/>
        <v>-0.60167685565815088</v>
      </c>
      <c r="C564">
        <f ca="1">AVERAGE(B$2:B564)</f>
        <v>0.15382997872696905</v>
      </c>
      <c r="D564">
        <f ca="1">_xlfn.VAR.P(B$2:B564)</f>
        <v>1.9945510923991721</v>
      </c>
    </row>
    <row r="565" spans="1:4" x14ac:dyDescent="0.3">
      <c r="A565">
        <f t="shared" ca="1" si="16"/>
        <v>0.48358813929347022</v>
      </c>
      <c r="B565">
        <f t="shared" ca="1" si="17"/>
        <v>3.3374505843628534E-2</v>
      </c>
      <c r="C565">
        <f ca="1">AVERAGE(B$2:B565)</f>
        <v>0.15361640519348796</v>
      </c>
      <c r="D565">
        <f ca="1">_xlfn.VAR.P(B$2:B565)</f>
        <v>1.9910403347793977</v>
      </c>
    </row>
    <row r="566" spans="1:4" x14ac:dyDescent="0.3">
      <c r="A566">
        <f t="shared" ca="1" si="16"/>
        <v>0.58554159416426244</v>
      </c>
      <c r="B566">
        <f t="shared" ca="1" si="17"/>
        <v>-0.18763547668482411</v>
      </c>
      <c r="C566">
        <f ca="1">AVERAGE(B$2:B566)</f>
        <v>0.15301241956184494</v>
      </c>
      <c r="D566">
        <f ca="1">_xlfn.VAR.P(B$2:B566)</f>
        <v>1.9877221160198806</v>
      </c>
    </row>
    <row r="567" spans="1:4" x14ac:dyDescent="0.3">
      <c r="A567">
        <f t="shared" ca="1" si="16"/>
        <v>0.87525728264248726</v>
      </c>
      <c r="B567">
        <f t="shared" ca="1" si="17"/>
        <v>-1.3883547433903087</v>
      </c>
      <c r="C567">
        <f ca="1">AVERAGE(B$2:B567)</f>
        <v>0.1502891560230602</v>
      </c>
      <c r="D567">
        <f ca="1">_xlfn.VAR.P(B$2:B567)</f>
        <v>1.9884003723202559</v>
      </c>
    </row>
    <row r="568" spans="1:4" x14ac:dyDescent="0.3">
      <c r="A568">
        <f t="shared" ca="1" si="16"/>
        <v>0.40069012189074271</v>
      </c>
      <c r="B568">
        <f t="shared" ca="1" si="17"/>
        <v>0.22141973321587405</v>
      </c>
      <c r="C568">
        <f ca="1">AVERAGE(B$2:B568)</f>
        <v>0.15041460677648669</v>
      </c>
      <c r="D568">
        <f ca="1">_xlfn.VAR.P(B$2:B568)</f>
        <v>1.9849024010033371</v>
      </c>
    </row>
    <row r="569" spans="1:4" x14ac:dyDescent="0.3">
      <c r="A569">
        <f t="shared" ca="1" si="16"/>
        <v>0.72517718172280465</v>
      </c>
      <c r="B569">
        <f t="shared" ca="1" si="17"/>
        <v>-0.59848150557807611</v>
      </c>
      <c r="C569">
        <f ca="1">AVERAGE(B$2:B569)</f>
        <v>0.1490961277054399</v>
      </c>
      <c r="D569">
        <f ca="1">_xlfn.VAR.P(B$2:B569)</f>
        <v>1.9823935199861644</v>
      </c>
    </row>
    <row r="570" spans="1:4" x14ac:dyDescent="0.3">
      <c r="A570">
        <f t="shared" ca="1" si="16"/>
        <v>0.79333428607141665</v>
      </c>
      <c r="B570">
        <f t="shared" ca="1" si="17"/>
        <v>-0.88350551908477415</v>
      </c>
      <c r="C570">
        <f ca="1">AVERAGE(B$2:B570)</f>
        <v>0.14728136206960474</v>
      </c>
      <c r="D570">
        <f ca="1">_xlfn.VAR.P(B$2:B570)</f>
        <v>1.9807801609545015</v>
      </c>
    </row>
    <row r="571" spans="1:4" x14ac:dyDescent="0.3">
      <c r="A571">
        <f t="shared" ca="1" si="16"/>
        <v>0.52990430847577252</v>
      </c>
      <c r="B571">
        <f t="shared" ca="1" si="17"/>
        <v>-6.1671825453830535E-2</v>
      </c>
      <c r="C571">
        <f ca="1">AVERAGE(B$2:B571)</f>
        <v>0.14691477753008994</v>
      </c>
      <c r="D571">
        <f ca="1">_xlfn.VAR.P(B$2:B571)</f>
        <v>1.97738157266435</v>
      </c>
    </row>
    <row r="572" spans="1:4" x14ac:dyDescent="0.3">
      <c r="A572">
        <f t="shared" ca="1" si="16"/>
        <v>0.4666648067892436</v>
      </c>
      <c r="B572">
        <f t="shared" ca="1" si="17"/>
        <v>6.8996856946514237E-2</v>
      </c>
      <c r="C572">
        <f ca="1">AVERAGE(B$2:B572)</f>
        <v>0.14677831882503989</v>
      </c>
      <c r="D572">
        <f ca="1">_xlfn.VAR.P(B$2:B572)</f>
        <v>1.9739291716084921</v>
      </c>
    </row>
    <row r="573" spans="1:4" x14ac:dyDescent="0.3">
      <c r="A573">
        <f t="shared" ca="1" si="16"/>
        <v>0.23224657825488293</v>
      </c>
      <c r="B573">
        <f t="shared" ca="1" si="17"/>
        <v>0.76680845386203778</v>
      </c>
      <c r="C573">
        <f ca="1">AVERAGE(B$2:B573)</f>
        <v>0.14786228759258707</v>
      </c>
      <c r="D573">
        <f ca="1">_xlfn.VAR.P(B$2:B573)</f>
        <v>1.9711491647963317</v>
      </c>
    </row>
    <row r="574" spans="1:4" x14ac:dyDescent="0.3">
      <c r="A574">
        <f t="shared" ca="1" si="16"/>
        <v>0.25220815212038861</v>
      </c>
      <c r="B574">
        <f t="shared" ca="1" si="17"/>
        <v>0.68435335138369313</v>
      </c>
      <c r="C574">
        <f ca="1">AVERAGE(B$2:B574)</f>
        <v>0.14879857217162915</v>
      </c>
      <c r="D574">
        <f ca="1">_xlfn.VAR.P(B$2:B574)</f>
        <v>1.9682105455789174</v>
      </c>
    </row>
    <row r="575" spans="1:4" x14ac:dyDescent="0.3">
      <c r="A575">
        <f t="shared" ca="1" si="16"/>
        <v>0.14311681405839616</v>
      </c>
      <c r="B575">
        <f t="shared" ca="1" si="17"/>
        <v>1.2509469201011643</v>
      </c>
      <c r="C575">
        <f ca="1">AVERAGE(B$2:B575)</f>
        <v>0.15071869124467713</v>
      </c>
      <c r="D575">
        <f ca="1">_xlfn.VAR.P(B$2:B575)</f>
        <v>1.9668941765531345</v>
      </c>
    </row>
    <row r="576" spans="1:4" x14ac:dyDescent="0.3">
      <c r="A576">
        <f t="shared" ca="1" si="16"/>
        <v>0.57367986759142431</v>
      </c>
      <c r="B576">
        <f t="shared" ca="1" si="17"/>
        <v>-0.15941754984876361</v>
      </c>
      <c r="C576">
        <f ca="1">AVERAGE(B$2:B576)</f>
        <v>0.15017932386886246</v>
      </c>
      <c r="D576">
        <f ca="1">_xlfn.VAR.P(B$2:B576)</f>
        <v>1.963640477482032</v>
      </c>
    </row>
    <row r="577" spans="1:4" x14ac:dyDescent="0.3">
      <c r="A577">
        <f t="shared" ca="1" si="16"/>
        <v>7.4532319124572921E-2</v>
      </c>
      <c r="B577">
        <f t="shared" ca="1" si="17"/>
        <v>1.9033752533540023</v>
      </c>
      <c r="C577">
        <f ca="1">AVERAGE(B$2:B577)</f>
        <v>0.15322306680199638</v>
      </c>
      <c r="D577">
        <f ca="1">_xlfn.VAR.P(B$2:B577)</f>
        <v>1.9655583927805742</v>
      </c>
    </row>
    <row r="578" spans="1:4" x14ac:dyDescent="0.3">
      <c r="A578">
        <f t="shared" ca="1" si="16"/>
        <v>0.44533473372478583</v>
      </c>
      <c r="B578">
        <f t="shared" ca="1" si="17"/>
        <v>0.11578188840706968</v>
      </c>
      <c r="C578">
        <f ca="1">AVERAGE(B$2:B578)</f>
        <v>0.15315817741136392</v>
      </c>
      <c r="D578">
        <f ca="1">_xlfn.VAR.P(B$2:B578)</f>
        <v>1.9621543044261958</v>
      </c>
    </row>
    <row r="579" spans="1:4" x14ac:dyDescent="0.3">
      <c r="A579">
        <f t="shared" ref="A579:A642" ca="1" si="18">RAND()</f>
        <v>0.47816852478442928</v>
      </c>
      <c r="B579">
        <f t="shared" ref="B579:B642" ca="1" si="19">-SIGN(0.5-A579)*LN(1-2*ABS(0.5-A579))*$F$1</f>
        <v>4.464486575570166E-2</v>
      </c>
      <c r="C579">
        <f ca="1">AVERAGE(B$2:B579)</f>
        <v>0.152970438117842</v>
      </c>
      <c r="D579">
        <f ca="1">_xlfn.VAR.P(B$2:B579)</f>
        <v>1.9587799107621264</v>
      </c>
    </row>
    <row r="580" spans="1:4" x14ac:dyDescent="0.3">
      <c r="A580">
        <f t="shared" ca="1" si="18"/>
        <v>0.15414563650101076</v>
      </c>
      <c r="B580">
        <f t="shared" ca="1" si="19"/>
        <v>1.1767102513281045</v>
      </c>
      <c r="C580">
        <f ca="1">AVERAGE(B$2:B580)</f>
        <v>0.15473855523910324</v>
      </c>
      <c r="D580">
        <f ca="1">_xlfn.VAR.P(B$2:B580)</f>
        <v>1.9572038368458884</v>
      </c>
    </row>
    <row r="581" spans="1:4" x14ac:dyDescent="0.3">
      <c r="A581">
        <f t="shared" ca="1" si="18"/>
        <v>0.9521758722878314</v>
      </c>
      <c r="B581">
        <f t="shared" ca="1" si="19"/>
        <v>-2.3470778224223028</v>
      </c>
      <c r="C581">
        <f ca="1">AVERAGE(B$2:B581)</f>
        <v>0.15042507872589392</v>
      </c>
      <c r="D581">
        <f ca="1">_xlfn.VAR.P(B$2:B581)</f>
        <v>1.9646022675777912</v>
      </c>
    </row>
    <row r="582" spans="1:4" x14ac:dyDescent="0.3">
      <c r="A582">
        <f t="shared" ca="1" si="18"/>
        <v>0.63657354850642134</v>
      </c>
      <c r="B582">
        <f t="shared" ca="1" si="19"/>
        <v>-0.31903115618896644</v>
      </c>
      <c r="C582">
        <f ca="1">AVERAGE(B$2:B582)</f>
        <v>0.14961706455220225</v>
      </c>
      <c r="D582">
        <f ca="1">_xlfn.VAR.P(B$2:B582)</f>
        <v>1.9615995267200133</v>
      </c>
    </row>
    <row r="583" spans="1:4" x14ac:dyDescent="0.3">
      <c r="A583">
        <f t="shared" ca="1" si="18"/>
        <v>0.73555999789824811</v>
      </c>
      <c r="B583">
        <f t="shared" ca="1" si="19"/>
        <v>-0.63699370800887956</v>
      </c>
      <c r="C583">
        <f ca="1">AVERAGE(B$2:B583)</f>
        <v>0.14826549965089456</v>
      </c>
      <c r="D583">
        <f ca="1">_xlfn.VAR.P(B$2:B583)</f>
        <v>1.9592904095813155</v>
      </c>
    </row>
    <row r="584" spans="1:4" x14ac:dyDescent="0.3">
      <c r="A584">
        <f t="shared" ca="1" si="18"/>
        <v>0.19232597215460323</v>
      </c>
      <c r="B584">
        <f t="shared" ca="1" si="19"/>
        <v>0.95541639434095915</v>
      </c>
      <c r="C584">
        <f ca="1">AVERAGE(B$2:B584)</f>
        <v>0.14964997802943669</v>
      </c>
      <c r="D584">
        <f ca="1">_xlfn.VAR.P(B$2:B584)</f>
        <v>1.9570452718013085</v>
      </c>
    </row>
    <row r="585" spans="1:4" x14ac:dyDescent="0.3">
      <c r="A585">
        <f t="shared" ca="1" si="18"/>
        <v>0.62833889862952608</v>
      </c>
      <c r="B585">
        <f t="shared" ca="1" si="19"/>
        <v>-0.29662567719929367</v>
      </c>
      <c r="C585">
        <f ca="1">AVERAGE(B$2:B585)</f>
        <v>0.14888580738692175</v>
      </c>
      <c r="D585">
        <f ca="1">_xlfn.VAR.P(B$2:B585)</f>
        <v>1.9540346136812645</v>
      </c>
    </row>
    <row r="586" spans="1:4" x14ac:dyDescent="0.3">
      <c r="A586">
        <f t="shared" ca="1" si="18"/>
        <v>4.08591202726305E-2</v>
      </c>
      <c r="B586">
        <f t="shared" ca="1" si="19"/>
        <v>2.5044780395476454</v>
      </c>
      <c r="C586">
        <f ca="1">AVERAGE(B$2:B586)</f>
        <v>0.15291246077523069</v>
      </c>
      <c r="D586">
        <f ca="1">_xlfn.VAR.P(B$2:B586)</f>
        <v>1.9601633230780025</v>
      </c>
    </row>
    <row r="587" spans="1:4" x14ac:dyDescent="0.3">
      <c r="A587">
        <f t="shared" ca="1" si="18"/>
        <v>0.35598399131060354</v>
      </c>
      <c r="B587">
        <f t="shared" ca="1" si="19"/>
        <v>0.3397223368099041</v>
      </c>
      <c r="C587">
        <f ca="1">AVERAGE(B$2:B587)</f>
        <v>0.15323124895959017</v>
      </c>
      <c r="D587">
        <f ca="1">_xlfn.VAR.P(B$2:B587)</f>
        <v>1.956877785627362</v>
      </c>
    </row>
    <row r="588" spans="1:4" x14ac:dyDescent="0.3">
      <c r="A588">
        <f t="shared" ca="1" si="18"/>
        <v>0.63652217425220547</v>
      </c>
      <c r="B588">
        <f t="shared" ca="1" si="19"/>
        <v>-0.31888980537866063</v>
      </c>
      <c r="C588">
        <f ca="1">AVERAGE(B$2:B588)</f>
        <v>0.15242695414811105</v>
      </c>
      <c r="D588">
        <f ca="1">_xlfn.VAR.P(B$2:B588)</f>
        <v>1.9539231702607658</v>
      </c>
    </row>
    <row r="589" spans="1:4" x14ac:dyDescent="0.3">
      <c r="A589">
        <f t="shared" ca="1" si="18"/>
        <v>0.61708463050157369</v>
      </c>
      <c r="B589">
        <f t="shared" ca="1" si="19"/>
        <v>-0.26679410102546453</v>
      </c>
      <c r="C589">
        <f ca="1">AVERAGE(B$2:B589)</f>
        <v>0.1517139931699247</v>
      </c>
      <c r="D589">
        <f ca="1">_xlfn.VAR.P(B$2:B589)</f>
        <v>1.9508985516121031</v>
      </c>
    </row>
    <row r="590" spans="1:4" x14ac:dyDescent="0.3">
      <c r="A590">
        <f t="shared" ca="1" si="18"/>
        <v>0.84544466929803519</v>
      </c>
      <c r="B590">
        <f t="shared" ca="1" si="19"/>
        <v>-1.1740559386759379</v>
      </c>
      <c r="C590">
        <f ca="1">AVERAGE(B$2:B590)</f>
        <v>0.14946311043334429</v>
      </c>
      <c r="D590">
        <f ca="1">_xlfn.VAR.P(B$2:B590)</f>
        <v>1.9505654161416826</v>
      </c>
    </row>
    <row r="591" spans="1:4" x14ac:dyDescent="0.3">
      <c r="A591">
        <f t="shared" ca="1" si="18"/>
        <v>0.89908778969071945</v>
      </c>
      <c r="B591">
        <f t="shared" ca="1" si="19"/>
        <v>-1.6003571644171264</v>
      </c>
      <c r="C591">
        <f ca="1">AVERAGE(B$2:B591)</f>
        <v>0.14649731335732652</v>
      </c>
      <c r="D591">
        <f ca="1">_xlfn.VAR.P(B$2:B591)</f>
        <v>1.9524401889658882</v>
      </c>
    </row>
    <row r="592" spans="1:4" x14ac:dyDescent="0.3">
      <c r="A592">
        <f t="shared" ca="1" si="18"/>
        <v>0.15418939523425423</v>
      </c>
      <c r="B592">
        <f t="shared" ca="1" si="19"/>
        <v>1.1764264124578279</v>
      </c>
      <c r="C592">
        <f ca="1">AVERAGE(B$2:B592)</f>
        <v>0.14824000218829184</v>
      </c>
      <c r="D592">
        <f ca="1">_xlfn.VAR.P(B$2:B592)</f>
        <v>1.9509283766380885</v>
      </c>
    </row>
    <row r="593" spans="1:4" x14ac:dyDescent="0.3">
      <c r="A593">
        <f t="shared" ca="1" si="18"/>
        <v>0.28366578200991754</v>
      </c>
      <c r="B593">
        <f t="shared" ca="1" si="19"/>
        <v>0.5668113771707296</v>
      </c>
      <c r="C593">
        <f ca="1">AVERAGE(B$2:B593)</f>
        <v>0.14894704842981624</v>
      </c>
      <c r="D593">
        <f ca="1">_xlfn.VAR.P(B$2:B593)</f>
        <v>1.9479283389184925</v>
      </c>
    </row>
    <row r="594" spans="1:4" x14ac:dyDescent="0.3">
      <c r="A594">
        <f t="shared" ca="1" si="18"/>
        <v>0.19290339265639689</v>
      </c>
      <c r="B594">
        <f t="shared" ca="1" si="19"/>
        <v>0.95241859102184678</v>
      </c>
      <c r="C594">
        <f ca="1">AVERAGE(B$2:B594)</f>
        <v>0.15030197514582302</v>
      </c>
      <c r="D594">
        <f ca="1">_xlfn.VAR.P(B$2:B594)</f>
        <v>1.9457302774273935</v>
      </c>
    </row>
    <row r="595" spans="1:4" x14ac:dyDescent="0.3">
      <c r="A595">
        <f t="shared" ca="1" si="18"/>
        <v>0.99042152036508779</v>
      </c>
      <c r="B595">
        <f t="shared" ca="1" si="19"/>
        <v>-3.9550892210263791</v>
      </c>
      <c r="C595">
        <f ca="1">AVERAGE(B$2:B595)</f>
        <v>0.14339054215563413</v>
      </c>
      <c r="D595">
        <f ca="1">_xlfn.VAR.P(B$2:B595)</f>
        <v>1.970781005474582</v>
      </c>
    </row>
    <row r="596" spans="1:4" x14ac:dyDescent="0.3">
      <c r="A596">
        <f t="shared" ca="1" si="18"/>
        <v>0.88317934436180068</v>
      </c>
      <c r="B596">
        <f t="shared" ca="1" si="19"/>
        <v>-1.4539681974460541</v>
      </c>
      <c r="C596">
        <f ca="1">AVERAGE(B$2:B596)</f>
        <v>0.14070590561848842</v>
      </c>
      <c r="D596">
        <f ca="1">_xlfn.VAR.P(B$2:B596)</f>
        <v>1.971749888852518</v>
      </c>
    </row>
    <row r="597" spans="1:4" x14ac:dyDescent="0.3">
      <c r="A597">
        <f t="shared" ca="1" si="18"/>
        <v>0.3648471158309593</v>
      </c>
      <c r="B597">
        <f t="shared" ca="1" si="19"/>
        <v>0.31512969332345986</v>
      </c>
      <c r="C597">
        <f ca="1">AVERAGE(B$2:B597)</f>
        <v>0.14099856298040953</v>
      </c>
      <c r="D597">
        <f ca="1">_xlfn.VAR.P(B$2:B597)</f>
        <v>1.968492544427114</v>
      </c>
    </row>
    <row r="598" spans="1:4" x14ac:dyDescent="0.3">
      <c r="A598">
        <f t="shared" ca="1" si="18"/>
        <v>0.94900206241038465</v>
      </c>
      <c r="B598">
        <f t="shared" ca="1" si="19"/>
        <v>-2.2828229059348684</v>
      </c>
      <c r="C598">
        <f ca="1">AVERAGE(B$2:B598)</f>
        <v>0.13693856051991493</v>
      </c>
      <c r="D598">
        <f ca="1">_xlfn.VAR.P(B$2:B598)</f>
        <v>1.9750194744901288</v>
      </c>
    </row>
    <row r="599" spans="1:4" x14ac:dyDescent="0.3">
      <c r="A599">
        <f t="shared" ca="1" si="18"/>
        <v>0.99744771614953198</v>
      </c>
      <c r="B599">
        <f t="shared" ca="1" si="19"/>
        <v>-5.2776195124524552</v>
      </c>
      <c r="C599">
        <f ca="1">AVERAGE(B$2:B599)</f>
        <v>0.12788411558183402</v>
      </c>
      <c r="D599">
        <f ca="1">_xlfn.VAR.P(B$2:B599)</f>
        <v>2.0206606013014405</v>
      </c>
    </row>
    <row r="600" spans="1:4" x14ac:dyDescent="0.3">
      <c r="A600">
        <f t="shared" ca="1" si="18"/>
        <v>0.32448411455173809</v>
      </c>
      <c r="B600">
        <f t="shared" ca="1" si="19"/>
        <v>0.43237151709191352</v>
      </c>
      <c r="C600">
        <f ca="1">AVERAGE(B$2:B600)</f>
        <v>0.1283924417947056</v>
      </c>
      <c r="D600">
        <f ca="1">_xlfn.VAR.P(B$2:B600)</f>
        <v>2.0174417318481006</v>
      </c>
    </row>
    <row r="601" spans="1:4" x14ac:dyDescent="0.3">
      <c r="A601">
        <f t="shared" ca="1" si="18"/>
        <v>0.68576220461003623</v>
      </c>
      <c r="B601">
        <f t="shared" ca="1" si="19"/>
        <v>-0.46445808896946167</v>
      </c>
      <c r="C601">
        <f ca="1">AVERAGE(B$2:B601)</f>
        <v>0.12740435757676533</v>
      </c>
      <c r="D601">
        <f ca="1">_xlfn.VAR.P(B$2:B601)</f>
        <v>2.0146641389043105</v>
      </c>
    </row>
    <row r="602" spans="1:4" x14ac:dyDescent="0.3">
      <c r="A602">
        <f t="shared" ca="1" si="18"/>
        <v>0.92380446745850286</v>
      </c>
      <c r="B602">
        <f t="shared" ca="1" si="19"/>
        <v>-1.8813052655126254</v>
      </c>
      <c r="C602">
        <f ca="1">AVERAGE(B$2:B602)</f>
        <v>0.12406207866979461</v>
      </c>
      <c r="D602">
        <f ca="1">_xlfn.VAR.P(B$2:B602)</f>
        <v>2.0180144492923047</v>
      </c>
    </row>
    <row r="603" spans="1:4" x14ac:dyDescent="0.3">
      <c r="A603">
        <f t="shared" ca="1" si="18"/>
        <v>0.8154863944135019</v>
      </c>
      <c r="B603">
        <f t="shared" ca="1" si="19"/>
        <v>-0.99688489464424257</v>
      </c>
      <c r="C603">
        <f ca="1">AVERAGE(B$2:B603)</f>
        <v>0.1222000405081434</v>
      </c>
      <c r="D603">
        <f ca="1">_xlfn.VAR.P(B$2:B603)</f>
        <v>2.0167460446771015</v>
      </c>
    </row>
    <row r="604" spans="1:4" x14ac:dyDescent="0.3">
      <c r="A604">
        <f t="shared" ca="1" si="18"/>
        <v>0.15833307163543231</v>
      </c>
      <c r="B604">
        <f t="shared" ca="1" si="19"/>
        <v>1.1499072358858746</v>
      </c>
      <c r="C604">
        <f ca="1">AVERAGE(B$2:B604)</f>
        <v>0.12390436421523748</v>
      </c>
      <c r="D604">
        <f ca="1">_xlfn.VAR.P(B$2:B604)</f>
        <v>2.0151501648910606</v>
      </c>
    </row>
    <row r="605" spans="1:4" x14ac:dyDescent="0.3">
      <c r="A605">
        <f t="shared" ca="1" si="18"/>
        <v>0.81153308027165449</v>
      </c>
      <c r="B605">
        <f t="shared" ca="1" si="19"/>
        <v>-0.97568559909199504</v>
      </c>
      <c r="C605">
        <f ca="1">AVERAGE(B$2:B605)</f>
        <v>0.122083851030954</v>
      </c>
      <c r="D605">
        <f ca="1">_xlfn.VAR.P(B$2:B605)</f>
        <v>2.0138123273157116</v>
      </c>
    </row>
    <row r="606" spans="1:4" x14ac:dyDescent="0.3">
      <c r="A606">
        <f t="shared" ca="1" si="18"/>
        <v>0.4002955740721853</v>
      </c>
      <c r="B606">
        <f t="shared" ca="1" si="19"/>
        <v>0.22240488901192904</v>
      </c>
      <c r="C606">
        <f ca="1">AVERAGE(B$2:B606)</f>
        <v>0.12224967092844322</v>
      </c>
      <c r="D606">
        <f ca="1">_xlfn.VAR.P(B$2:B606)</f>
        <v>2.0105003196266567</v>
      </c>
    </row>
    <row r="607" spans="1:4" x14ac:dyDescent="0.3">
      <c r="A607">
        <f t="shared" ca="1" si="18"/>
        <v>0.81032851309770304</v>
      </c>
      <c r="B607">
        <f t="shared" ca="1" si="19"/>
        <v>-0.96931453903929565</v>
      </c>
      <c r="C607">
        <f ca="1">AVERAGE(B$2:B607)</f>
        <v>0.12044840985588917</v>
      </c>
      <c r="D607">
        <f ca="1">_xlfn.VAR.P(B$2:B607)</f>
        <v>2.0091456099117</v>
      </c>
    </row>
    <row r="608" spans="1:4" x14ac:dyDescent="0.3">
      <c r="A608">
        <f t="shared" ca="1" si="18"/>
        <v>0.76098043796100845</v>
      </c>
      <c r="B608">
        <f t="shared" ca="1" si="19"/>
        <v>-0.73806270030464205</v>
      </c>
      <c r="C608">
        <f ca="1">AVERAGE(B$2:B608)</f>
        <v>0.11903405876831005</v>
      </c>
      <c r="D608">
        <f ca="1">_xlfn.VAR.P(B$2:B608)</f>
        <v>2.0070478858264198</v>
      </c>
    </row>
    <row r="609" spans="1:4" x14ac:dyDescent="0.3">
      <c r="A609">
        <f t="shared" ca="1" si="18"/>
        <v>0.54751225644889845</v>
      </c>
      <c r="B609">
        <f t="shared" ca="1" si="19"/>
        <v>-9.9847421723958982E-2</v>
      </c>
      <c r="C609">
        <f ca="1">AVERAGE(B$2:B609)</f>
        <v>0.11867405633328987</v>
      </c>
      <c r="D609">
        <f ca="1">_xlfn.VAR.P(B$2:B609)</f>
        <v>2.0038254884889359</v>
      </c>
    </row>
    <row r="610" spans="1:4" x14ac:dyDescent="0.3">
      <c r="A610">
        <f t="shared" ca="1" si="18"/>
        <v>0.24367721819161625</v>
      </c>
      <c r="B610">
        <f t="shared" ca="1" si="19"/>
        <v>0.71876362516610737</v>
      </c>
      <c r="C610">
        <f ca="1">AVERAGE(B$2:B610)</f>
        <v>0.11965942508342585</v>
      </c>
      <c r="D610">
        <f ca="1">_xlfn.VAR.P(B$2:B610)</f>
        <v>2.0011254732058896</v>
      </c>
    </row>
    <row r="611" spans="1:4" x14ac:dyDescent="0.3">
      <c r="A611">
        <f t="shared" ca="1" si="18"/>
        <v>0.58722165665851356</v>
      </c>
      <c r="B611">
        <f t="shared" ca="1" si="19"/>
        <v>-0.19169734846660785</v>
      </c>
      <c r="C611">
        <f ca="1">AVERAGE(B$2:B611)</f>
        <v>0.1191490041431799</v>
      </c>
      <c r="D611">
        <f ca="1">_xlfn.VAR.P(B$2:B611)</f>
        <v>1.9980036021308285</v>
      </c>
    </row>
    <row r="612" spans="1:4" x14ac:dyDescent="0.3">
      <c r="A612">
        <f t="shared" ca="1" si="18"/>
        <v>0.37410650322189032</v>
      </c>
      <c r="B612">
        <f t="shared" ca="1" si="19"/>
        <v>0.29006757357339435</v>
      </c>
      <c r="C612">
        <f ca="1">AVERAGE(B$2:B612)</f>
        <v>0.11942873993602804</v>
      </c>
      <c r="D612">
        <f ca="1">_xlfn.VAR.P(B$2:B612)</f>
        <v>1.9947812809249423</v>
      </c>
    </row>
    <row r="613" spans="1:4" x14ac:dyDescent="0.3">
      <c r="A613">
        <f t="shared" ca="1" si="18"/>
        <v>0.34266881946807204</v>
      </c>
      <c r="B613">
        <f t="shared" ca="1" si="19"/>
        <v>0.37784365860055213</v>
      </c>
      <c r="C613">
        <f ca="1">AVERAGE(B$2:B613)</f>
        <v>0.11985098653515308</v>
      </c>
      <c r="D613">
        <f ca="1">_xlfn.VAR.P(B$2:B613)</f>
        <v>1.991630770915862</v>
      </c>
    </row>
    <row r="614" spans="1:4" x14ac:dyDescent="0.3">
      <c r="A614">
        <f t="shared" ca="1" si="18"/>
        <v>0.59710386745038657</v>
      </c>
      <c r="B614">
        <f t="shared" ca="1" si="19"/>
        <v>-0.21592930530393853</v>
      </c>
      <c r="C614">
        <f ca="1">AVERAGE(B$2:B614)</f>
        <v>0.11930322096934705</v>
      </c>
      <c r="D614">
        <f ca="1">_xlfn.VAR.P(B$2:B614)</f>
        <v>1.988565409911931</v>
      </c>
    </row>
    <row r="615" spans="1:4" x14ac:dyDescent="0.3">
      <c r="A615">
        <f t="shared" ca="1" si="18"/>
        <v>0.1683589390197674</v>
      </c>
      <c r="B615">
        <f t="shared" ca="1" si="19"/>
        <v>1.0885098563942319</v>
      </c>
      <c r="C615">
        <f ca="1">AVERAGE(B$2:B615)</f>
        <v>0.12088173340489246</v>
      </c>
      <c r="D615">
        <f ca="1">_xlfn.VAR.P(B$2:B615)</f>
        <v>1.9868541170577176</v>
      </c>
    </row>
    <row r="616" spans="1:4" x14ac:dyDescent="0.3">
      <c r="A616">
        <f t="shared" ca="1" si="18"/>
        <v>0.11319093862149754</v>
      </c>
      <c r="B616">
        <f t="shared" ca="1" si="19"/>
        <v>1.4855319833703551</v>
      </c>
      <c r="C616">
        <f ca="1">AVERAGE(B$2:B616)</f>
        <v>0.12310067690077124</v>
      </c>
      <c r="D616">
        <f ca="1">_xlfn.VAR.P(B$2:B616)</f>
        <v>1.9866466180428832</v>
      </c>
    </row>
    <row r="617" spans="1:4" x14ac:dyDescent="0.3">
      <c r="A617">
        <f t="shared" ca="1" si="18"/>
        <v>0.76857362905160076</v>
      </c>
      <c r="B617">
        <f t="shared" ca="1" si="19"/>
        <v>-0.77034632754393662</v>
      </c>
      <c r="C617">
        <f ca="1">AVERAGE(B$2:B617)</f>
        <v>0.12165027591952984</v>
      </c>
      <c r="D617">
        <f ca="1">_xlfn.VAR.P(B$2:B617)</f>
        <v>1.9847152951131697</v>
      </c>
    </row>
    <row r="618" spans="1:4" x14ac:dyDescent="0.3">
      <c r="A618">
        <f t="shared" ca="1" si="18"/>
        <v>0.98259148694264076</v>
      </c>
      <c r="B618">
        <f t="shared" ca="1" si="19"/>
        <v>-3.3576487556784134</v>
      </c>
      <c r="C618">
        <f ca="1">AVERAGE(B$2:B618)</f>
        <v>0.11601121752147807</v>
      </c>
      <c r="D618">
        <f ca="1">_xlfn.VAR.P(B$2:B618)</f>
        <v>2.0010867480884396</v>
      </c>
    </row>
    <row r="619" spans="1:4" x14ac:dyDescent="0.3">
      <c r="A619">
        <f t="shared" ca="1" si="18"/>
        <v>0.21471413482335389</v>
      </c>
      <c r="B619">
        <f t="shared" ca="1" si="19"/>
        <v>0.84530056047695501</v>
      </c>
      <c r="C619">
        <f ca="1">AVERAGE(B$2:B619)</f>
        <v>0.11719129736444811</v>
      </c>
      <c r="D619">
        <f ca="1">_xlfn.VAR.P(B$2:B619)</f>
        <v>1.9987079707065734</v>
      </c>
    </row>
    <row r="620" spans="1:4" x14ac:dyDescent="0.3">
      <c r="A620">
        <f t="shared" ca="1" si="18"/>
        <v>0.52901323647621845</v>
      </c>
      <c r="B620">
        <f t="shared" ca="1" si="19"/>
        <v>-5.9778107722576045E-2</v>
      </c>
      <c r="C620">
        <f ca="1">AVERAGE(B$2:B620)</f>
        <v>0.11690540171810396</v>
      </c>
      <c r="D620">
        <f ca="1">_xlfn.VAR.P(B$2:B620)</f>
        <v>1.9955295532669095</v>
      </c>
    </row>
    <row r="621" spans="1:4" x14ac:dyDescent="0.3">
      <c r="A621">
        <f t="shared" ca="1" si="18"/>
        <v>0.68606613479219958</v>
      </c>
      <c r="B621">
        <f t="shared" ca="1" si="19"/>
        <v>-0.46542575505484424</v>
      </c>
      <c r="C621">
        <f ca="1">AVERAGE(B$2:B621)</f>
        <v>0.11596615791685727</v>
      </c>
      <c r="D621">
        <f ca="1">_xlfn.VAR.P(B$2:B621)</f>
        <v>1.9928570259636065</v>
      </c>
    </row>
    <row r="622" spans="1:4" x14ac:dyDescent="0.3">
      <c r="A622">
        <f t="shared" ca="1" si="18"/>
        <v>0.6850828402646838</v>
      </c>
      <c r="B622">
        <f t="shared" ca="1" si="19"/>
        <v>-0.46229847915041933</v>
      </c>
      <c r="C622">
        <f ca="1">AVERAGE(B$2:B622)</f>
        <v>0.11503497492641078</v>
      </c>
      <c r="D622">
        <f ca="1">_xlfn.VAR.P(B$2:B622)</f>
        <v>1.9901855195132439</v>
      </c>
    </row>
    <row r="623" spans="1:4" x14ac:dyDescent="0.3">
      <c r="A623">
        <f t="shared" ca="1" si="18"/>
        <v>0.588669782922144</v>
      </c>
      <c r="B623">
        <f t="shared" ca="1" si="19"/>
        <v>-0.19521175863942961</v>
      </c>
      <c r="C623">
        <f ca="1">AVERAGE(B$2:B623)</f>
        <v>0.114536185965694</v>
      </c>
      <c r="D623">
        <f ca="1">_xlfn.VAR.P(B$2:B623)</f>
        <v>1.9871403631925515</v>
      </c>
    </row>
    <row r="624" spans="1:4" x14ac:dyDescent="0.3">
      <c r="A624">
        <f t="shared" ca="1" si="18"/>
        <v>0.41536545540235426</v>
      </c>
      <c r="B624">
        <f t="shared" ca="1" si="19"/>
        <v>0.18544935027841522</v>
      </c>
      <c r="C624">
        <f ca="1">AVERAGE(B$2:B624)</f>
        <v>0.11465001126956674</v>
      </c>
      <c r="D624">
        <f ca="1">_xlfn.VAR.P(B$2:B624)</f>
        <v>1.9839587905472349</v>
      </c>
    </row>
    <row r="625" spans="1:4" x14ac:dyDescent="0.3">
      <c r="A625">
        <f t="shared" ca="1" si="18"/>
        <v>0.44323495862529416</v>
      </c>
      <c r="B625">
        <f t="shared" ca="1" si="19"/>
        <v>0.1205080883351521</v>
      </c>
      <c r="C625">
        <f ca="1">AVERAGE(B$2:B625)</f>
        <v>0.11465939921358211</v>
      </c>
      <c r="D625">
        <f ca="1">_xlfn.VAR.P(B$2:B625)</f>
        <v>1.9807794243157033</v>
      </c>
    </row>
    <row r="626" spans="1:4" x14ac:dyDescent="0.3">
      <c r="A626">
        <f t="shared" ca="1" si="18"/>
        <v>5.0483051601393658E-2</v>
      </c>
      <c r="B626">
        <f t="shared" ca="1" si="19"/>
        <v>2.2929704303247305</v>
      </c>
      <c r="C626">
        <f ca="1">AVERAGE(B$2:B626)</f>
        <v>0.11814469686335995</v>
      </c>
      <c r="D626">
        <f ca="1">_xlfn.VAR.P(B$2:B626)</f>
        <v>1.9851900922543078</v>
      </c>
    </row>
    <row r="627" spans="1:4" x14ac:dyDescent="0.3">
      <c r="A627">
        <f t="shared" ca="1" si="18"/>
        <v>0.50629195797363247</v>
      </c>
      <c r="B627">
        <f t="shared" ca="1" si="19"/>
        <v>-1.266376399215525E-2</v>
      </c>
      <c r="C627">
        <f ca="1">AVERAGE(B$2:B627)</f>
        <v>0.11793573766071536</v>
      </c>
      <c r="D627">
        <f ca="1">_xlfn.VAR.P(B$2:B627)</f>
        <v>1.9820461520427188</v>
      </c>
    </row>
    <row r="628" spans="1:4" x14ac:dyDescent="0.3">
      <c r="A628">
        <f t="shared" ca="1" si="18"/>
        <v>0.65806117914661799</v>
      </c>
      <c r="B628">
        <f t="shared" ca="1" si="19"/>
        <v>-0.37997626375528576</v>
      </c>
      <c r="C628">
        <f ca="1">AVERAGE(B$2:B628)</f>
        <v>0.11714161963612844</v>
      </c>
      <c r="D628">
        <f ca="1">_xlfn.VAR.P(B$2:B628)</f>
        <v>1.979279764177035</v>
      </c>
    </row>
    <row r="629" spans="1:4" x14ac:dyDescent="0.3">
      <c r="A629">
        <f t="shared" ca="1" si="18"/>
        <v>0.84001977670171057</v>
      </c>
      <c r="B629">
        <f t="shared" ca="1" si="19"/>
        <v>-1.1395578952137075</v>
      </c>
      <c r="C629">
        <f ca="1">AVERAGE(B$2:B629)</f>
        <v>0.11514050575897901</v>
      </c>
      <c r="D629">
        <f ca="1">_xlfn.VAR.P(B$2:B629)</f>
        <v>1.9786388391891498</v>
      </c>
    </row>
    <row r="630" spans="1:4" x14ac:dyDescent="0.3">
      <c r="A630">
        <f t="shared" ca="1" si="18"/>
        <v>0.12717728652615135</v>
      </c>
      <c r="B630">
        <f t="shared" ca="1" si="19"/>
        <v>1.3690260285067859</v>
      </c>
      <c r="C630">
        <f ca="1">AVERAGE(B$2:B630)</f>
        <v>0.11713396445969095</v>
      </c>
      <c r="D630">
        <f ca="1">_xlfn.VAR.P(B$2:B630)</f>
        <v>1.9779887445881363</v>
      </c>
    </row>
    <row r="631" spans="1:4" x14ac:dyDescent="0.3">
      <c r="A631">
        <f t="shared" ca="1" si="18"/>
        <v>0.3133793823999661</v>
      </c>
      <c r="B631">
        <f t="shared" ca="1" si="19"/>
        <v>0.46719355751829034</v>
      </c>
      <c r="C631">
        <f ca="1">AVERAGE(B$2:B631)</f>
        <v>0.117689614607403</v>
      </c>
      <c r="D631">
        <f ca="1">_xlfn.VAR.P(B$2:B631)</f>
        <v>1.9750432818316912</v>
      </c>
    </row>
    <row r="632" spans="1:4" x14ac:dyDescent="0.3">
      <c r="A632">
        <f t="shared" ca="1" si="18"/>
        <v>0.88225351916354167</v>
      </c>
      <c r="B632">
        <f t="shared" ca="1" si="19"/>
        <v>-1.4460742527114894</v>
      </c>
      <c r="C632">
        <f ca="1">AVERAGE(B$2:B632)</f>
        <v>0.11521138343891031</v>
      </c>
      <c r="D632">
        <f ca="1">_xlfn.VAR.P(B$2:B632)</f>
        <v>1.9757824875092576</v>
      </c>
    </row>
    <row r="633" spans="1:4" x14ac:dyDescent="0.3">
      <c r="A633">
        <f t="shared" ca="1" si="18"/>
        <v>0.47455512267065603</v>
      </c>
      <c r="B633">
        <f t="shared" ca="1" si="19"/>
        <v>5.2230317107502505E-2</v>
      </c>
      <c r="C633">
        <f ca="1">AVERAGE(B$2:B633)</f>
        <v>0.11511172985294289</v>
      </c>
      <c r="D633">
        <f ca="1">_xlfn.VAR.P(B$2:B633)</f>
        <v>1.9726625157543805</v>
      </c>
    </row>
    <row r="634" spans="1:4" x14ac:dyDescent="0.3">
      <c r="A634">
        <f t="shared" ca="1" si="18"/>
        <v>0.91562294194210159</v>
      </c>
      <c r="B634">
        <f t="shared" ca="1" si="19"/>
        <v>-1.7793125577296585</v>
      </c>
      <c r="C634">
        <f ca="1">AVERAGE(B$2:B634)</f>
        <v>0.11211895846655648</v>
      </c>
      <c r="D634">
        <f ca="1">_xlfn.VAR.P(B$2:B634)</f>
        <v>1.9752067673923379</v>
      </c>
    </row>
    <row r="635" spans="1:4" x14ac:dyDescent="0.3">
      <c r="A635">
        <f t="shared" ca="1" si="18"/>
        <v>0.16715541655999444</v>
      </c>
      <c r="B635">
        <f t="shared" ca="1" si="19"/>
        <v>1.0956840806967751</v>
      </c>
      <c r="C635">
        <f ca="1">AVERAGE(B$2:B635)</f>
        <v>0.11367032301266092</v>
      </c>
      <c r="D635">
        <f ca="1">_xlfn.VAR.P(B$2:B635)</f>
        <v>1.9736147606324261</v>
      </c>
    </row>
    <row r="636" spans="1:4" x14ac:dyDescent="0.3">
      <c r="A636">
        <f t="shared" ca="1" si="18"/>
        <v>0.22190957386467269</v>
      </c>
      <c r="B636">
        <f t="shared" ca="1" si="19"/>
        <v>0.81233812446315379</v>
      </c>
      <c r="C636">
        <f ca="1">AVERAGE(B$2:B636)</f>
        <v>0.11477058726691367</v>
      </c>
      <c r="D636">
        <f ca="1">_xlfn.VAR.P(B$2:B636)</f>
        <v>1.9712742145173765</v>
      </c>
    </row>
    <row r="637" spans="1:4" x14ac:dyDescent="0.3">
      <c r="A637">
        <f t="shared" ca="1" si="18"/>
        <v>0.56033353458365398</v>
      </c>
      <c r="B637">
        <f t="shared" ca="1" si="19"/>
        <v>-0.12859169210695204</v>
      </c>
      <c r="C637">
        <f ca="1">AVERAGE(B$2:B637)</f>
        <v>0.11438794217355852</v>
      </c>
      <c r="D637">
        <f ca="1">_xlfn.VAR.P(B$2:B637)</f>
        <v>1.9682677017235441</v>
      </c>
    </row>
    <row r="638" spans="1:4" x14ac:dyDescent="0.3">
      <c r="A638">
        <f t="shared" ca="1" si="18"/>
        <v>0.778943126144795</v>
      </c>
      <c r="B638">
        <f t="shared" ca="1" si="19"/>
        <v>-0.81618808225158523</v>
      </c>
      <c r="C638">
        <f ca="1">AVERAGE(B$2:B638)</f>
        <v>0.11292706929377024</v>
      </c>
      <c r="D638">
        <f ca="1">_xlfn.VAR.P(B$2:B638)</f>
        <v>1.9665351186501296</v>
      </c>
    </row>
    <row r="639" spans="1:4" x14ac:dyDescent="0.3">
      <c r="A639">
        <f t="shared" ca="1" si="18"/>
        <v>0.34359547202628882</v>
      </c>
      <c r="B639">
        <f t="shared" ca="1" si="19"/>
        <v>0.37514308643649874</v>
      </c>
      <c r="C639">
        <f ca="1">AVERAGE(B$2:B639)</f>
        <v>0.11333806618584347</v>
      </c>
      <c r="D639">
        <f ca="1">_xlfn.VAR.P(B$2:B639)</f>
        <v>1.9635603762536216</v>
      </c>
    </row>
    <row r="640" spans="1:4" x14ac:dyDescent="0.3">
      <c r="A640">
        <f t="shared" ca="1" si="18"/>
        <v>0.61738821484307072</v>
      </c>
      <c r="B640">
        <f t="shared" ca="1" si="19"/>
        <v>-0.26758723907567067</v>
      </c>
      <c r="C640">
        <f ca="1">AVERAGE(B$2:B640)</f>
        <v>0.11274193894756254</v>
      </c>
      <c r="D640">
        <f ca="1">_xlfn.VAR.P(B$2:B640)</f>
        <v>1.9607142363975727</v>
      </c>
    </row>
    <row r="641" spans="1:4" x14ac:dyDescent="0.3">
      <c r="A641">
        <f t="shared" ca="1" si="18"/>
        <v>6.8863916997941699E-2</v>
      </c>
      <c r="B641">
        <f t="shared" ca="1" si="19"/>
        <v>1.9824757586277064</v>
      </c>
      <c r="C641">
        <f ca="1">AVERAGE(B$2:B641)</f>
        <v>0.11566339804081276</v>
      </c>
      <c r="D641">
        <f ca="1">_xlfn.VAR.P(B$2:B641)</f>
        <v>1.9631044363494299</v>
      </c>
    </row>
    <row r="642" spans="1:4" x14ac:dyDescent="0.3">
      <c r="A642">
        <f t="shared" ca="1" si="18"/>
        <v>0.39363950391845548</v>
      </c>
      <c r="B642">
        <f t="shared" ca="1" si="19"/>
        <v>0.23917257263390548</v>
      </c>
      <c r="C642">
        <f ca="1">AVERAGE(B$2:B642)</f>
        <v>0.11585608006045876</v>
      </c>
      <c r="D642">
        <f ca="1">_xlfn.VAR.P(B$2:B642)</f>
        <v>1.9600656317969525</v>
      </c>
    </row>
    <row r="643" spans="1:4" x14ac:dyDescent="0.3">
      <c r="A643">
        <f t="shared" ref="A643:A706" ca="1" si="20">RAND()</f>
        <v>2.9820647521988652E-3</v>
      </c>
      <c r="B643">
        <f t="shared" ref="B643:B706" ca="1" si="21">-SIGN(0.5-A643)*LN(1-2*ABS(0.5-A643))*$F$1</f>
        <v>5.1219921679629952</v>
      </c>
      <c r="C643">
        <f ca="1">AVERAGE(B$2:B643)</f>
        <v>0.12365379982354684</v>
      </c>
      <c r="D643">
        <f ca="1">_xlfn.VAR.P(B$2:B643)</f>
        <v>1.9959882119410239</v>
      </c>
    </row>
    <row r="644" spans="1:4" x14ac:dyDescent="0.3">
      <c r="A644">
        <f t="shared" ca="1" si="20"/>
        <v>0.28521100209501549</v>
      </c>
      <c r="B644">
        <f t="shared" ca="1" si="21"/>
        <v>0.56137883385537379</v>
      </c>
      <c r="C644">
        <f ca="1">AVERAGE(B$2:B644)</f>
        <v>0.12433455415330084</v>
      </c>
      <c r="D644">
        <f ca="1">_xlfn.VAR.P(B$2:B644)</f>
        <v>1.9931815509927582</v>
      </c>
    </row>
    <row r="645" spans="1:4" x14ac:dyDescent="0.3">
      <c r="A645">
        <f t="shared" ca="1" si="20"/>
        <v>0.71753904124753065</v>
      </c>
      <c r="B645">
        <f t="shared" ca="1" si="21"/>
        <v>-0.57106775649237573</v>
      </c>
      <c r="C645">
        <f ca="1">AVERAGE(B$2:B645)</f>
        <v>0.12325473690074544</v>
      </c>
      <c r="D645">
        <f ca="1">_xlfn.VAR.P(B$2:B645)</f>
        <v>1.9908362899915872</v>
      </c>
    </row>
    <row r="646" spans="1:4" x14ac:dyDescent="0.3">
      <c r="A646">
        <f t="shared" ca="1" si="20"/>
        <v>0.1049340672427812</v>
      </c>
      <c r="B646">
        <f t="shared" ca="1" si="21"/>
        <v>1.5612758765170529</v>
      </c>
      <c r="C646">
        <f ca="1">AVERAGE(B$2:B646)</f>
        <v>0.12548422703968545</v>
      </c>
      <c r="D646">
        <f ca="1">_xlfn.VAR.P(B$2:B646)</f>
        <v>1.99095080542421</v>
      </c>
    </row>
    <row r="647" spans="1:4" x14ac:dyDescent="0.3">
      <c r="A647">
        <f t="shared" ca="1" si="20"/>
        <v>0.35968840667261714</v>
      </c>
      <c r="B647">
        <f t="shared" ca="1" si="21"/>
        <v>0.32936997878599161</v>
      </c>
      <c r="C647">
        <f ca="1">AVERAGE(B$2:B647)</f>
        <v>0.12579983965848779</v>
      </c>
      <c r="D647">
        <f ca="1">_xlfn.VAR.P(B$2:B647)</f>
        <v>1.9879330875378707</v>
      </c>
    </row>
    <row r="648" spans="1:4" x14ac:dyDescent="0.3">
      <c r="A648">
        <f t="shared" ca="1" si="20"/>
        <v>0.58496673564364787</v>
      </c>
      <c r="B648">
        <f t="shared" ca="1" si="21"/>
        <v>-0.18624942632819258</v>
      </c>
      <c r="C648">
        <f ca="1">AVERAGE(B$2:B648)</f>
        <v>0.12531753785634456</v>
      </c>
      <c r="D648">
        <f ca="1">_xlfn.VAR.P(B$2:B648)</f>
        <v>1.9850108172982128</v>
      </c>
    </row>
    <row r="649" spans="1:4" x14ac:dyDescent="0.3">
      <c r="A649">
        <f t="shared" ca="1" si="20"/>
        <v>0.48425032670002999</v>
      </c>
      <c r="B649">
        <f t="shared" ca="1" si="21"/>
        <v>3.2006121483729166E-2</v>
      </c>
      <c r="C649">
        <f ca="1">AVERAGE(B$2:B649)</f>
        <v>0.1251735387570041</v>
      </c>
      <c r="D649">
        <f ca="1">_xlfn.VAR.P(B$2:B649)</f>
        <v>1.9819609450240887</v>
      </c>
    </row>
    <row r="650" spans="1:4" x14ac:dyDescent="0.3">
      <c r="A650">
        <f t="shared" ca="1" si="20"/>
        <v>0.48071792587944351</v>
      </c>
      <c r="B650">
        <f t="shared" ca="1" si="21"/>
        <v>3.9327433018401033E-2</v>
      </c>
      <c r="C650">
        <f ca="1">AVERAGE(B$2:B650)</f>
        <v>0.1250412643259739</v>
      </c>
      <c r="D650">
        <f ca="1">_xlfn.VAR.P(B$2:B650)</f>
        <v>1.9789184138277893</v>
      </c>
    </row>
    <row r="651" spans="1:4" x14ac:dyDescent="0.3">
      <c r="A651">
        <f t="shared" ca="1" si="20"/>
        <v>0.64481562106718249</v>
      </c>
      <c r="B651">
        <f t="shared" ca="1" si="21"/>
        <v>-0.34197106650092784</v>
      </c>
      <c r="C651">
        <f ca="1">AVERAGE(B$2:B651)</f>
        <v>0.12432278381700941</v>
      </c>
      <c r="D651">
        <f ca="1">_xlfn.VAR.P(B$2:B651)</f>
        <v>1.9762089470032651</v>
      </c>
    </row>
    <row r="652" spans="1:4" x14ac:dyDescent="0.3">
      <c r="A652">
        <f t="shared" ca="1" si="20"/>
        <v>0.87764394033466453</v>
      </c>
      <c r="B652">
        <f t="shared" ca="1" si="21"/>
        <v>-1.4076727824584723</v>
      </c>
      <c r="C652">
        <f ca="1">AVERAGE(B$2:B652)</f>
        <v>0.12196948801627902</v>
      </c>
      <c r="D652">
        <f ca="1">_xlfn.VAR.P(B$2:B652)</f>
        <v>1.9767729965107179</v>
      </c>
    </row>
    <row r="653" spans="1:4" x14ac:dyDescent="0.3">
      <c r="A653">
        <f t="shared" ca="1" si="20"/>
        <v>0.91621415168745723</v>
      </c>
      <c r="B653">
        <f t="shared" ca="1" si="21"/>
        <v>-1.7863439797470628</v>
      </c>
      <c r="C653">
        <f ca="1">AVERAGE(B$2:B653)</f>
        <v>0.11904262686940274</v>
      </c>
      <c r="D653">
        <f ca="1">_xlfn.VAR.P(B$2:B653)</f>
        <v>1.9793179381153059</v>
      </c>
    </row>
    <row r="654" spans="1:4" x14ac:dyDescent="0.3">
      <c r="A654">
        <f t="shared" ca="1" si="20"/>
        <v>0.787057640023333</v>
      </c>
      <c r="B654">
        <f t="shared" ca="1" si="21"/>
        <v>-0.85358657977256136</v>
      </c>
      <c r="C654">
        <f ca="1">AVERAGE(B$2:B654)</f>
        <v>0.1175531487581593</v>
      </c>
      <c r="D654">
        <f ca="1">_xlfn.VAR.P(B$2:B654)</f>
        <v>1.9777333147241636</v>
      </c>
    </row>
    <row r="655" spans="1:4" x14ac:dyDescent="0.3">
      <c r="A655">
        <f t="shared" ca="1" si="20"/>
        <v>0.69345870468513937</v>
      </c>
      <c r="B655">
        <f t="shared" ca="1" si="21"/>
        <v>-0.48925562026219577</v>
      </c>
      <c r="C655">
        <f ca="1">AVERAGE(B$2:B655)</f>
        <v>0.11662530660369391</v>
      </c>
      <c r="D655">
        <f ca="1">_xlfn.VAR.P(B$2:B655)</f>
        <v>1.9752714195325431</v>
      </c>
    </row>
    <row r="656" spans="1:4" x14ac:dyDescent="0.3">
      <c r="A656">
        <f t="shared" ca="1" si="20"/>
        <v>0.53308301961545734</v>
      </c>
      <c r="B656">
        <f t="shared" ca="1" si="21"/>
        <v>-6.845662875248433E-2</v>
      </c>
      <c r="C656">
        <f ca="1">AVERAGE(B$2:B656)</f>
        <v>0.11634273876345547</v>
      </c>
      <c r="D656">
        <f ca="1">_xlfn.VAR.P(B$2:B656)</f>
        <v>1.9723079563341612</v>
      </c>
    </row>
    <row r="657" spans="1:4" x14ac:dyDescent="0.3">
      <c r="A657">
        <f t="shared" ca="1" si="20"/>
        <v>0.73221362904669252</v>
      </c>
      <c r="B657">
        <f t="shared" ca="1" si="21"/>
        <v>-0.62441855909160693</v>
      </c>
      <c r="C657">
        <f ca="1">AVERAGE(B$2:B657)</f>
        <v>0.11521352946794471</v>
      </c>
      <c r="D657">
        <f ca="1">_xlfn.VAR.P(B$2:B657)</f>
        <v>1.9701365887572138</v>
      </c>
    </row>
    <row r="658" spans="1:4" x14ac:dyDescent="0.3">
      <c r="A658">
        <f t="shared" ca="1" si="20"/>
        <v>0.40686146879613039</v>
      </c>
      <c r="B658">
        <f t="shared" ca="1" si="21"/>
        <v>0.20613534242740542</v>
      </c>
      <c r="C658">
        <f ca="1">AVERAGE(B$2:B658)</f>
        <v>0.1153519188331798</v>
      </c>
      <c r="D658">
        <f ca="1">_xlfn.VAR.P(B$2:B658)</f>
        <v>1.9671504663899422</v>
      </c>
    </row>
    <row r="659" spans="1:4" x14ac:dyDescent="0.3">
      <c r="A659">
        <f t="shared" ca="1" si="20"/>
        <v>0.76721980863531969</v>
      </c>
      <c r="B659">
        <f t="shared" ca="1" si="21"/>
        <v>-0.764513474824842</v>
      </c>
      <c r="C659">
        <f ca="1">AVERAGE(B$2:B659)</f>
        <v>0.1140147373838515</v>
      </c>
      <c r="D659">
        <f ca="1">_xlfn.VAR.P(B$2:B659)</f>
        <v>1.9653356276435663</v>
      </c>
    </row>
    <row r="660" spans="1:4" x14ac:dyDescent="0.3">
      <c r="A660">
        <f t="shared" ca="1" si="20"/>
        <v>0.23447650956595412</v>
      </c>
      <c r="B660">
        <f t="shared" ca="1" si="21"/>
        <v>0.75725268798008516</v>
      </c>
      <c r="C660">
        <f ca="1">AVERAGE(B$2:B660)</f>
        <v>0.11499081925122059</v>
      </c>
      <c r="D660">
        <f ca="1">_xlfn.VAR.P(B$2:B660)</f>
        <v>1.9629802279175328</v>
      </c>
    </row>
    <row r="661" spans="1:4" x14ac:dyDescent="0.3">
      <c r="A661">
        <f t="shared" ca="1" si="20"/>
        <v>0.73115319644783106</v>
      </c>
      <c r="B661">
        <f t="shared" ca="1" si="21"/>
        <v>-0.62046638457261594</v>
      </c>
      <c r="C661">
        <f ca="1">AVERAGE(B$2:B661)</f>
        <v>0.1138764901545178</v>
      </c>
      <c r="D661">
        <f ca="1">_xlfn.VAR.P(B$2:B661)</f>
        <v>1.9608243150832554</v>
      </c>
    </row>
    <row r="662" spans="1:4" x14ac:dyDescent="0.3">
      <c r="A662">
        <f t="shared" ca="1" si="20"/>
        <v>0.60374481136560809</v>
      </c>
      <c r="B662">
        <f t="shared" ca="1" si="21"/>
        <v>-0.23254967897096301</v>
      </c>
      <c r="C662">
        <f ca="1">AVERAGE(B$2:B662)</f>
        <v>0.11335239610137789</v>
      </c>
      <c r="D662">
        <f ca="1">_xlfn.VAR.P(B$2:B662)</f>
        <v>1.9580391489950206</v>
      </c>
    </row>
    <row r="663" spans="1:4" x14ac:dyDescent="0.3">
      <c r="A663">
        <f t="shared" ca="1" si="20"/>
        <v>0.70787011129065724</v>
      </c>
      <c r="B663">
        <f t="shared" ca="1" si="21"/>
        <v>-0.53740957071186646</v>
      </c>
      <c r="C663">
        <f ca="1">AVERAGE(B$2:B663)</f>
        <v>0.11236937198232463</v>
      </c>
      <c r="D663">
        <f ca="1">_xlfn.VAR.P(B$2:B663)</f>
        <v>1.9557201343027946</v>
      </c>
    </row>
    <row r="664" spans="1:4" x14ac:dyDescent="0.3">
      <c r="A664">
        <f t="shared" ca="1" si="20"/>
        <v>0.52251457900212306</v>
      </c>
      <c r="B664">
        <f t="shared" ca="1" si="21"/>
        <v>-4.6074470909134996E-2</v>
      </c>
      <c r="C664">
        <f ca="1">AVERAGE(B$2:B664)</f>
        <v>0.1121303918271339</v>
      </c>
      <c r="D664">
        <f ca="1">_xlfn.VAR.P(B$2:B664)</f>
        <v>1.9528081380013063</v>
      </c>
    </row>
    <row r="665" spans="1:4" x14ac:dyDescent="0.3">
      <c r="A665">
        <f t="shared" ca="1" si="20"/>
        <v>0.51490878144301122</v>
      </c>
      <c r="B665">
        <f t="shared" ca="1" si="21"/>
        <v>-3.0271145670494184E-2</v>
      </c>
      <c r="C665">
        <f ca="1">AVERAGE(B$2:B665)</f>
        <v>0.11191593168030012</v>
      </c>
      <c r="D665">
        <f ca="1">_xlfn.VAR.P(B$2:B665)</f>
        <v>1.9498976553513452</v>
      </c>
    </row>
    <row r="666" spans="1:4" x14ac:dyDescent="0.3">
      <c r="A666">
        <f t="shared" ca="1" si="20"/>
        <v>0.93694666338308463</v>
      </c>
      <c r="B666">
        <f t="shared" ca="1" si="21"/>
        <v>-2.0706271172383639</v>
      </c>
      <c r="C666">
        <f ca="1">AVERAGE(B$2:B666)</f>
        <v>0.10863391205786604</v>
      </c>
      <c r="D666">
        <f ca="1">_xlfn.VAR.P(B$2:B666)</f>
        <v>1.9541178558865608</v>
      </c>
    </row>
    <row r="667" spans="1:4" x14ac:dyDescent="0.3">
      <c r="A667">
        <f t="shared" ca="1" si="20"/>
        <v>0.59797074576043241</v>
      </c>
      <c r="B667">
        <f t="shared" ca="1" si="21"/>
        <v>-0.21808324071068744</v>
      </c>
      <c r="C667">
        <f ca="1">AVERAGE(B$2:B667)</f>
        <v>0.10814334576241777</v>
      </c>
      <c r="D667">
        <f ca="1">_xlfn.VAR.P(B$2:B667)</f>
        <v>1.9513437807598388</v>
      </c>
    </row>
    <row r="668" spans="1:4" x14ac:dyDescent="0.3">
      <c r="A668">
        <f t="shared" ca="1" si="20"/>
        <v>0.51060865140166489</v>
      </c>
      <c r="B668">
        <f t="shared" ca="1" si="21"/>
        <v>-2.1445625137636929E-2</v>
      </c>
      <c r="C668">
        <f ca="1">AVERAGE(B$2:B668)</f>
        <v>0.1079490594492243</v>
      </c>
      <c r="D668">
        <f ca="1">_xlfn.VAR.P(B$2:B668)</f>
        <v>1.9484433674813617</v>
      </c>
    </row>
    <row r="669" spans="1:4" x14ac:dyDescent="0.3">
      <c r="A669">
        <f t="shared" ca="1" si="20"/>
        <v>0.95487923620464821</v>
      </c>
      <c r="B669">
        <f t="shared" ca="1" si="21"/>
        <v>-2.405265563287196</v>
      </c>
      <c r="C669">
        <f ca="1">AVERAGE(B$2:B669)</f>
        <v>0.10418676210979851</v>
      </c>
      <c r="D669">
        <f ca="1">_xlfn.VAR.P(B$2:B669)</f>
        <v>1.9549678419001735</v>
      </c>
    </row>
    <row r="670" spans="1:4" x14ac:dyDescent="0.3">
      <c r="A670">
        <f t="shared" ca="1" si="20"/>
        <v>0.73318392612905692</v>
      </c>
      <c r="B670">
        <f t="shared" ca="1" si="21"/>
        <v>-0.62804853930290394</v>
      </c>
      <c r="C670">
        <f ca="1">AVERAGE(B$2:B670)</f>
        <v>0.10309223998511584</v>
      </c>
      <c r="D670">
        <f ca="1">_xlfn.VAR.P(B$2:B670)</f>
        <v>1.9528458676804379</v>
      </c>
    </row>
    <row r="671" spans="1:4" x14ac:dyDescent="0.3">
      <c r="A671">
        <f t="shared" ca="1" si="20"/>
        <v>0.92348319686820424</v>
      </c>
      <c r="B671">
        <f t="shared" ca="1" si="21"/>
        <v>-1.8770977329273195</v>
      </c>
      <c r="C671">
        <f ca="1">AVERAGE(B$2:B671)</f>
        <v>0.10013673256285846</v>
      </c>
      <c r="D671">
        <f ca="1">_xlfn.VAR.P(B$2:B671)</f>
        <v>1.955774903493841</v>
      </c>
    </row>
    <row r="672" spans="1:4" x14ac:dyDescent="0.3">
      <c r="A672">
        <f t="shared" ca="1" si="20"/>
        <v>0.15984454971971196</v>
      </c>
      <c r="B672">
        <f t="shared" ca="1" si="21"/>
        <v>1.1404063197146341</v>
      </c>
      <c r="C672">
        <f ca="1">AVERAGE(B$2:B672)</f>
        <v>0.10168705981643784</v>
      </c>
      <c r="D672">
        <f ca="1">_xlfn.VAR.P(B$2:B672)</f>
        <v>1.9544705415745669</v>
      </c>
    </row>
    <row r="673" spans="1:4" x14ac:dyDescent="0.3">
      <c r="A673">
        <f t="shared" ca="1" si="20"/>
        <v>0.99341403854891652</v>
      </c>
      <c r="B673">
        <f t="shared" ca="1" si="21"/>
        <v>-4.3296677676458719</v>
      </c>
      <c r="C673">
        <f ca="1">AVERAGE(B$2:B673)</f>
        <v>9.5092781799380841E-2</v>
      </c>
      <c r="D673">
        <f ca="1">_xlfn.VAR.P(B$2:B673)</f>
        <v>1.9807402044906004</v>
      </c>
    </row>
    <row r="674" spans="1:4" x14ac:dyDescent="0.3">
      <c r="A674">
        <f t="shared" ca="1" si="20"/>
        <v>0.6270971044991962</v>
      </c>
      <c r="B674">
        <f t="shared" ca="1" si="21"/>
        <v>-0.2932900464491025</v>
      </c>
      <c r="C674">
        <f ca="1">AVERAGE(B$2:B674)</f>
        <v>9.4515689929769428E-2</v>
      </c>
      <c r="D674">
        <f ca="1">_xlfn.VAR.P(B$2:B674)</f>
        <v>1.9780208536499093</v>
      </c>
    </row>
    <row r="675" spans="1:4" x14ac:dyDescent="0.3">
      <c r="A675">
        <f t="shared" ca="1" si="20"/>
        <v>0.37559561769127681</v>
      </c>
      <c r="B675">
        <f t="shared" ca="1" si="21"/>
        <v>0.286095018644763</v>
      </c>
      <c r="C675">
        <f ca="1">AVERAGE(B$2:B675)</f>
        <v>9.4799932257239747E-2</v>
      </c>
      <c r="D675">
        <f ca="1">_xlfn.VAR.P(B$2:B675)</f>
        <v>1.9751404787694744</v>
      </c>
    </row>
    <row r="676" spans="1:4" x14ac:dyDescent="0.3">
      <c r="A676">
        <f t="shared" ca="1" si="20"/>
        <v>0.31038946747500251</v>
      </c>
      <c r="B676">
        <f t="shared" ca="1" si="21"/>
        <v>0.47678024279256392</v>
      </c>
      <c r="C676">
        <f ca="1">AVERAGE(B$2:B676)</f>
        <v>9.536582901358838E-2</v>
      </c>
      <c r="D676">
        <f ca="1">_xlfn.VAR.P(B$2:B676)</f>
        <v>1.9724301859064353</v>
      </c>
    </row>
    <row r="677" spans="1:4" x14ac:dyDescent="0.3">
      <c r="A677">
        <f t="shared" ca="1" si="20"/>
        <v>0.20765366323721057</v>
      </c>
      <c r="B677">
        <f t="shared" ca="1" si="21"/>
        <v>0.87873648709862628</v>
      </c>
      <c r="C677">
        <f ca="1">AVERAGE(B$2:B677)</f>
        <v>9.6524661348033683E-2</v>
      </c>
      <c r="D677">
        <f ca="1">_xlfn.VAR.P(B$2:B677)</f>
        <v>1.970418842129503</v>
      </c>
    </row>
    <row r="678" spans="1:4" x14ac:dyDescent="0.3">
      <c r="A678">
        <f t="shared" ca="1" si="20"/>
        <v>0.19804057337048342</v>
      </c>
      <c r="B678">
        <f t="shared" ca="1" si="21"/>
        <v>0.92613617270753235</v>
      </c>
      <c r="C678">
        <f ca="1">AVERAGE(B$2:B678)</f>
        <v>9.7750084555359384E-2</v>
      </c>
      <c r="D678">
        <f ca="1">_xlfn.VAR.P(B$2:B678)</f>
        <v>1.9685234503901405</v>
      </c>
    </row>
    <row r="679" spans="1:4" x14ac:dyDescent="0.3">
      <c r="A679">
        <f t="shared" ca="1" si="20"/>
        <v>0.63057562374023701</v>
      </c>
      <c r="B679">
        <f t="shared" ca="1" si="21"/>
        <v>-0.30266204404222163</v>
      </c>
      <c r="C679">
        <f ca="1">AVERAGE(B$2:B679)</f>
        <v>9.7159506194595985E-2</v>
      </c>
      <c r="D679">
        <f ca="1">_xlfn.VAR.P(B$2:B679)</f>
        <v>1.9658561494278979</v>
      </c>
    </row>
    <row r="680" spans="1:4" x14ac:dyDescent="0.3">
      <c r="A680">
        <f t="shared" ca="1" si="20"/>
        <v>0.25629428595188997</v>
      </c>
      <c r="B680">
        <f t="shared" ca="1" si="21"/>
        <v>0.66828175967489967</v>
      </c>
      <c r="C680">
        <f ca="1">AVERAGE(B$2:B680)</f>
        <v>9.8000628806496293E-2</v>
      </c>
      <c r="D680">
        <f ca="1">_xlfn.VAR.P(B$2:B680)</f>
        <v>1.963440603176279</v>
      </c>
    </row>
    <row r="681" spans="1:4" x14ac:dyDescent="0.3">
      <c r="A681">
        <f t="shared" ca="1" si="20"/>
        <v>0.65412203644217259</v>
      </c>
      <c r="B681">
        <f t="shared" ca="1" si="21"/>
        <v>-0.36852209206029535</v>
      </c>
      <c r="C681">
        <f ca="1">AVERAGE(B$2:B681)</f>
        <v>9.7314565981692192E-2</v>
      </c>
      <c r="D681">
        <f ca="1">_xlfn.VAR.P(B$2:B681)</f>
        <v>1.9608727837380631</v>
      </c>
    </row>
    <row r="682" spans="1:4" x14ac:dyDescent="0.3">
      <c r="A682">
        <f t="shared" ca="1" si="20"/>
        <v>3.4638518262813833E-2</v>
      </c>
      <c r="B682">
        <f t="shared" ca="1" si="21"/>
        <v>2.6696417909657737</v>
      </c>
      <c r="C682">
        <f ca="1">AVERAGE(B$2:B682)</f>
        <v>0.10109184531353371</v>
      </c>
      <c r="D682">
        <f ca="1">_xlfn.VAR.P(B$2:B682)</f>
        <v>1.9676955123286572</v>
      </c>
    </row>
    <row r="683" spans="1:4" x14ac:dyDescent="0.3">
      <c r="A683">
        <f t="shared" ca="1" si="20"/>
        <v>0.1560841279289934</v>
      </c>
      <c r="B683">
        <f t="shared" ca="1" si="21"/>
        <v>1.1642129549366054</v>
      </c>
      <c r="C683">
        <f ca="1">AVERAGE(B$2:B683)</f>
        <v>0.10265067392001916</v>
      </c>
      <c r="D683">
        <f ca="1">_xlfn.VAR.P(B$2:B683)</f>
        <v>1.9664651219441991</v>
      </c>
    </row>
    <row r="684" spans="1:4" x14ac:dyDescent="0.3">
      <c r="A684">
        <f t="shared" ca="1" si="20"/>
        <v>0.52140617580845194</v>
      </c>
      <c r="B684">
        <f t="shared" ca="1" si="21"/>
        <v>-4.3755826935169745E-2</v>
      </c>
      <c r="C684">
        <f ca="1">AVERAGE(B$2:B684)</f>
        <v>0.10243631593926485</v>
      </c>
      <c r="D684">
        <f ca="1">_xlfn.VAR.P(B$2:B684)</f>
        <v>1.963617301092291</v>
      </c>
    </row>
    <row r="685" spans="1:4" x14ac:dyDescent="0.3">
      <c r="A685">
        <f t="shared" ca="1" si="20"/>
        <v>7.4958886550309245E-2</v>
      </c>
      <c r="B685">
        <f t="shared" ca="1" si="21"/>
        <v>1.8976683145203119</v>
      </c>
      <c r="C685">
        <f ca="1">AVERAGE(B$2:B685)</f>
        <v>0.10506092412432487</v>
      </c>
      <c r="D685">
        <f ca="1">_xlfn.VAR.P(B$2:B685)</f>
        <v>1.9654514075938108</v>
      </c>
    </row>
    <row r="686" spans="1:4" x14ac:dyDescent="0.3">
      <c r="A686">
        <f t="shared" ca="1" si="20"/>
        <v>0.42902309397430693</v>
      </c>
      <c r="B686">
        <f t="shared" ca="1" si="21"/>
        <v>0.15309734883512913</v>
      </c>
      <c r="C686">
        <f ca="1">AVERAGE(B$2:B686)</f>
        <v>0.1051310502917859</v>
      </c>
      <c r="D686">
        <f ca="1">_xlfn.VAR.P(B$2:B686)</f>
        <v>1.9625854991586205</v>
      </c>
    </row>
    <row r="687" spans="1:4" x14ac:dyDescent="0.3">
      <c r="A687">
        <f t="shared" ca="1" si="20"/>
        <v>0.98527080338495177</v>
      </c>
      <c r="B687">
        <f t="shared" ca="1" si="21"/>
        <v>-3.5247764101649754</v>
      </c>
      <c r="C687">
        <f ca="1">AVERAGE(B$2:B687)</f>
        <v>9.9839639999574875E-2</v>
      </c>
      <c r="D687">
        <f ca="1">_xlfn.VAR.P(B$2:B687)</f>
        <v>1.9789039180254206</v>
      </c>
    </row>
    <row r="688" spans="1:4" x14ac:dyDescent="0.3">
      <c r="A688">
        <f t="shared" ca="1" si="20"/>
        <v>0.74875255044717226</v>
      </c>
      <c r="B688">
        <f t="shared" ca="1" si="21"/>
        <v>-0.68816979013394974</v>
      </c>
      <c r="C688">
        <f ca="1">AVERAGE(B$2:B688)</f>
        <v>9.8692610261389244E-2</v>
      </c>
      <c r="D688">
        <f ca="1">_xlfn.VAR.P(B$2:B688)</f>
        <v>1.9769259719900547</v>
      </c>
    </row>
    <row r="689" spans="1:4" x14ac:dyDescent="0.3">
      <c r="A689">
        <f t="shared" ca="1" si="20"/>
        <v>0.21925163728449915</v>
      </c>
      <c r="B689">
        <f t="shared" ca="1" si="21"/>
        <v>0.8243879995375808</v>
      </c>
      <c r="C689">
        <f ca="1">AVERAGE(B$2:B689)</f>
        <v>9.9747400071383704E-2</v>
      </c>
      <c r="D689">
        <f ca="1">_xlfn.VAR.P(B$2:B689)</f>
        <v>1.9748168765975036</v>
      </c>
    </row>
    <row r="690" spans="1:4" x14ac:dyDescent="0.3">
      <c r="A690">
        <f t="shared" ca="1" si="20"/>
        <v>0.94274256731286576</v>
      </c>
      <c r="B690">
        <f t="shared" ca="1" si="21"/>
        <v>-2.1670506358186143</v>
      </c>
      <c r="C690">
        <f ca="1">AVERAGE(B$2:B690)</f>
        <v>9.6457417435839451E-2</v>
      </c>
      <c r="D690">
        <f ca="1">_xlfn.VAR.P(B$2:B690)</f>
        <v>1.9793975714200593</v>
      </c>
    </row>
    <row r="691" spans="1:4" x14ac:dyDescent="0.3">
      <c r="A691">
        <f t="shared" ca="1" si="20"/>
        <v>0.48293228633621232</v>
      </c>
      <c r="B691">
        <f t="shared" ca="1" si="21"/>
        <v>3.4731648518590806E-2</v>
      </c>
      <c r="C691">
        <f ca="1">AVERAGE(B$2:B691)</f>
        <v>9.6367959799727482E-2</v>
      </c>
      <c r="D691">
        <f ca="1">_xlfn.VAR.P(B$2:B691)</f>
        <v>1.9765343931262727</v>
      </c>
    </row>
    <row r="692" spans="1:4" x14ac:dyDescent="0.3">
      <c r="A692">
        <f t="shared" ca="1" si="20"/>
        <v>0.40433445638898535</v>
      </c>
      <c r="B692">
        <f t="shared" ca="1" si="21"/>
        <v>0.21236570060109297</v>
      </c>
      <c r="C692">
        <f ca="1">AVERAGE(B$2:B692)</f>
        <v>9.6535829178600666E-2</v>
      </c>
      <c r="D692">
        <f ca="1">_xlfn.VAR.P(B$2:B692)</f>
        <v>1.9736934403191466</v>
      </c>
    </row>
    <row r="693" spans="1:4" x14ac:dyDescent="0.3">
      <c r="A693">
        <f t="shared" ca="1" si="20"/>
        <v>0.27474556233601499</v>
      </c>
      <c r="B693">
        <f t="shared" ca="1" si="21"/>
        <v>0.59876265691215769</v>
      </c>
      <c r="C693">
        <f ca="1">AVERAGE(B$2:B693)</f>
        <v>9.7261590490354363E-2</v>
      </c>
      <c r="D693">
        <f ca="1">_xlfn.VAR.P(B$2:B693)</f>
        <v>1.9712052522402088</v>
      </c>
    </row>
    <row r="694" spans="1:4" x14ac:dyDescent="0.3">
      <c r="A694">
        <f t="shared" ca="1" si="20"/>
        <v>0.88417058922260894</v>
      </c>
      <c r="B694">
        <f t="shared" ca="1" si="21"/>
        <v>-1.4624895864511531</v>
      </c>
      <c r="C694">
        <f ca="1">AVERAGE(B$2:B694)</f>
        <v>9.5010867291304563E-2</v>
      </c>
      <c r="D694">
        <f ca="1">_xlfn.VAR.P(B$2:B694)</f>
        <v>1.971866302620543</v>
      </c>
    </row>
    <row r="695" spans="1:4" x14ac:dyDescent="0.3">
      <c r="A695">
        <f t="shared" ca="1" si="20"/>
        <v>9.6378305633244565E-3</v>
      </c>
      <c r="B695">
        <f t="shared" ca="1" si="21"/>
        <v>3.9489120604245231</v>
      </c>
      <c r="C695">
        <f ca="1">AVERAGE(B$2:B695)</f>
        <v>0.10056403903933513</v>
      </c>
      <c r="D695">
        <f ca="1">_xlfn.VAR.P(B$2:B695)</f>
        <v>1.9903955342179316</v>
      </c>
    </row>
    <row r="696" spans="1:4" x14ac:dyDescent="0.3">
      <c r="A696">
        <f t="shared" ca="1" si="20"/>
        <v>0.20671294773208726</v>
      </c>
      <c r="B696">
        <f t="shared" ca="1" si="21"/>
        <v>0.88327699348299438</v>
      </c>
      <c r="C696">
        <f ca="1">AVERAGE(B$2:B696)</f>
        <v>0.10169024472918213</v>
      </c>
      <c r="D696">
        <f ca="1">_xlfn.VAR.P(B$2:B696)</f>
        <v>1.9884118831949866</v>
      </c>
    </row>
    <row r="697" spans="1:4" x14ac:dyDescent="0.3">
      <c r="A697">
        <f t="shared" ca="1" si="20"/>
        <v>0.2169658902600331</v>
      </c>
      <c r="B697">
        <f t="shared" ca="1" si="21"/>
        <v>0.83486794497880301</v>
      </c>
      <c r="C697">
        <f ca="1">AVERAGE(B$2:B697)</f>
        <v>0.10274366096517296</v>
      </c>
      <c r="D697">
        <f ca="1">_xlfn.VAR.P(B$2:B697)</f>
        <v>1.9863262011772496</v>
      </c>
    </row>
    <row r="698" spans="1:4" x14ac:dyDescent="0.3">
      <c r="A698">
        <f t="shared" ca="1" si="20"/>
        <v>8.6840987740572917E-3</v>
      </c>
      <c r="B698">
        <f t="shared" ca="1" si="21"/>
        <v>4.0531144722127381</v>
      </c>
      <c r="C698">
        <f ca="1">AVERAGE(B$2:B698)</f>
        <v>0.10841133788231437</v>
      </c>
      <c r="D698">
        <f ca="1">_xlfn.VAR.P(B$2:B698)</f>
        <v>2.0058336816933444</v>
      </c>
    </row>
    <row r="699" spans="1:4" x14ac:dyDescent="0.3">
      <c r="A699">
        <f t="shared" ca="1" si="20"/>
        <v>0.41720942062312216</v>
      </c>
      <c r="B699">
        <f t="shared" ca="1" si="21"/>
        <v>0.1810197949581771</v>
      </c>
      <c r="C699">
        <f ca="1">AVERAGE(B$2:B699)</f>
        <v>0.10851536145978695</v>
      </c>
      <c r="D699">
        <f ca="1">_xlfn.VAR.P(B$2:B699)</f>
        <v>2.0029675366408433</v>
      </c>
    </row>
    <row r="700" spans="1:4" x14ac:dyDescent="0.3">
      <c r="A700">
        <f t="shared" ca="1" si="20"/>
        <v>0.66116815625548886</v>
      </c>
      <c r="B700">
        <f t="shared" ca="1" si="21"/>
        <v>-0.38910415026025669</v>
      </c>
      <c r="C700">
        <f ca="1">AVERAGE(B$2:B700)</f>
        <v>0.10780345944015884</v>
      </c>
      <c r="D700">
        <f ca="1">_xlfn.VAR.P(B$2:B700)</f>
        <v>2.0004558104397963</v>
      </c>
    </row>
    <row r="701" spans="1:4" x14ac:dyDescent="0.3">
      <c r="A701">
        <f t="shared" ca="1" si="20"/>
        <v>0.69014532214277935</v>
      </c>
      <c r="B701">
        <f t="shared" ca="1" si="21"/>
        <v>-0.47850469196095341</v>
      </c>
      <c r="C701">
        <f ca="1">AVERAGE(B$2:B701)</f>
        <v>0.10696587636672869</v>
      </c>
      <c r="D701">
        <f ca="1">_xlfn.VAR.P(B$2:B701)</f>
        <v>1.9980883966629051</v>
      </c>
    </row>
    <row r="702" spans="1:4" x14ac:dyDescent="0.3">
      <c r="A702">
        <f t="shared" ca="1" si="20"/>
        <v>0.75202252854833296</v>
      </c>
      <c r="B702">
        <f t="shared" ca="1" si="21"/>
        <v>-0.70127019730419327</v>
      </c>
      <c r="C702">
        <f ca="1">AVERAGE(B$2:B702)</f>
        <v>0.10581290051270455</v>
      </c>
      <c r="D702">
        <f ca="1">_xlfn.VAR.P(B$2:B702)</f>
        <v>1.9961686039060473</v>
      </c>
    </row>
    <row r="703" spans="1:4" x14ac:dyDescent="0.3">
      <c r="A703">
        <f t="shared" ca="1" si="20"/>
        <v>0.45572487009232365</v>
      </c>
      <c r="B703">
        <f t="shared" ca="1" si="21"/>
        <v>9.2718826060411777E-2</v>
      </c>
      <c r="C703">
        <f ca="1">AVERAGE(B$2:B703)</f>
        <v>0.10579424798499472</v>
      </c>
      <c r="D703">
        <f ca="1">_xlfn.VAR.P(B$2:B703)</f>
        <v>1.9933253027759081</v>
      </c>
    </row>
    <row r="704" spans="1:4" x14ac:dyDescent="0.3">
      <c r="A704">
        <f t="shared" ca="1" si="20"/>
        <v>0.62099433346832467</v>
      </c>
      <c r="B704">
        <f t="shared" ca="1" si="21"/>
        <v>-0.27705694218062338</v>
      </c>
      <c r="C704">
        <f ca="1">AVERAGE(B$2:B704)</f>
        <v>0.10524965169741916</v>
      </c>
      <c r="D704">
        <f ca="1">_xlfn.VAR.P(B$2:B704)</f>
        <v>1.9906980499049245</v>
      </c>
    </row>
    <row r="705" spans="1:4" x14ac:dyDescent="0.3">
      <c r="A705">
        <f t="shared" ca="1" si="20"/>
        <v>5.914971301135219E-2</v>
      </c>
      <c r="B705">
        <f t="shared" ca="1" si="21"/>
        <v>2.1345363598886502</v>
      </c>
      <c r="C705">
        <f ca="1">AVERAGE(B$2:B705)</f>
        <v>0.10813216122609991</v>
      </c>
      <c r="D705">
        <f ca="1">_xlfn.VAR.P(B$2:B705)</f>
        <v>1.993711483222913</v>
      </c>
    </row>
    <row r="706" spans="1:4" x14ac:dyDescent="0.3">
      <c r="A706">
        <f t="shared" ca="1" si="20"/>
        <v>0.61861293623909896</v>
      </c>
      <c r="B706">
        <f t="shared" ca="1" si="21"/>
        <v>-0.27079332360534381</v>
      </c>
      <c r="C706">
        <f ca="1">AVERAGE(B$2:B706)</f>
        <v>0.10759467826889217</v>
      </c>
      <c r="D706">
        <f ca="1">_xlfn.VAR.P(B$2:B706)</f>
        <v>1.9910869007744614</v>
      </c>
    </row>
    <row r="707" spans="1:4" x14ac:dyDescent="0.3">
      <c r="A707">
        <f t="shared" ref="A707:A770" ca="1" si="22">RAND()</f>
        <v>0.29581978667531084</v>
      </c>
      <c r="B707">
        <f t="shared" ref="B707:B770" ca="1" si="23">-SIGN(0.5-A707)*LN(1-2*ABS(0.5-A707))*$F$1</f>
        <v>0.52485765830927034</v>
      </c>
      <c r="C707">
        <f ca="1">AVERAGE(B$2:B707)</f>
        <v>0.10818570231994087</v>
      </c>
      <c r="D707">
        <f ca="1">_xlfn.VAR.P(B$2:B707)</f>
        <v>1.9885129275184852</v>
      </c>
    </row>
    <row r="708" spans="1:4" x14ac:dyDescent="0.3">
      <c r="A708">
        <f t="shared" ca="1" si="22"/>
        <v>8.7883931609513244E-2</v>
      </c>
      <c r="B708">
        <f t="shared" ca="1" si="23"/>
        <v>1.7385911135187895</v>
      </c>
      <c r="C708">
        <f ca="1">AVERAGE(B$2:B708)</f>
        <v>0.11049179201046259</v>
      </c>
      <c r="D708">
        <f ca="1">_xlfn.VAR.P(B$2:B708)</f>
        <v>1.9894548638922305</v>
      </c>
    </row>
    <row r="709" spans="1:4" x14ac:dyDescent="0.3">
      <c r="A709">
        <f t="shared" ca="1" si="22"/>
        <v>0.78707335442128046</v>
      </c>
      <c r="B709">
        <f t="shared" ca="1" si="23"/>
        <v>-0.85366037898194069</v>
      </c>
      <c r="C709">
        <f ca="1">AVERAGE(B$2:B709)</f>
        <v>0.1091299951587784</v>
      </c>
      <c r="D709">
        <f ca="1">_xlfn.VAR.P(B$2:B709)</f>
        <v>1.9879560242955441</v>
      </c>
    </row>
    <row r="710" spans="1:4" x14ac:dyDescent="0.3">
      <c r="A710">
        <f t="shared" ca="1" si="22"/>
        <v>0.25477756496715653</v>
      </c>
      <c r="B710">
        <f t="shared" ca="1" si="23"/>
        <v>0.67421722818022367</v>
      </c>
      <c r="C710">
        <f ca="1">AVERAGE(B$2:B710)</f>
        <v>0.10992701523356183</v>
      </c>
      <c r="D710">
        <f ca="1">_xlfn.VAR.P(B$2:B710)</f>
        <v>1.9856018877239778</v>
      </c>
    </row>
    <row r="711" spans="1:4" x14ac:dyDescent="0.3">
      <c r="A711">
        <f t="shared" ca="1" si="22"/>
        <v>0.83349877853474696</v>
      </c>
      <c r="B711">
        <f t="shared" ca="1" si="23"/>
        <v>-1.0996054529009567</v>
      </c>
      <c r="C711">
        <f ca="1">AVERAGE(B$2:B711)</f>
        <v>0.10822344837703433</v>
      </c>
      <c r="D711">
        <f ca="1">_xlfn.VAR.P(B$2:B711)</f>
        <v>1.9848628826314751</v>
      </c>
    </row>
    <row r="712" spans="1:4" x14ac:dyDescent="0.3">
      <c r="A712">
        <f t="shared" ca="1" si="22"/>
        <v>0.8458521869877319</v>
      </c>
      <c r="B712">
        <f t="shared" ca="1" si="23"/>
        <v>-1.1766961315908167</v>
      </c>
      <c r="C712">
        <f ca="1">AVERAGE(B$2:B712)</f>
        <v>0.10641624784262103</v>
      </c>
      <c r="D712">
        <f ca="1">_xlfn.VAR.P(B$2:B712)</f>
        <v>1.9843900743853451</v>
      </c>
    </row>
    <row r="713" spans="1:4" x14ac:dyDescent="0.3">
      <c r="A713">
        <f t="shared" ca="1" si="22"/>
        <v>0.8520891862213914</v>
      </c>
      <c r="B713">
        <f t="shared" ca="1" si="23"/>
        <v>-1.2179986159042167</v>
      </c>
      <c r="C713">
        <f ca="1">AVERAGE(B$2:B713)</f>
        <v>0.10455611460702154</v>
      </c>
      <c r="D713">
        <f ca="1">_xlfn.VAR.P(B$2:B713)</f>
        <v>1.9840631376842532</v>
      </c>
    </row>
    <row r="714" spans="1:4" x14ac:dyDescent="0.3">
      <c r="A714">
        <f t="shared" ca="1" si="22"/>
        <v>0.24330450428957295</v>
      </c>
      <c r="B714">
        <f t="shared" ca="1" si="23"/>
        <v>0.72029433548894661</v>
      </c>
      <c r="C714">
        <f ca="1">AVERAGE(B$2:B714)</f>
        <v>0.10541970257459787</v>
      </c>
      <c r="D714">
        <f ca="1">_xlfn.VAR.P(B$2:B714)</f>
        <v>1.981811438771002</v>
      </c>
    </row>
    <row r="715" spans="1:4" x14ac:dyDescent="0.3">
      <c r="A715">
        <f t="shared" ca="1" si="22"/>
        <v>0.23009045662663885</v>
      </c>
      <c r="B715">
        <f t="shared" ca="1" si="23"/>
        <v>0.77613557713607284</v>
      </c>
      <c r="C715">
        <f ca="1">AVERAGE(B$2:B715)</f>
        <v>0.10635908055017416</v>
      </c>
      <c r="D715">
        <f ca="1">_xlfn.VAR.P(B$2:B715)</f>
        <v>1.9796649657876648</v>
      </c>
    </row>
    <row r="716" spans="1:4" x14ac:dyDescent="0.3">
      <c r="A716">
        <f t="shared" ca="1" si="22"/>
        <v>0.22204274459279993</v>
      </c>
      <c r="B716">
        <f t="shared" ca="1" si="23"/>
        <v>0.81173819187316676</v>
      </c>
      <c r="C716">
        <f ca="1">AVERAGE(B$2:B716)</f>
        <v>0.10734562476181471</v>
      </c>
      <c r="D716">
        <f ca="1">_xlfn.VAR.P(B$2:B716)</f>
        <v>1.9775911180075585</v>
      </c>
    </row>
    <row r="717" spans="1:4" x14ac:dyDescent="0.3">
      <c r="A717">
        <f t="shared" ca="1" si="22"/>
        <v>0.73929696725584049</v>
      </c>
      <c r="B717">
        <f t="shared" ca="1" si="23"/>
        <v>-0.6512261444696188</v>
      </c>
      <c r="C717">
        <f ca="1">AVERAGE(B$2:B717)</f>
        <v>0.10628616698355851</v>
      </c>
      <c r="D717">
        <f ca="1">_xlfn.VAR.P(B$2:B717)</f>
        <v>1.9756316715498852</v>
      </c>
    </row>
    <row r="718" spans="1:4" x14ac:dyDescent="0.3">
      <c r="A718">
        <f t="shared" ca="1" si="22"/>
        <v>0.71375753229808125</v>
      </c>
      <c r="B718">
        <f t="shared" ca="1" si="23"/>
        <v>-0.55776885760504125</v>
      </c>
      <c r="C718">
        <f ca="1">AVERAGE(B$2:B718)</f>
        <v>0.10536000934814903</v>
      </c>
      <c r="D718">
        <f ca="1">_xlfn.VAR.P(B$2:B718)</f>
        <v>1.9734904196454224</v>
      </c>
    </row>
    <row r="719" spans="1:4" x14ac:dyDescent="0.3">
      <c r="A719">
        <f t="shared" ca="1" si="22"/>
        <v>0.29161228271028483</v>
      </c>
      <c r="B719">
        <f t="shared" ca="1" si="23"/>
        <v>0.53918297739740295</v>
      </c>
      <c r="C719">
        <f ca="1">AVERAGE(B$2:B719)</f>
        <v>0.10596421961005607</v>
      </c>
      <c r="D719">
        <f ca="1">_xlfn.VAR.P(B$2:B719)</f>
        <v>1.9710035809653006</v>
      </c>
    </row>
    <row r="720" spans="1:4" x14ac:dyDescent="0.3">
      <c r="A720">
        <f t="shared" ca="1" si="22"/>
        <v>0.21062665355864374</v>
      </c>
      <c r="B720">
        <f t="shared" ca="1" si="23"/>
        <v>0.86452094662285128</v>
      </c>
      <c r="C720">
        <f ca="1">AVERAGE(B$2:B720)</f>
        <v>0.10701923592022686</v>
      </c>
      <c r="D720">
        <f ca="1">_xlfn.VAR.P(B$2:B720)</f>
        <v>1.9690614452732447</v>
      </c>
    </row>
    <row r="721" spans="1:4" x14ac:dyDescent="0.3">
      <c r="A721">
        <f t="shared" ca="1" si="22"/>
        <v>0.90925644472229372</v>
      </c>
      <c r="B721">
        <f t="shared" ca="1" si="23"/>
        <v>-1.7065706440226254</v>
      </c>
      <c r="C721">
        <f ca="1">AVERAGE(B$2:B721)</f>
        <v>0.1045003610869729</v>
      </c>
      <c r="D721">
        <f ca="1">_xlfn.VAR.P(B$2:B721)</f>
        <v>1.970888498886372</v>
      </c>
    </row>
    <row r="722" spans="1:4" x14ac:dyDescent="0.3">
      <c r="A722">
        <f t="shared" ca="1" si="22"/>
        <v>4.5962388490182304E-2</v>
      </c>
      <c r="B722">
        <f t="shared" ca="1" si="23"/>
        <v>2.3867846779020185</v>
      </c>
      <c r="C722">
        <f ca="1">AVERAGE(B$2:B722)</f>
        <v>0.10766580396743759</v>
      </c>
      <c r="D722">
        <f ca="1">_xlfn.VAR.P(B$2:B722)</f>
        <v>1.975369370957456</v>
      </c>
    </row>
    <row r="723" spans="1:4" x14ac:dyDescent="0.3">
      <c r="A723">
        <f t="shared" ca="1" si="22"/>
        <v>0.65853566928959606</v>
      </c>
      <c r="B723">
        <f t="shared" ca="1" si="23"/>
        <v>-0.3813648737379482</v>
      </c>
      <c r="C723">
        <f ca="1">AVERAGE(B$2:B723)</f>
        <v>0.10698847615898137</v>
      </c>
      <c r="D723">
        <f ca="1">_xlfn.VAR.P(B$2:B723)</f>
        <v>1.9729641776038582</v>
      </c>
    </row>
    <row r="724" spans="1:4" x14ac:dyDescent="0.3">
      <c r="A724">
        <f t="shared" ca="1" si="22"/>
        <v>0.78764130021748768</v>
      </c>
      <c r="B724">
        <f t="shared" ca="1" si="23"/>
        <v>-0.85633127342977677</v>
      </c>
      <c r="C724">
        <f ca="1">AVERAGE(B$2:B724)</f>
        <v>0.10565608369758614</v>
      </c>
      <c r="D724">
        <f ca="1">_xlfn.VAR.P(B$2:B724)</f>
        <v>1.9715170645227675</v>
      </c>
    </row>
    <row r="725" spans="1:4" x14ac:dyDescent="0.3">
      <c r="A725">
        <f t="shared" ca="1" si="22"/>
        <v>0.64973235027279141</v>
      </c>
      <c r="B725">
        <f t="shared" ca="1" si="23"/>
        <v>-0.35591052267681617</v>
      </c>
      <c r="C725">
        <f ca="1">AVERAGE(B$2:B725)</f>
        <v>0.10501856076060491</v>
      </c>
      <c r="D725">
        <f ca="1">_xlfn.VAR.P(B$2:B725)</f>
        <v>1.9690878275176551</v>
      </c>
    </row>
    <row r="726" spans="1:4" x14ac:dyDescent="0.3">
      <c r="A726">
        <f t="shared" ca="1" si="22"/>
        <v>0.66138782682523356</v>
      </c>
      <c r="B726">
        <f t="shared" ca="1" si="23"/>
        <v>-0.38975267787865059</v>
      </c>
      <c r="C726">
        <f ca="1">AVERAGE(B$2:B726)</f>
        <v>0.10433611767282663</v>
      </c>
      <c r="D726">
        <f ca="1">_xlfn.VAR.P(B$2:B726)</f>
        <v>1.9667090317905587</v>
      </c>
    </row>
    <row r="727" spans="1:4" x14ac:dyDescent="0.3">
      <c r="A727">
        <f t="shared" ca="1" si="22"/>
        <v>0.23901392997580762</v>
      </c>
      <c r="B727">
        <f t="shared" ca="1" si="23"/>
        <v>0.73808626377154662</v>
      </c>
      <c r="C727">
        <f ca="1">AVERAGE(B$2:B727)</f>
        <v>0.10520905175836207</v>
      </c>
      <c r="D727">
        <f ca="1">_xlfn.VAR.P(B$2:B727)</f>
        <v>1.9645525262723569</v>
      </c>
    </row>
    <row r="728" spans="1:4" x14ac:dyDescent="0.3">
      <c r="A728">
        <f t="shared" ca="1" si="22"/>
        <v>0.58962591577384227</v>
      </c>
      <c r="B728">
        <f t="shared" ca="1" si="23"/>
        <v>-0.19753895415660697</v>
      </c>
      <c r="C728">
        <f ca="1">AVERAGE(B$2:B728)</f>
        <v>0.1047926170872273</v>
      </c>
      <c r="D728">
        <f ca="1">_xlfn.VAR.P(B$2:B728)</f>
        <v>1.9619761545447736</v>
      </c>
    </row>
    <row r="729" spans="1:4" x14ac:dyDescent="0.3">
      <c r="A729">
        <f t="shared" ca="1" si="22"/>
        <v>0.17364488313440474</v>
      </c>
      <c r="B729">
        <f t="shared" ca="1" si="23"/>
        <v>1.0575957862115783</v>
      </c>
      <c r="C729">
        <f ca="1">AVERAGE(B$2:B729)</f>
        <v>0.10610141264921129</v>
      </c>
      <c r="D729">
        <f ca="1">_xlfn.VAR.P(B$2:B729)</f>
        <v>1.960526443967836</v>
      </c>
    </row>
    <row r="730" spans="1:4" x14ac:dyDescent="0.3">
      <c r="A730">
        <f t="shared" ca="1" si="22"/>
        <v>0.22995185625175463</v>
      </c>
      <c r="B730">
        <f t="shared" ca="1" si="23"/>
        <v>0.7767381320541652</v>
      </c>
      <c r="C730">
        <f ca="1">AVERAGE(B$2:B730)</f>
        <v>0.10702135327939641</v>
      </c>
      <c r="D730">
        <f ca="1">_xlfn.VAR.P(B$2:B730)</f>
        <v>1.9584532069575205</v>
      </c>
    </row>
    <row r="731" spans="1:4" x14ac:dyDescent="0.3">
      <c r="A731">
        <f t="shared" ca="1" si="22"/>
        <v>0.58353298480389515</v>
      </c>
      <c r="B731">
        <f t="shared" ca="1" si="23"/>
        <v>-0.18280083515883172</v>
      </c>
      <c r="C731">
        <f ca="1">AVERAGE(B$2:B731)</f>
        <v>0.1066243365829057</v>
      </c>
      <c r="D731">
        <f ca="1">_xlfn.VAR.P(B$2:B731)</f>
        <v>1.9558853009708161</v>
      </c>
    </row>
    <row r="732" spans="1:4" x14ac:dyDescent="0.3">
      <c r="A732">
        <f t="shared" ca="1" si="22"/>
        <v>6.5892694080889158E-2</v>
      </c>
      <c r="B732">
        <f t="shared" ca="1" si="23"/>
        <v>2.0265805267790027</v>
      </c>
      <c r="C732">
        <f ca="1">AVERAGE(B$2:B732)</f>
        <v>0.10925081563926149</v>
      </c>
      <c r="D732">
        <f ca="1">_xlfn.VAR.P(B$2:B732)</f>
        <v>1.9582454976145627</v>
      </c>
    </row>
    <row r="733" spans="1:4" x14ac:dyDescent="0.3">
      <c r="A733">
        <f t="shared" ca="1" si="22"/>
        <v>0.66293168436571037</v>
      </c>
      <c r="B733">
        <f t="shared" ca="1" si="23"/>
        <v>-0.39432247159845163</v>
      </c>
      <c r="C733">
        <f ca="1">AVERAGE(B$2:B733)</f>
        <v>0.10856287399002965</v>
      </c>
      <c r="D733">
        <f ca="1">_xlfn.VAR.P(B$2:B733)</f>
        <v>1.9559162546213484</v>
      </c>
    </row>
    <row r="734" spans="1:4" x14ac:dyDescent="0.3">
      <c r="A734">
        <f t="shared" ca="1" si="22"/>
        <v>0.92420917696332661</v>
      </c>
      <c r="B734">
        <f t="shared" ca="1" si="23"/>
        <v>-1.8866308812209671</v>
      </c>
      <c r="C734">
        <f ca="1">AVERAGE(B$2:B734)</f>
        <v>0.10584091798019199</v>
      </c>
      <c r="D734">
        <f ca="1">_xlfn.VAR.P(B$2:B734)</f>
        <v>1.9586713037844845</v>
      </c>
    </row>
    <row r="735" spans="1:4" x14ac:dyDescent="0.3">
      <c r="A735">
        <f t="shared" ca="1" si="22"/>
        <v>0.72747522224456962</v>
      </c>
      <c r="B735">
        <f t="shared" ca="1" si="23"/>
        <v>-0.60687856090968761</v>
      </c>
      <c r="C735">
        <f ca="1">AVERAGE(B$2:B735)</f>
        <v>0.10486991051576436</v>
      </c>
      <c r="D735">
        <f ca="1">_xlfn.VAR.P(B$2:B735)</f>
        <v>1.9566939273483406</v>
      </c>
    </row>
    <row r="736" spans="1:4" x14ac:dyDescent="0.3">
      <c r="A736">
        <f t="shared" ca="1" si="22"/>
        <v>0.3586404385172135</v>
      </c>
      <c r="B736">
        <f t="shared" ca="1" si="23"/>
        <v>0.33228777585321034</v>
      </c>
      <c r="C736">
        <f ca="1">AVERAGE(B$2:B736)</f>
        <v>0.10517932257744797</v>
      </c>
      <c r="D736">
        <f ca="1">_xlfn.VAR.P(B$2:B736)</f>
        <v>1.9541020288344575</v>
      </c>
    </row>
    <row r="737" spans="1:4" x14ac:dyDescent="0.3">
      <c r="A737">
        <f t="shared" ca="1" si="22"/>
        <v>0.7830114474190818</v>
      </c>
      <c r="B737">
        <f t="shared" ca="1" si="23"/>
        <v>-0.83476349935655125</v>
      </c>
      <c r="C737">
        <f ca="1">AVERAGE(B$2:B737)</f>
        <v>0.10390222635199416</v>
      </c>
      <c r="D737">
        <f ca="1">_xlfn.VAR.P(B$2:B737)</f>
        <v>1.9526457653592411</v>
      </c>
    </row>
    <row r="738" spans="1:4" x14ac:dyDescent="0.3">
      <c r="A738">
        <f t="shared" ca="1" si="22"/>
        <v>0.46844973996429984</v>
      </c>
      <c r="B738">
        <f t="shared" ca="1" si="23"/>
        <v>6.5179281123238328E-2</v>
      </c>
      <c r="C738">
        <f ca="1">AVERAGE(B$2:B738)</f>
        <v>0.10384968504232149</v>
      </c>
      <c r="D738">
        <f ca="1">_xlfn.VAR.P(B$2:B738)</f>
        <v>1.9499983456395313</v>
      </c>
    </row>
    <row r="739" spans="1:4" x14ac:dyDescent="0.3">
      <c r="A739">
        <f t="shared" ca="1" si="22"/>
        <v>0.57916393915853681</v>
      </c>
      <c r="B739">
        <f t="shared" ca="1" si="23"/>
        <v>-0.17236474475435221</v>
      </c>
      <c r="C739">
        <f ca="1">AVERAGE(B$2:B739)</f>
        <v>0.10347541074720405</v>
      </c>
      <c r="D739">
        <f ca="1">_xlfn.VAR.P(B$2:B739)</f>
        <v>1.9474593113382133</v>
      </c>
    </row>
    <row r="740" spans="1:4" x14ac:dyDescent="0.3">
      <c r="A740">
        <f t="shared" ca="1" si="22"/>
        <v>0.34086027081694104</v>
      </c>
      <c r="B740">
        <f t="shared" ca="1" si="23"/>
        <v>0.38313546811464694</v>
      </c>
      <c r="C740">
        <f ca="1">AVERAGE(B$2:B740)</f>
        <v>0.10385384113606391</v>
      </c>
      <c r="D740">
        <f ca="1">_xlfn.VAR.P(B$2:B740)</f>
        <v>1.9449297370547007</v>
      </c>
    </row>
    <row r="741" spans="1:4" x14ac:dyDescent="0.3">
      <c r="A741">
        <f t="shared" ca="1" si="22"/>
        <v>0.72155139168926774</v>
      </c>
      <c r="B741">
        <f t="shared" ca="1" si="23"/>
        <v>-0.58537458638524131</v>
      </c>
      <c r="C741">
        <f ca="1">AVERAGE(B$2:B741)</f>
        <v>0.10292245136914323</v>
      </c>
      <c r="D741">
        <f ca="1">_xlfn.VAR.P(B$2:B741)</f>
        <v>1.9429425264438149</v>
      </c>
    </row>
    <row r="742" spans="1:4" x14ac:dyDescent="0.3">
      <c r="A742">
        <f t="shared" ca="1" si="22"/>
        <v>0.84710768663594804</v>
      </c>
      <c r="B742">
        <f t="shared" ca="1" si="23"/>
        <v>-1.1848742590592287</v>
      </c>
      <c r="C742">
        <f ca="1">AVERAGE(B$2:B742)</f>
        <v>0.10118453408111575</v>
      </c>
      <c r="D742">
        <f ca="1">_xlfn.VAR.P(B$2:B742)</f>
        <v>1.9425555355622761</v>
      </c>
    </row>
    <row r="743" spans="1:4" x14ac:dyDescent="0.3">
      <c r="A743">
        <f t="shared" ca="1" si="22"/>
        <v>0.4896334142751636</v>
      </c>
      <c r="B743">
        <f t="shared" ca="1" si="23"/>
        <v>2.095112144183502E-2</v>
      </c>
      <c r="C743">
        <f ca="1">AVERAGE(B$2:B743)</f>
        <v>0.10107640279723532</v>
      </c>
      <c r="D743">
        <f ca="1">_xlfn.VAR.P(B$2:B743)</f>
        <v>1.9399462002377477</v>
      </c>
    </row>
    <row r="744" spans="1:4" x14ac:dyDescent="0.3">
      <c r="A744">
        <f t="shared" ca="1" si="22"/>
        <v>0.13473241763277011</v>
      </c>
      <c r="B744">
        <f t="shared" ca="1" si="23"/>
        <v>1.3113173785359835</v>
      </c>
      <c r="C744">
        <f ca="1">AVERAGE(B$2:B744)</f>
        <v>0.10270526009971008</v>
      </c>
      <c r="D744">
        <f ca="1">_xlfn.VAR.P(B$2:B744)</f>
        <v>1.9393038929823885</v>
      </c>
    </row>
    <row r="745" spans="1:4" x14ac:dyDescent="0.3">
      <c r="A745">
        <f t="shared" ca="1" si="22"/>
        <v>0.37955558807114831</v>
      </c>
      <c r="B745">
        <f t="shared" ca="1" si="23"/>
        <v>0.27560703518240898</v>
      </c>
      <c r="C745">
        <f ca="1">AVERAGE(B$2:B745)</f>
        <v>0.1029376549586922</v>
      </c>
      <c r="D745">
        <f ca="1">_xlfn.VAR.P(B$2:B745)</f>
        <v>1.9367374292046475</v>
      </c>
    </row>
    <row r="746" spans="1:4" x14ac:dyDescent="0.3">
      <c r="A746">
        <f t="shared" ca="1" si="22"/>
        <v>0.36378032511917591</v>
      </c>
      <c r="B746">
        <f t="shared" ca="1" si="23"/>
        <v>0.31805791538618428</v>
      </c>
      <c r="C746">
        <f ca="1">AVERAGE(B$2:B746)</f>
        <v>0.10322640698611166</v>
      </c>
      <c r="D746">
        <f ca="1">_xlfn.VAR.P(B$2:B746)</f>
        <v>1.9341998146822719</v>
      </c>
    </row>
    <row r="747" spans="1:4" x14ac:dyDescent="0.3">
      <c r="A747">
        <f t="shared" ca="1" si="22"/>
        <v>0.52881925019997511</v>
      </c>
      <c r="B747">
        <f t="shared" ca="1" si="23"/>
        <v>-5.9366320484656628E-2</v>
      </c>
      <c r="C747">
        <f ca="1">AVERAGE(B$2:B747)</f>
        <v>0.10300845426832243</v>
      </c>
      <c r="D747">
        <f ca="1">_xlfn.VAR.P(B$2:B747)</f>
        <v>1.9316424435600432</v>
      </c>
    </row>
    <row r="748" spans="1:4" x14ac:dyDescent="0.3">
      <c r="A748">
        <f t="shared" ca="1" si="22"/>
        <v>0.55922720775124779</v>
      </c>
      <c r="B748">
        <f t="shared" ca="1" si="23"/>
        <v>-0.12607856606207632</v>
      </c>
      <c r="C748">
        <f ca="1">AVERAGE(B$2:B748)</f>
        <v>0.1027017782036231</v>
      </c>
      <c r="D748">
        <f ca="1">_xlfn.VAR.P(B$2:B748)</f>
        <v>1.9291267382907229</v>
      </c>
    </row>
    <row r="749" spans="1:4" x14ac:dyDescent="0.3">
      <c r="A749">
        <f t="shared" ca="1" si="22"/>
        <v>0.22152749332899457</v>
      </c>
      <c r="B749">
        <f t="shared" ca="1" si="23"/>
        <v>0.81406139325820559</v>
      </c>
      <c r="C749">
        <f ca="1">AVERAGE(B$2:B749)</f>
        <v>0.10365279373177093</v>
      </c>
      <c r="D749">
        <f ca="1">_xlfn.VAR.P(B$2:B749)</f>
        <v>1.9272233014586375</v>
      </c>
    </row>
    <row r="750" spans="1:4" x14ac:dyDescent="0.3">
      <c r="A750">
        <f t="shared" ca="1" si="22"/>
        <v>3.1927161421794525E-2</v>
      </c>
      <c r="B750">
        <f t="shared" ca="1" si="23"/>
        <v>2.7511509956850975</v>
      </c>
      <c r="C750">
        <f ca="1">AVERAGE(B$2:B750)</f>
        <v>0.10718750428177537</v>
      </c>
      <c r="D750">
        <f ca="1">_xlfn.VAR.P(B$2:B750)</f>
        <v>1.9339958852878254</v>
      </c>
    </row>
    <row r="751" spans="1:4" x14ac:dyDescent="0.3">
      <c r="A751">
        <f t="shared" ca="1" si="22"/>
        <v>9.4355633123682892E-2</v>
      </c>
      <c r="B751">
        <f t="shared" ca="1" si="23"/>
        <v>1.667537123846339</v>
      </c>
      <c r="C751">
        <f ca="1">AVERAGE(B$2:B751)</f>
        <v>0.10926797044119479</v>
      </c>
      <c r="D751">
        <f ca="1">_xlfn.VAR.P(B$2:B751)</f>
        <v>1.9346591503483681</v>
      </c>
    </row>
    <row r="752" spans="1:4" x14ac:dyDescent="0.3">
      <c r="A752">
        <f t="shared" ca="1" si="22"/>
        <v>0.17470838240338682</v>
      </c>
      <c r="B752">
        <f t="shared" ca="1" si="23"/>
        <v>1.0514899007309946</v>
      </c>
      <c r="C752">
        <f ca="1">AVERAGE(B$2:B752)</f>
        <v>0.11052259351747948</v>
      </c>
      <c r="D752">
        <f ca="1">_xlfn.VAR.P(B$2:B752)</f>
        <v>1.9332635989265228</v>
      </c>
    </row>
    <row r="753" spans="1:4" x14ac:dyDescent="0.3">
      <c r="A753">
        <f t="shared" ca="1" si="22"/>
        <v>0.91294404794612549</v>
      </c>
      <c r="B753">
        <f t="shared" ca="1" si="23"/>
        <v>-1.7480570594291587</v>
      </c>
      <c r="C753">
        <f ca="1">AVERAGE(B$2:B753)</f>
        <v>0.10805107802153981</v>
      </c>
      <c r="D753">
        <f ca="1">_xlfn.VAR.P(B$2:B753)</f>
        <v>1.9352801696964805</v>
      </c>
    </row>
    <row r="754" spans="1:4" x14ac:dyDescent="0.3">
      <c r="A754">
        <f t="shared" ca="1" si="22"/>
        <v>0.17975259908329821</v>
      </c>
      <c r="B754">
        <f t="shared" ca="1" si="23"/>
        <v>1.0230266424913681</v>
      </c>
      <c r="C754">
        <f ca="1">AVERAGE(B$2:B754)</f>
        <v>0.10926618501286761</v>
      </c>
      <c r="D754">
        <f ca="1">_xlfn.VAR.P(B$2:B754)</f>
        <v>1.9338203932299134</v>
      </c>
    </row>
    <row r="755" spans="1:4" x14ac:dyDescent="0.3">
      <c r="A755">
        <f t="shared" ca="1" si="22"/>
        <v>0.52447454327759213</v>
      </c>
      <c r="B755">
        <f t="shared" ca="1" si="23"/>
        <v>-5.0187681124449886E-2</v>
      </c>
      <c r="C755">
        <f ca="1">AVERAGE(B$2:B755)</f>
        <v>0.10905470773682341</v>
      </c>
      <c r="D755">
        <f ca="1">_xlfn.VAR.P(B$2:B755)</f>
        <v>1.9312893208444053</v>
      </c>
    </row>
    <row r="756" spans="1:4" x14ac:dyDescent="0.3">
      <c r="A756">
        <f t="shared" ca="1" si="22"/>
        <v>0.11053793890749253</v>
      </c>
      <c r="B756">
        <f t="shared" ca="1" si="23"/>
        <v>1.5092492978622254</v>
      </c>
      <c r="C756">
        <f ca="1">AVERAGE(B$2:B756)</f>
        <v>0.11090927010785044</v>
      </c>
      <c r="D756">
        <f ca="1">_xlfn.VAR.P(B$2:B756)</f>
        <v>1.9313246305413236</v>
      </c>
    </row>
    <row r="757" spans="1:4" x14ac:dyDescent="0.3">
      <c r="A757">
        <f t="shared" ca="1" si="22"/>
        <v>0.33440324057969839</v>
      </c>
      <c r="B757">
        <f t="shared" ca="1" si="23"/>
        <v>0.40226052652983685</v>
      </c>
      <c r="C757">
        <f ca="1">AVERAGE(B$2:B757)</f>
        <v>0.11129465536766789</v>
      </c>
      <c r="D757">
        <f ca="1">_xlfn.VAR.P(B$2:B757)</f>
        <v>1.9288821022894689</v>
      </c>
    </row>
    <row r="758" spans="1:4" x14ac:dyDescent="0.3">
      <c r="A758">
        <f t="shared" ca="1" si="22"/>
        <v>0.41081800740368213</v>
      </c>
      <c r="B758">
        <f t="shared" ca="1" si="23"/>
        <v>0.19645778636336622</v>
      </c>
      <c r="C758">
        <f ca="1">AVERAGE(B$2:B758)</f>
        <v>0.1114071562012157</v>
      </c>
      <c r="D758">
        <f ca="1">_xlfn.VAR.P(B$2:B758)</f>
        <v>1.9263436096549484</v>
      </c>
    </row>
    <row r="759" spans="1:4" x14ac:dyDescent="0.3">
      <c r="A759">
        <f t="shared" ca="1" si="22"/>
        <v>0.6229283643178275</v>
      </c>
      <c r="B759">
        <f t="shared" ca="1" si="23"/>
        <v>-0.28217291395268262</v>
      </c>
      <c r="C759">
        <f ca="1">AVERAGE(B$2:B759)</f>
        <v>0.11088792128016835</v>
      </c>
      <c r="D759">
        <f ca="1">_xlfn.VAR.P(B$2:B759)</f>
        <v>1.9240063501581814</v>
      </c>
    </row>
    <row r="760" spans="1:4" x14ac:dyDescent="0.3">
      <c r="A760">
        <f t="shared" ca="1" si="22"/>
        <v>0.4521515680450916</v>
      </c>
      <c r="B760">
        <f t="shared" ca="1" si="23"/>
        <v>0.10059064726628396</v>
      </c>
      <c r="C760">
        <f ca="1">AVERAGE(B$2:B760)</f>
        <v>0.11087435438423439</v>
      </c>
      <c r="D760">
        <f ca="1">_xlfn.VAR.P(B$2:B760)</f>
        <v>1.9214715669486846</v>
      </c>
    </row>
    <row r="761" spans="1:4" x14ac:dyDescent="0.3">
      <c r="A761">
        <f t="shared" ca="1" si="22"/>
        <v>0.97439680173804533</v>
      </c>
      <c r="B761">
        <f t="shared" ca="1" si="23"/>
        <v>-2.9718908226324365</v>
      </c>
      <c r="C761">
        <f ca="1">AVERAGE(B$2:B761)</f>
        <v>0.10681808441447561</v>
      </c>
      <c r="D761">
        <f ca="1">_xlfn.VAR.P(B$2:B761)</f>
        <v>1.9314313893721935</v>
      </c>
    </row>
    <row r="762" spans="1:4" x14ac:dyDescent="0.3">
      <c r="A762">
        <f t="shared" ca="1" si="22"/>
        <v>0.1010673976226818</v>
      </c>
      <c r="B762">
        <f t="shared" ca="1" si="23"/>
        <v>1.598820500933841</v>
      </c>
      <c r="C762">
        <f ca="1">AVERAGE(B$2:B762)</f>
        <v>0.10877866577652472</v>
      </c>
      <c r="D762">
        <f ca="1">_xlfn.VAR.P(B$2:B762)</f>
        <v>1.9318147200284315</v>
      </c>
    </row>
    <row r="763" spans="1:4" x14ac:dyDescent="0.3">
      <c r="A763">
        <f t="shared" ca="1" si="22"/>
        <v>0.19737454782432262</v>
      </c>
      <c r="B763">
        <f t="shared" ca="1" si="23"/>
        <v>0.92950491679607694</v>
      </c>
      <c r="C763">
        <f ca="1">AVERAGE(B$2:B763)</f>
        <v>0.10985573434741651</v>
      </c>
      <c r="D763">
        <f ca="1">_xlfn.VAR.P(B$2:B763)</f>
        <v>1.9301623484807071</v>
      </c>
    </row>
    <row r="764" spans="1:4" x14ac:dyDescent="0.3">
      <c r="A764">
        <f t="shared" ca="1" si="22"/>
        <v>0.57853716870413019</v>
      </c>
      <c r="B764">
        <f t="shared" ca="1" si="23"/>
        <v>-0.17087650684749744</v>
      </c>
      <c r="C764">
        <f ca="1">AVERAGE(B$2:B764)</f>
        <v>0.10948780218333407</v>
      </c>
      <c r="D764">
        <f ca="1">_xlfn.VAR.P(B$2:B764)</f>
        <v>1.9277358018913817</v>
      </c>
    </row>
    <row r="765" spans="1:4" x14ac:dyDescent="0.3">
      <c r="A765">
        <f t="shared" ca="1" si="22"/>
        <v>0.29898462393472924</v>
      </c>
      <c r="B765">
        <f t="shared" ca="1" si="23"/>
        <v>0.51421595132127507</v>
      </c>
      <c r="C765">
        <f ca="1">AVERAGE(B$2:B765)</f>
        <v>0.11001755106964027</v>
      </c>
      <c r="D765">
        <f ca="1">_xlfn.VAR.P(B$2:B765)</f>
        <v>1.9254267111433803</v>
      </c>
    </row>
    <row r="766" spans="1:4" x14ac:dyDescent="0.3">
      <c r="A766">
        <f t="shared" ca="1" si="22"/>
        <v>0.76832249676934428</v>
      </c>
      <c r="B766">
        <f t="shared" ca="1" si="23"/>
        <v>-0.76926176608429275</v>
      </c>
      <c r="C766">
        <f ca="1">AVERAGE(B$2:B766)</f>
        <v>0.10886816634133448</v>
      </c>
      <c r="D766">
        <f ca="1">_xlfn.VAR.P(B$2:B766)</f>
        <v>1.9239191226155532</v>
      </c>
    </row>
    <row r="767" spans="1:4" x14ac:dyDescent="0.3">
      <c r="A767">
        <f t="shared" ca="1" si="22"/>
        <v>0.71438372556823837</v>
      </c>
      <c r="B767">
        <f t="shared" ca="1" si="23"/>
        <v>-0.55995888627576174</v>
      </c>
      <c r="C767">
        <f ca="1">AVERAGE(B$2:B767)</f>
        <v>0.10799502397499361</v>
      </c>
      <c r="D767">
        <f ca="1">_xlfn.VAR.P(B$2:B767)</f>
        <v>1.9219906977101502</v>
      </c>
    </row>
    <row r="768" spans="1:4" x14ac:dyDescent="0.3">
      <c r="A768">
        <f t="shared" ca="1" si="22"/>
        <v>0.33605126068322233</v>
      </c>
      <c r="B768">
        <f t="shared" ca="1" si="23"/>
        <v>0.39734438853810905</v>
      </c>
      <c r="C768">
        <f ca="1">AVERAGE(B$2:B768)</f>
        <v>0.10837227216868738</v>
      </c>
      <c r="D768">
        <f ca="1">_xlfn.VAR.P(B$2:B768)</f>
        <v>1.9195938570328854</v>
      </c>
    </row>
    <row r="769" spans="1:4" x14ac:dyDescent="0.3">
      <c r="A769">
        <f t="shared" ca="1" si="22"/>
        <v>0.93043863990378028</v>
      </c>
      <c r="B769">
        <f t="shared" ca="1" si="23"/>
        <v>-1.9723988562776418</v>
      </c>
      <c r="C769">
        <f ca="1">AVERAGE(B$2:B769)</f>
        <v>0.10566293476185623</v>
      </c>
      <c r="D769">
        <f ca="1">_xlfn.VAR.P(B$2:B769)</f>
        <v>1.9227245564090438</v>
      </c>
    </row>
    <row r="770" spans="1:4" x14ac:dyDescent="0.3">
      <c r="A770">
        <f t="shared" ca="1" si="22"/>
        <v>0.30369792536829376</v>
      </c>
      <c r="B770">
        <f t="shared" ca="1" si="23"/>
        <v>0.49857455758152708</v>
      </c>
      <c r="C770">
        <f ca="1">AVERAGE(B$2:B770)</f>
        <v>0.10617387315303915</v>
      </c>
      <c r="D770">
        <f ca="1">_xlfn.VAR.P(B$2:B770)</f>
        <v>1.9204247569725093</v>
      </c>
    </row>
    <row r="771" spans="1:4" x14ac:dyDescent="0.3">
      <c r="A771">
        <f t="shared" ref="A771:A834" ca="1" si="24">RAND()</f>
        <v>0.73231942318237764</v>
      </c>
      <c r="B771">
        <f t="shared" ref="B771:B834" ca="1" si="25">-SIGN(0.5-A771)*LN(1-2*ABS(0.5-A771))*$F$1</f>
        <v>-0.62481370630845046</v>
      </c>
      <c r="C771">
        <f ca="1">AVERAGE(B$2:B771)</f>
        <v>0.105224538634258</v>
      </c>
      <c r="D771">
        <f ca="1">_xlfn.VAR.P(B$2:B771)</f>
        <v>1.9186237493525256</v>
      </c>
    </row>
    <row r="772" spans="1:4" x14ac:dyDescent="0.3">
      <c r="A772">
        <f t="shared" ca="1" si="24"/>
        <v>0.91219658524897085</v>
      </c>
      <c r="B772">
        <f t="shared" ca="1" si="25"/>
        <v>-1.7395077061566677</v>
      </c>
      <c r="C772">
        <f ca="1">AVERAGE(B$2:B772)</f>
        <v>0.10283188980832943</v>
      </c>
      <c r="D772">
        <f ca="1">_xlfn.VAR.P(B$2:B772)</f>
        <v>1.9205433336705271</v>
      </c>
    </row>
    <row r="773" spans="1:4" x14ac:dyDescent="0.3">
      <c r="A773">
        <f t="shared" ca="1" si="24"/>
        <v>0.53903647018768786</v>
      </c>
      <c r="B773">
        <f t="shared" ca="1" si="25"/>
        <v>-8.1289169591185553E-2</v>
      </c>
      <c r="C773">
        <f ca="1">AVERAGE(B$2:B773)</f>
        <v>0.10259339102672384</v>
      </c>
      <c r="D773">
        <f ca="1">_xlfn.VAR.P(B$2:B773)</f>
        <v>1.9180994390049773</v>
      </c>
    </row>
    <row r="774" spans="1:4" x14ac:dyDescent="0.3">
      <c r="A774">
        <f t="shared" ca="1" si="24"/>
        <v>0.6854948910740295</v>
      </c>
      <c r="B774">
        <f t="shared" ca="1" si="25"/>
        <v>-0.46360777781595813</v>
      </c>
      <c r="C774">
        <f ca="1">AVERAGE(B$2:B774)</f>
        <v>0.10186091862201145</v>
      </c>
      <c r="D774">
        <f ca="1">_xlfn.VAR.P(B$2:B774)</f>
        <v>1.9160322586658596</v>
      </c>
    </row>
    <row r="775" spans="1:4" x14ac:dyDescent="0.3">
      <c r="A775">
        <f t="shared" ca="1" si="24"/>
        <v>0.54837094575643319</v>
      </c>
      <c r="B775">
        <f t="shared" ca="1" si="25"/>
        <v>-0.10174693198152408</v>
      </c>
      <c r="C775">
        <f ca="1">AVERAGE(B$2:B775)</f>
        <v>0.10159785938350559</v>
      </c>
      <c r="D775">
        <f ca="1">_xlfn.VAR.P(B$2:B775)</f>
        <v>1.9136102565175852</v>
      </c>
    </row>
    <row r="776" spans="1:4" x14ac:dyDescent="0.3">
      <c r="A776">
        <f t="shared" ca="1" si="24"/>
        <v>0.26510563687209499</v>
      </c>
      <c r="B776">
        <f t="shared" ca="1" si="25"/>
        <v>0.63447972216166348</v>
      </c>
      <c r="C776">
        <f ca="1">AVERAGE(B$2:B776)</f>
        <v>0.1022854488838645</v>
      </c>
      <c r="D776">
        <f ca="1">_xlfn.VAR.P(B$2:B776)</f>
        <v>1.9115070131875036</v>
      </c>
    </row>
    <row r="777" spans="1:4" x14ac:dyDescent="0.3">
      <c r="A777">
        <f t="shared" ca="1" si="24"/>
        <v>0.4601006137744148</v>
      </c>
      <c r="B777">
        <f t="shared" ca="1" si="25"/>
        <v>8.3162907259452995E-2</v>
      </c>
      <c r="C777">
        <f ca="1">AVERAGE(B$2:B777)</f>
        <v>0.10226080643331757</v>
      </c>
      <c r="D777">
        <f ca="1">_xlfn.VAR.P(B$2:B777)</f>
        <v>1.9090442015730507</v>
      </c>
    </row>
    <row r="778" spans="1:4" x14ac:dyDescent="0.3">
      <c r="A778">
        <f t="shared" ca="1" si="24"/>
        <v>0.26751182496291515</v>
      </c>
      <c r="B778">
        <f t="shared" ca="1" si="25"/>
        <v>0.62544432759432178</v>
      </c>
      <c r="C778">
        <f ca="1">AVERAGE(B$2:B778)</f>
        <v>0.10293414429838965</v>
      </c>
      <c r="D778">
        <f ca="1">_xlfn.VAR.P(B$2:B778)</f>
        <v>1.9069390851199823</v>
      </c>
    </row>
    <row r="779" spans="1:4" x14ac:dyDescent="0.3">
      <c r="A779">
        <f t="shared" ca="1" si="24"/>
        <v>0.63699694625097425</v>
      </c>
      <c r="B779">
        <f t="shared" ca="1" si="25"/>
        <v>-0.32019685166097472</v>
      </c>
      <c r="C779">
        <f ca="1">AVERAGE(B$2:B779)</f>
        <v>0.10239027412363468</v>
      </c>
      <c r="D779">
        <f ca="1">_xlfn.VAR.P(B$2:B779)</f>
        <v>1.9047178391383539</v>
      </c>
    </row>
    <row r="780" spans="1:4" x14ac:dyDescent="0.3">
      <c r="A780">
        <f t="shared" ca="1" si="24"/>
        <v>0.93523974829820977</v>
      </c>
      <c r="B780">
        <f t="shared" ca="1" si="25"/>
        <v>-2.0439160829342353</v>
      </c>
      <c r="C780">
        <f ca="1">AVERAGE(B$2:B780)</f>
        <v>9.9635066990055893E-2</v>
      </c>
      <c r="D780">
        <f ca="1">_xlfn.VAR.P(B$2:B780)</f>
        <v>1.9081786858914001</v>
      </c>
    </row>
    <row r="781" spans="1:4" x14ac:dyDescent="0.3">
      <c r="A781">
        <f t="shared" ca="1" si="24"/>
        <v>0.71129020844563784</v>
      </c>
      <c r="B781">
        <f t="shared" ca="1" si="25"/>
        <v>-0.5491860963105567</v>
      </c>
      <c r="C781">
        <f ca="1">AVERAGE(B$2:B781)</f>
        <v>9.8803244985824337E-2</v>
      </c>
      <c r="D781">
        <f ca="1">_xlfn.VAR.P(B$2:B781)</f>
        <v>1.9062713147533679</v>
      </c>
    </row>
    <row r="782" spans="1:4" x14ac:dyDescent="0.3">
      <c r="A782">
        <f t="shared" ca="1" si="24"/>
        <v>6.9962699485446311E-2</v>
      </c>
      <c r="B782">
        <f t="shared" ca="1" si="25"/>
        <v>1.9666458628891961</v>
      </c>
      <c r="C782">
        <f ca="1">AVERAGE(B$2:B782)</f>
        <v>0.10119484884997718</v>
      </c>
      <c r="D782">
        <f ca="1">_xlfn.VAR.P(B$2:B782)</f>
        <v>1.9082919262653784</v>
      </c>
    </row>
    <row r="783" spans="1:4" x14ac:dyDescent="0.3">
      <c r="A783">
        <f t="shared" ca="1" si="24"/>
        <v>0.21939963565354237</v>
      </c>
      <c r="B783">
        <f t="shared" ca="1" si="25"/>
        <v>0.82371321123174623</v>
      </c>
      <c r="C783">
        <f ca="1">AVERAGE(B$2:B783)</f>
        <v>0.10211878537476204</v>
      </c>
      <c r="D783">
        <f ca="1">_xlfn.VAR.P(B$2:B783)</f>
        <v>1.9065183627060545</v>
      </c>
    </row>
    <row r="784" spans="1:4" x14ac:dyDescent="0.3">
      <c r="A784">
        <f t="shared" ca="1" si="24"/>
        <v>0.27847058130757107</v>
      </c>
      <c r="B784">
        <f t="shared" ca="1" si="25"/>
        <v>0.58529567728223375</v>
      </c>
      <c r="C784">
        <f ca="1">AVERAGE(B$2:B784)</f>
        <v>0.10273586952790058</v>
      </c>
      <c r="D784">
        <f ca="1">_xlfn.VAR.P(B$2:B784)</f>
        <v>1.9043812533642459</v>
      </c>
    </row>
    <row r="785" spans="1:4" x14ac:dyDescent="0.3">
      <c r="A785">
        <f t="shared" ca="1" si="24"/>
        <v>0.67930389927582657</v>
      </c>
      <c r="B785">
        <f t="shared" ca="1" si="25"/>
        <v>-0.44411415043693253</v>
      </c>
      <c r="C785">
        <f ca="1">AVERAGE(B$2:B785)</f>
        <v>0.10203835674733319</v>
      </c>
      <c r="D785">
        <f ca="1">_xlfn.VAR.P(B$2:B785)</f>
        <v>1.9023331439970181</v>
      </c>
    </row>
    <row r="786" spans="1:4" x14ac:dyDescent="0.3">
      <c r="A786">
        <f t="shared" ca="1" si="24"/>
        <v>0.89276578971438747</v>
      </c>
      <c r="B786">
        <f t="shared" ca="1" si="25"/>
        <v>-1.5395927748966727</v>
      </c>
      <c r="C786">
        <f ca="1">AVERAGE(B$2:B786)</f>
        <v>9.9947106898105154E-2</v>
      </c>
      <c r="D786">
        <f ca="1">_xlfn.VAR.P(B$2:B786)</f>
        <v>1.9033384772040616</v>
      </c>
    </row>
    <row r="787" spans="1:4" x14ac:dyDescent="0.3">
      <c r="A787">
        <f t="shared" ca="1" si="24"/>
        <v>0.32275477868139046</v>
      </c>
      <c r="B787">
        <f t="shared" ca="1" si="25"/>
        <v>0.43771526266596222</v>
      </c>
      <c r="C787">
        <f ca="1">AVERAGE(B$2:B787)</f>
        <v>0.1003768373761813</v>
      </c>
      <c r="D787">
        <f ca="1">_xlfn.VAR.P(B$2:B787)</f>
        <v>1.9010618915813846</v>
      </c>
    </row>
    <row r="788" spans="1:4" x14ac:dyDescent="0.3">
      <c r="A788">
        <f t="shared" ca="1" si="24"/>
        <v>0.28248390735343709</v>
      </c>
      <c r="B788">
        <f t="shared" ca="1" si="25"/>
        <v>0.57098651457884686</v>
      </c>
      <c r="C788">
        <f ca="1">AVERAGE(B$2:B788)</f>
        <v>0.10097481663565103</v>
      </c>
      <c r="D788">
        <f ca="1">_xlfn.VAR.P(B$2:B788)</f>
        <v>1.8989273682800751</v>
      </c>
    </row>
    <row r="789" spans="1:4" x14ac:dyDescent="0.3">
      <c r="A789">
        <f t="shared" ca="1" si="24"/>
        <v>0.97409160916676718</v>
      </c>
      <c r="B789">
        <f t="shared" ca="1" si="25"/>
        <v>-2.960041211788687</v>
      </c>
      <c r="C789">
        <f ca="1">AVERAGE(B$2:B789)</f>
        <v>9.7090278528513541E-2</v>
      </c>
      <c r="D789">
        <f ca="1">_xlfn.VAR.P(B$2:B789)</f>
        <v>1.9083931057478181</v>
      </c>
    </row>
    <row r="790" spans="1:4" x14ac:dyDescent="0.3">
      <c r="A790">
        <f t="shared" ca="1" si="24"/>
        <v>0.85665538251555917</v>
      </c>
      <c r="B790">
        <f t="shared" ca="1" si="25"/>
        <v>-1.2493564548658387</v>
      </c>
      <c r="C790">
        <f ca="1">AVERAGE(B$2:B790)</f>
        <v>9.5383755419015004E-2</v>
      </c>
      <c r="D790">
        <f ca="1">_xlfn.VAR.P(B$2:B790)</f>
        <v>1.9082691868094837</v>
      </c>
    </row>
    <row r="791" spans="1:4" x14ac:dyDescent="0.3">
      <c r="A791">
        <f t="shared" ca="1" si="24"/>
        <v>0.52797369980418307</v>
      </c>
      <c r="B791">
        <f t="shared" ca="1" si="25"/>
        <v>-5.7573393635130476E-2</v>
      </c>
      <c r="C791">
        <f ca="1">AVERAGE(B$2:B791)</f>
        <v>9.5190138774642677E-2</v>
      </c>
      <c r="D791">
        <f ca="1">_xlfn.VAR.P(B$2:B791)</f>
        <v>1.9058832337557969</v>
      </c>
    </row>
    <row r="792" spans="1:4" x14ac:dyDescent="0.3">
      <c r="A792">
        <f t="shared" ca="1" si="24"/>
        <v>0.74263925654087237</v>
      </c>
      <c r="B792">
        <f t="shared" ca="1" si="25"/>
        <v>-0.66412932670507574</v>
      </c>
      <c r="C792">
        <f ca="1">AVERAGE(B$2:B792)</f>
        <v>9.4230190019295362E-2</v>
      </c>
      <c r="D792">
        <f ca="1">_xlfn.VAR.P(B$2:B792)</f>
        <v>1.9042017595574718</v>
      </c>
    </row>
    <row r="793" spans="1:4" x14ac:dyDescent="0.3">
      <c r="A793">
        <f t="shared" ca="1" si="24"/>
        <v>0.83528757840212986</v>
      </c>
      <c r="B793">
        <f t="shared" ca="1" si="25"/>
        <v>-1.1104070445447409</v>
      </c>
      <c r="C793">
        <f ca="1">AVERAGE(B$2:B793)</f>
        <v>9.2709183409997328E-2</v>
      </c>
      <c r="D793">
        <f ca="1">_xlfn.VAR.P(B$2:B793)</f>
        <v>1.903627412140988</v>
      </c>
    </row>
    <row r="794" spans="1:4" x14ac:dyDescent="0.3">
      <c r="A794">
        <f t="shared" ca="1" si="24"/>
        <v>0.5583513607349444</v>
      </c>
      <c r="B794">
        <f t="shared" ca="1" si="25"/>
        <v>-0.12409346626137008</v>
      </c>
      <c r="C794">
        <f ca="1">AVERAGE(B$2:B794)</f>
        <v>9.2435787887082621E-2</v>
      </c>
      <c r="D794">
        <f ca="1">_xlfn.VAR.P(B$2:B794)</f>
        <v>1.9012860712883899</v>
      </c>
    </row>
    <row r="795" spans="1:4" x14ac:dyDescent="0.3">
      <c r="A795">
        <f t="shared" ca="1" si="24"/>
        <v>0.19566436066987491</v>
      </c>
      <c r="B795">
        <f t="shared" ca="1" si="25"/>
        <v>0.9382073526644894</v>
      </c>
      <c r="C795">
        <f ca="1">AVERAGE(B$2:B795)</f>
        <v>9.3500991369170033E-2</v>
      </c>
      <c r="D795">
        <f ca="1">_xlfn.VAR.P(B$2:B795)</f>
        <v>1.8997912886053692</v>
      </c>
    </row>
    <row r="796" spans="1:4" x14ac:dyDescent="0.3">
      <c r="A796">
        <f t="shared" ca="1" si="24"/>
        <v>0.58813526691088724</v>
      </c>
      <c r="B796">
        <f t="shared" ca="1" si="25"/>
        <v>-0.19391312072560773</v>
      </c>
      <c r="C796">
        <f ca="1">AVERAGE(B$2:B796)</f>
        <v>9.3139464184145149E-2</v>
      </c>
      <c r="D796">
        <f ca="1">_xlfn.VAR.P(B$2:B796)</f>
        <v>1.8975053913414834</v>
      </c>
    </row>
    <row r="797" spans="1:4" x14ac:dyDescent="0.3">
      <c r="A797">
        <f t="shared" ca="1" si="24"/>
        <v>0.90767572165915877</v>
      </c>
      <c r="B797">
        <f t="shared" ca="1" si="25"/>
        <v>-1.6893009542227386</v>
      </c>
      <c r="C797">
        <f ca="1">AVERAGE(B$2:B797)</f>
        <v>9.0900217427352575E-2</v>
      </c>
      <c r="D797">
        <f ca="1">_xlfn.VAR.P(B$2:B797)</f>
        <v>1.899107900298648</v>
      </c>
    </row>
    <row r="798" spans="1:4" x14ac:dyDescent="0.3">
      <c r="A798">
        <f t="shared" ca="1" si="24"/>
        <v>2.5767516604474294E-2</v>
      </c>
      <c r="B798">
        <f t="shared" ca="1" si="25"/>
        <v>2.9654934460975744</v>
      </c>
      <c r="C798">
        <f ca="1">AVERAGE(B$2:B798)</f>
        <v>9.4506984339109437E-2</v>
      </c>
      <c r="D798">
        <f ca="1">_xlfn.VAR.P(B$2:B798)</f>
        <v>1.9070800588209518</v>
      </c>
    </row>
    <row r="799" spans="1:4" x14ac:dyDescent="0.3">
      <c r="A799">
        <f t="shared" ca="1" si="24"/>
        <v>0.53560072347209753</v>
      </c>
      <c r="B799">
        <f t="shared" ca="1" si="25"/>
        <v>-7.3863406463789208E-2</v>
      </c>
      <c r="C799">
        <f ca="1">AVERAGE(B$2:B799)</f>
        <v>9.4295993874444151E-2</v>
      </c>
      <c r="D799">
        <f ca="1">_xlfn.VAR.P(B$2:B799)</f>
        <v>1.9047257142158529</v>
      </c>
    </row>
    <row r="800" spans="1:4" x14ac:dyDescent="0.3">
      <c r="A800">
        <f t="shared" ca="1" si="24"/>
        <v>0.82115926284243645</v>
      </c>
      <c r="B800">
        <f t="shared" ca="1" si="25"/>
        <v>-1.028112425181863</v>
      </c>
      <c r="C800">
        <f ca="1">AVERAGE(B$2:B800)</f>
        <v>9.2891227392521369E-2</v>
      </c>
      <c r="D800">
        <f ca="1">_xlfn.VAR.P(B$2:B800)</f>
        <v>1.9039165755715808</v>
      </c>
    </row>
    <row r="801" spans="1:4" x14ac:dyDescent="0.3">
      <c r="A801">
        <f t="shared" ca="1" si="24"/>
        <v>0.33855975689831286</v>
      </c>
      <c r="B801">
        <f t="shared" ca="1" si="25"/>
        <v>0.38990748723866825</v>
      </c>
      <c r="C801">
        <f ca="1">AVERAGE(B$2:B801)</f>
        <v>9.3262497717329057E-2</v>
      </c>
      <c r="D801">
        <f ca="1">_xlfn.VAR.P(B$2:B801)</f>
        <v>1.9016468153337287</v>
      </c>
    </row>
    <row r="802" spans="1:4" x14ac:dyDescent="0.3">
      <c r="A802">
        <f t="shared" ca="1" si="24"/>
        <v>0.57046131523190802</v>
      </c>
      <c r="B802">
        <f t="shared" ca="1" si="25"/>
        <v>-0.15189629174516592</v>
      </c>
      <c r="C802">
        <f ca="1">AVERAGE(B$2:B802)</f>
        <v>9.2956431812881504E-2</v>
      </c>
      <c r="D802">
        <f ca="1">_xlfn.VAR.P(B$2:B802)</f>
        <v>1.8993476654984858</v>
      </c>
    </row>
    <row r="803" spans="1:4" x14ac:dyDescent="0.3">
      <c r="A803">
        <f t="shared" ca="1" si="24"/>
        <v>0.49522936633046277</v>
      </c>
      <c r="B803">
        <f t="shared" ca="1" si="25"/>
        <v>9.5870768503580582E-3</v>
      </c>
      <c r="C803">
        <f ca="1">AVERAGE(B$2:B803)</f>
        <v>9.2852479998713766E-2</v>
      </c>
      <c r="D803">
        <f ca="1">_xlfn.VAR.P(B$2:B803)</f>
        <v>1.8969880571661324</v>
      </c>
    </row>
    <row r="804" spans="1:4" x14ac:dyDescent="0.3">
      <c r="A804">
        <f t="shared" ca="1" si="24"/>
        <v>0.61046779617753688</v>
      </c>
      <c r="B804">
        <f t="shared" ca="1" si="25"/>
        <v>-0.24966155662555559</v>
      </c>
      <c r="C804">
        <f ca="1">AVERAGE(B$2:B804)</f>
        <v>9.2425936989219026E-2</v>
      </c>
      <c r="D804">
        <f ca="1">_xlfn.VAR.P(B$2:B804)</f>
        <v>1.8947715960343146</v>
      </c>
    </row>
    <row r="805" spans="1:4" x14ac:dyDescent="0.3">
      <c r="A805">
        <f t="shared" ca="1" si="24"/>
        <v>0.29955011616180827</v>
      </c>
      <c r="B805">
        <f t="shared" ca="1" si="25"/>
        <v>0.5123263621046239</v>
      </c>
      <c r="C805">
        <f ca="1">AVERAGE(B$2:B805)</f>
        <v>9.2948201199561584E-2</v>
      </c>
      <c r="D805">
        <f ca="1">_xlfn.VAR.P(B$2:B805)</f>
        <v>1.8926339411487596</v>
      </c>
    </row>
    <row r="806" spans="1:4" x14ac:dyDescent="0.3">
      <c r="A806">
        <f t="shared" ca="1" si="24"/>
        <v>0.97730512155956961</v>
      </c>
      <c r="B806">
        <f t="shared" ca="1" si="25"/>
        <v>-3.0924688187550124</v>
      </c>
      <c r="C806">
        <f ca="1">AVERAGE(B$2:B806)</f>
        <v>8.8991161423220499E-2</v>
      </c>
      <c r="D806">
        <f ca="1">_xlfn.VAR.P(B$2:B806)</f>
        <v>1.9028720067736233</v>
      </c>
    </row>
    <row r="807" spans="1:4" x14ac:dyDescent="0.3">
      <c r="A807">
        <f t="shared" ca="1" si="24"/>
        <v>0.93235326790043349</v>
      </c>
      <c r="B807">
        <f t="shared" ca="1" si="25"/>
        <v>-2.0003090509652708</v>
      </c>
      <c r="C807">
        <f ca="1">AVERAGE(B$2:B807)</f>
        <v>8.6398977536882429E-2</v>
      </c>
      <c r="D807">
        <f ca="1">_xlfn.VAR.P(B$2:B807)</f>
        <v>1.9059202543175053</v>
      </c>
    </row>
    <row r="808" spans="1:4" x14ac:dyDescent="0.3">
      <c r="A808">
        <f t="shared" ca="1" si="24"/>
        <v>0.25492853307595031</v>
      </c>
      <c r="B808">
        <f t="shared" ca="1" si="25"/>
        <v>0.67362485499187841</v>
      </c>
      <c r="C808">
        <f ca="1">AVERAGE(B$2:B808)</f>
        <v>8.7126642812539179E-2</v>
      </c>
      <c r="D808">
        <f ca="1">_xlfn.VAR.P(B$2:B808)</f>
        <v>1.9039852935652812</v>
      </c>
    </row>
    <row r="809" spans="1:4" x14ac:dyDescent="0.3">
      <c r="A809">
        <f t="shared" ca="1" si="24"/>
        <v>0.7572491844278908</v>
      </c>
      <c r="B809">
        <f t="shared" ca="1" si="25"/>
        <v>-0.72257263153607498</v>
      </c>
      <c r="C809">
        <f ca="1">AVERAGE(B$2:B809)</f>
        <v>8.6124539750226534E-2</v>
      </c>
      <c r="D809">
        <f ca="1">_xlfn.VAR.P(B$2:B809)</f>
        <v>1.9024392740345795</v>
      </c>
    </row>
    <row r="810" spans="1:4" x14ac:dyDescent="0.3">
      <c r="A810">
        <f t="shared" ca="1" si="24"/>
        <v>0.16049138733683521</v>
      </c>
      <c r="B810">
        <f t="shared" ca="1" si="25"/>
        <v>1.1363678187446886</v>
      </c>
      <c r="C810">
        <f ca="1">AVERAGE(B$2:B810)</f>
        <v>8.7422739106214745E-2</v>
      </c>
      <c r="D810">
        <f ca="1">_xlfn.VAR.P(B$2:B810)</f>
        <v>1.9014494201976075</v>
      </c>
    </row>
    <row r="811" spans="1:4" x14ac:dyDescent="0.3">
      <c r="A811">
        <f t="shared" ca="1" si="24"/>
        <v>0.46916321843867426</v>
      </c>
      <c r="B811">
        <f t="shared" ca="1" si="25"/>
        <v>6.3657376790127396E-2</v>
      </c>
      <c r="C811">
        <f ca="1">AVERAGE(B$2:B811)</f>
        <v>8.7393399152738097E-2</v>
      </c>
      <c r="D811">
        <f ca="1">_xlfn.VAR.P(B$2:B811)</f>
        <v>1.8991026481914028</v>
      </c>
    </row>
    <row r="812" spans="1:4" x14ac:dyDescent="0.3">
      <c r="A812">
        <f t="shared" ca="1" si="24"/>
        <v>0.30966151133018671</v>
      </c>
      <c r="B812">
        <f t="shared" ca="1" si="25"/>
        <v>0.47912829643381544</v>
      </c>
      <c r="C812">
        <f ca="1">AVERAGE(B$2:B812)</f>
        <v>8.7876426153084677E-2</v>
      </c>
      <c r="D812">
        <f ca="1">_xlfn.VAR.P(B$2:B812)</f>
        <v>1.8969499532012968</v>
      </c>
    </row>
    <row r="813" spans="1:4" x14ac:dyDescent="0.3">
      <c r="A813">
        <f t="shared" ca="1" si="24"/>
        <v>0.63880781981380585</v>
      </c>
      <c r="B813">
        <f t="shared" ca="1" si="25"/>
        <v>-0.32519792665359937</v>
      </c>
      <c r="C813">
        <f ca="1">AVERAGE(B$2:B813)</f>
        <v>8.7367713895933591E-2</v>
      </c>
      <c r="D813">
        <f ca="1">_xlfn.VAR.P(B$2:B813)</f>
        <v>1.8948236851369602</v>
      </c>
    </row>
    <row r="814" spans="1:4" x14ac:dyDescent="0.3">
      <c r="A814">
        <f t="shared" ca="1" si="24"/>
        <v>0.60723379629065721</v>
      </c>
      <c r="B814">
        <f t="shared" ca="1" si="25"/>
        <v>-0.24139356507998561</v>
      </c>
      <c r="C814">
        <f ca="1">AVERAGE(B$2:B814)</f>
        <v>8.6963333478989033E-2</v>
      </c>
      <c r="D814">
        <f ca="1">_xlfn.VAR.P(B$2:B814)</f>
        <v>1.8926258097972233</v>
      </c>
    </row>
    <row r="815" spans="1:4" x14ac:dyDescent="0.3">
      <c r="A815">
        <f t="shared" ca="1" si="24"/>
        <v>0.32573571362832432</v>
      </c>
      <c r="B815">
        <f t="shared" ca="1" si="25"/>
        <v>0.42852174023753664</v>
      </c>
      <c r="C815">
        <f ca="1">AVERAGE(B$2:B815)</f>
        <v>8.7382938401296836E-2</v>
      </c>
      <c r="D815">
        <f ca="1">_xlfn.VAR.P(B$2:B815)</f>
        <v>1.8904438601852347</v>
      </c>
    </row>
    <row r="816" spans="1:4" x14ac:dyDescent="0.3">
      <c r="A816">
        <f t="shared" ca="1" si="24"/>
        <v>0.68039505390100574</v>
      </c>
      <c r="B816">
        <f t="shared" ca="1" si="25"/>
        <v>-0.44752240874558535</v>
      </c>
      <c r="C816">
        <f ca="1">AVERAGE(B$2:B816)</f>
        <v>8.672661282197551E-2</v>
      </c>
      <c r="D816">
        <f ca="1">_xlfn.VAR.P(B$2:B816)</f>
        <v>1.8884749384651851</v>
      </c>
    </row>
    <row r="817" spans="1:4" x14ac:dyDescent="0.3">
      <c r="A817">
        <f t="shared" ca="1" si="24"/>
        <v>0.23616974459275686</v>
      </c>
      <c r="B817">
        <f t="shared" ca="1" si="25"/>
        <v>0.75005729518878317</v>
      </c>
      <c r="C817">
        <f ca="1">AVERAGE(B$2:B817)</f>
        <v>8.7539518069974051E-2</v>
      </c>
      <c r="D817">
        <f ca="1">_xlfn.VAR.P(B$2:B817)</f>
        <v>1.8866991951204684</v>
      </c>
    </row>
    <row r="818" spans="1:4" x14ac:dyDescent="0.3">
      <c r="A818">
        <f t="shared" ca="1" si="24"/>
        <v>0.95388152575371044</v>
      </c>
      <c r="B818">
        <f t="shared" ca="1" si="25"/>
        <v>-2.3833944858259448</v>
      </c>
      <c r="C818">
        <f ca="1">AVERAGE(B$2:B818)</f>
        <v>8.4515119044397652E-2</v>
      </c>
      <c r="D818">
        <f ca="1">_xlfn.VAR.P(B$2:B818)</f>
        <v>1.8918538371842319</v>
      </c>
    </row>
    <row r="819" spans="1:4" x14ac:dyDescent="0.3">
      <c r="A819">
        <f t="shared" ca="1" si="24"/>
        <v>0.26792689989450369</v>
      </c>
      <c r="B819">
        <f t="shared" ca="1" si="25"/>
        <v>0.62389391670521543</v>
      </c>
      <c r="C819">
        <f ca="1">AVERAGE(B$2:B819)</f>
        <v>8.5174506327601582E-2</v>
      </c>
      <c r="D819">
        <f ca="1">_xlfn.VAR.P(B$2:B819)</f>
        <v>1.8898962821605911</v>
      </c>
    </row>
    <row r="820" spans="1:4" x14ac:dyDescent="0.3">
      <c r="A820">
        <f t="shared" ca="1" si="24"/>
        <v>0.78132679083728074</v>
      </c>
      <c r="B820">
        <f t="shared" ca="1" si="25"/>
        <v>-0.82702967864234522</v>
      </c>
      <c r="C820">
        <f ca="1">AVERAGE(B$2:B820)</f>
        <v>8.4060703903950845E-2</v>
      </c>
      <c r="D820">
        <f ca="1">_xlfn.VAR.P(B$2:B820)</f>
        <v>1.8886034911687524</v>
      </c>
    </row>
    <row r="821" spans="1:4" x14ac:dyDescent="0.3">
      <c r="A821">
        <f t="shared" ca="1" si="24"/>
        <v>0.94647712640159121</v>
      </c>
      <c r="B821">
        <f t="shared" ca="1" si="25"/>
        <v>-2.2344989919955882</v>
      </c>
      <c r="C821">
        <f ca="1">AVERAGE(B$2:B821)</f>
        <v>8.1233192079683103E-2</v>
      </c>
      <c r="D821">
        <f ca="1">_xlfn.VAR.P(B$2:B821)</f>
        <v>1.8928480763118321</v>
      </c>
    </row>
    <row r="822" spans="1:4" x14ac:dyDescent="0.3">
      <c r="A822">
        <f t="shared" ca="1" si="24"/>
        <v>0.35990339743745159</v>
      </c>
      <c r="B822">
        <f t="shared" ca="1" si="25"/>
        <v>0.32877244343330042</v>
      </c>
      <c r="C822">
        <f ca="1">AVERAGE(B$2:B822)</f>
        <v>8.1534701521039518E-2</v>
      </c>
      <c r="D822">
        <f ca="1">_xlfn.VAR.P(B$2:B822)</f>
        <v>1.8906170811464575</v>
      </c>
    </row>
    <row r="823" spans="1:4" x14ac:dyDescent="0.3">
      <c r="A823">
        <f t="shared" ca="1" si="24"/>
        <v>0.90656950349514798</v>
      </c>
      <c r="B823">
        <f t="shared" ca="1" si="25"/>
        <v>-1.677390291440588</v>
      </c>
      <c r="C823">
        <f ca="1">AVERAGE(B$2:B823)</f>
        <v>7.9394890094078907E-2</v>
      </c>
      <c r="D823">
        <f ca="1">_xlfn.VAR.P(B$2:B823)</f>
        <v>1.8920762493726369</v>
      </c>
    </row>
    <row r="824" spans="1:4" x14ac:dyDescent="0.3">
      <c r="A824">
        <f t="shared" ca="1" si="24"/>
        <v>7.1785180158481676E-2</v>
      </c>
      <c r="B824">
        <f t="shared" ca="1" si="25"/>
        <v>1.9409300481503202</v>
      </c>
      <c r="C824">
        <f ca="1">AVERAGE(B$2:B824)</f>
        <v>8.1656779715046382E-2</v>
      </c>
      <c r="D824">
        <f ca="1">_xlfn.VAR.P(B$2:B824)</f>
        <v>1.8939827211931155</v>
      </c>
    </row>
    <row r="825" spans="1:4" x14ac:dyDescent="0.3">
      <c r="A825">
        <f t="shared" ca="1" si="24"/>
        <v>0.97961049624027563</v>
      </c>
      <c r="B825">
        <f t="shared" ca="1" si="25"/>
        <v>-3.19958785156581</v>
      </c>
      <c r="C825">
        <f ca="1">AVERAGE(B$2:B825)</f>
        <v>7.7674686715919136E-2</v>
      </c>
      <c r="D825">
        <f ca="1">_xlfn.VAR.P(B$2:B825)</f>
        <v>1.9047345626832144</v>
      </c>
    </row>
    <row r="826" spans="1:4" x14ac:dyDescent="0.3">
      <c r="A826">
        <f t="shared" ca="1" si="24"/>
        <v>5.9906693601571859E-2</v>
      </c>
      <c r="B826">
        <f t="shared" ca="1" si="25"/>
        <v>2.1218198532739563</v>
      </c>
      <c r="C826">
        <f ca="1">AVERAGE(B$2:B826)</f>
        <v>8.0152438432959189E-2</v>
      </c>
      <c r="D826">
        <f ca="1">_xlfn.VAR.P(B$2:B826)</f>
        <v>1.9074845384590724</v>
      </c>
    </row>
    <row r="827" spans="1:4" x14ac:dyDescent="0.3">
      <c r="A827">
        <f t="shared" ca="1" si="24"/>
        <v>0.88265650295659626</v>
      </c>
      <c r="B827">
        <f t="shared" ca="1" si="25"/>
        <v>-1.4495025927147098</v>
      </c>
      <c r="C827">
        <f ca="1">AVERAGE(B$2:B827)</f>
        <v>7.8300555828664187E-2</v>
      </c>
      <c r="D827">
        <f ca="1">_xlfn.VAR.P(B$2:B827)</f>
        <v>1.9080045472173213</v>
      </c>
    </row>
    <row r="828" spans="1:4" x14ac:dyDescent="0.3">
      <c r="A828">
        <f t="shared" ca="1" si="24"/>
        <v>0.98778775876873548</v>
      </c>
      <c r="B828">
        <f t="shared" ca="1" si="25"/>
        <v>-3.7121692701199867</v>
      </c>
      <c r="C828">
        <f ca="1">AVERAGE(B$2:B828)</f>
        <v>7.3717158215667031E-2</v>
      </c>
      <c r="D828">
        <f ca="1">_xlfn.VAR.P(B$2:B828)</f>
        <v>1.9230496303175117</v>
      </c>
    </row>
    <row r="829" spans="1:4" x14ac:dyDescent="0.3">
      <c r="A829">
        <f t="shared" ca="1" si="24"/>
        <v>0.73109875449776152</v>
      </c>
      <c r="B829">
        <f t="shared" ca="1" si="25"/>
        <v>-0.62026390331637982</v>
      </c>
      <c r="C829">
        <f ca="1">AVERAGE(B$2:B829)</f>
        <v>7.2879016837005137E-2</v>
      </c>
      <c r="D829">
        <f ca="1">_xlfn.VAR.P(B$2:B829)</f>
        <v>1.9213080583721056</v>
      </c>
    </row>
    <row r="830" spans="1:4" x14ac:dyDescent="0.3">
      <c r="A830">
        <f t="shared" ca="1" si="24"/>
        <v>0.70702152580799649</v>
      </c>
      <c r="B830">
        <f t="shared" ca="1" si="25"/>
        <v>-0.5345089590254406</v>
      </c>
      <c r="C830">
        <f ca="1">AVERAGE(B$2:B830)</f>
        <v>7.2146341353455753E-2</v>
      </c>
      <c r="D830">
        <f ca="1">_xlfn.VAR.P(B$2:B830)</f>
        <v>1.919434918536848</v>
      </c>
    </row>
    <row r="831" spans="1:4" x14ac:dyDescent="0.3">
      <c r="A831">
        <f t="shared" ca="1" si="24"/>
        <v>0.11577402726344732</v>
      </c>
      <c r="B831">
        <f t="shared" ca="1" si="25"/>
        <v>1.4629678480475086</v>
      </c>
      <c r="C831">
        <f ca="1">AVERAGE(B$2:B831)</f>
        <v>7.3822029915737747E-2</v>
      </c>
      <c r="D831">
        <f ca="1">_xlfn.VAR.P(B$2:B831)</f>
        <v>1.919450122104625</v>
      </c>
    </row>
    <row r="832" spans="1:4" x14ac:dyDescent="0.3">
      <c r="A832">
        <f t="shared" ca="1" si="24"/>
        <v>0.54996399897828629</v>
      </c>
      <c r="B832">
        <f t="shared" ca="1" si="25"/>
        <v>-0.10528051658736237</v>
      </c>
      <c r="C832">
        <f ca="1">AVERAGE(B$2:B832)</f>
        <v>7.360650338564978E-2</v>
      </c>
      <c r="D832">
        <f ca="1">_xlfn.VAR.P(B$2:B832)</f>
        <v>1.9171788693954899</v>
      </c>
    </row>
    <row r="833" spans="1:4" x14ac:dyDescent="0.3">
      <c r="A833">
        <f t="shared" ca="1" si="24"/>
        <v>0.95283789953334619</v>
      </c>
      <c r="B833">
        <f t="shared" ca="1" si="25"/>
        <v>-2.3610174845876548</v>
      </c>
      <c r="C833">
        <f ca="1">AVERAGE(B$2:B833)</f>
        <v>7.0680272630874175E-2</v>
      </c>
      <c r="D833">
        <f ca="1">_xlfn.VAR.P(B$2:B833)</f>
        <v>1.9219902766332662</v>
      </c>
    </row>
    <row r="834" spans="1:4" x14ac:dyDescent="0.3">
      <c r="A834">
        <f t="shared" ca="1" si="24"/>
        <v>0.50137312388421584</v>
      </c>
      <c r="B834">
        <f t="shared" ca="1" si="25"/>
        <v>-2.7500256250398997E-3</v>
      </c>
      <c r="C834">
        <f ca="1">AVERAGE(B$2:B834)</f>
        <v>7.0592121012319653E-2</v>
      </c>
      <c r="D834">
        <f ca="1">_xlfn.VAR.P(B$2:B834)</f>
        <v>1.9196894306057379</v>
      </c>
    </row>
    <row r="835" spans="1:4" x14ac:dyDescent="0.3">
      <c r="A835">
        <f t="shared" ref="A835:A898" ca="1" si="26">RAND()</f>
        <v>0.20568019395279791</v>
      </c>
      <c r="B835">
        <f t="shared" ref="B835:B898" ca="1" si="27">-SIGN(0.5-A835)*LN(1-2*ABS(0.5-A835))*$F$1</f>
        <v>0.88828559248173744</v>
      </c>
      <c r="C835">
        <f ca="1">AVERAGE(B$2:B835)</f>
        <v>7.1572568819836938E-2</v>
      </c>
      <c r="D835">
        <f ca="1">_xlfn.VAR.P(B$2:B835)</f>
        <v>1.918188389211142</v>
      </c>
    </row>
    <row r="836" spans="1:4" x14ac:dyDescent="0.3">
      <c r="A836">
        <f t="shared" ca="1" si="26"/>
        <v>0.28340400178682001</v>
      </c>
      <c r="B836">
        <f t="shared" ca="1" si="27"/>
        <v>0.56773465063432582</v>
      </c>
      <c r="C836">
        <f ca="1">AVERAGE(B$2:B836)</f>
        <v>7.2166774905842321E-2</v>
      </c>
      <c r="D836">
        <f ca="1">_xlfn.VAR.P(B$2:B836)</f>
        <v>1.9161856270550828</v>
      </c>
    </row>
    <row r="837" spans="1:4" x14ac:dyDescent="0.3">
      <c r="A837">
        <f t="shared" ca="1" si="26"/>
        <v>0.47964713109455637</v>
      </c>
      <c r="B837">
        <f t="shared" ca="1" si="27"/>
        <v>4.1557408423790215E-2</v>
      </c>
      <c r="C837">
        <f ca="1">AVERAGE(B$2:B837)</f>
        <v>7.2130160831103018E-2</v>
      </c>
      <c r="D837">
        <f ca="1">_xlfn.VAR.P(B$2:B837)</f>
        <v>1.9138946583774843</v>
      </c>
    </row>
    <row r="838" spans="1:4" x14ac:dyDescent="0.3">
      <c r="A838">
        <f t="shared" ca="1" si="26"/>
        <v>0.7295329934607746</v>
      </c>
      <c r="B838">
        <f t="shared" ca="1" si="27"/>
        <v>-0.61445797970341731</v>
      </c>
      <c r="C838">
        <f ca="1">AVERAGE(B$2:B838)</f>
        <v>7.1309864366904077E-2</v>
      </c>
      <c r="D838">
        <f ca="1">_xlfn.VAR.P(B$2:B838)</f>
        <v>1.9121705788201619</v>
      </c>
    </row>
    <row r="839" spans="1:4" x14ac:dyDescent="0.3">
      <c r="A839">
        <f t="shared" ca="1" si="26"/>
        <v>0.34988670024368795</v>
      </c>
      <c r="B839">
        <f t="shared" ca="1" si="27"/>
        <v>0.35699870993474947</v>
      </c>
      <c r="C839">
        <f ca="1">AVERAGE(B$2:B839)</f>
        <v>7.1650781843715344E-2</v>
      </c>
      <c r="D839">
        <f ca="1">_xlfn.VAR.P(B$2:B839)</f>
        <v>1.9099860324494471</v>
      </c>
    </row>
    <row r="840" spans="1:4" x14ac:dyDescent="0.3">
      <c r="A840">
        <f t="shared" ca="1" si="26"/>
        <v>0.56309854473825682</v>
      </c>
      <c r="B840">
        <f t="shared" ca="1" si="27"/>
        <v>-0.13490043158972823</v>
      </c>
      <c r="C840">
        <f ca="1">AVERAGE(B$2:B840)</f>
        <v>7.1404594461792301E-2</v>
      </c>
      <c r="D840">
        <f ca="1">_xlfn.VAR.P(B$2:B840)</f>
        <v>1.9077603191252743</v>
      </c>
    </row>
    <row r="841" spans="1:4" x14ac:dyDescent="0.3">
      <c r="A841">
        <f t="shared" ca="1" si="26"/>
        <v>0.11336729928314149</v>
      </c>
      <c r="B841">
        <f t="shared" ca="1" si="27"/>
        <v>1.4839751148239049</v>
      </c>
      <c r="C841">
        <f ca="1">AVERAGE(B$2:B841)</f>
        <v>7.3086226033651946E-2</v>
      </c>
      <c r="D841">
        <f ca="1">_xlfn.VAR.P(B$2:B841)</f>
        <v>1.9078617711879962</v>
      </c>
    </row>
    <row r="842" spans="1:4" x14ac:dyDescent="0.3">
      <c r="A842">
        <f t="shared" ca="1" si="26"/>
        <v>0.68158514583292973</v>
      </c>
      <c r="B842">
        <f t="shared" ca="1" si="27"/>
        <v>-0.45125299300539101</v>
      </c>
      <c r="C842">
        <f ca="1">AVERAGE(B$2:B842)</f>
        <v>7.2462754905186985E-2</v>
      </c>
      <c r="D842">
        <f ca="1">_xlfn.VAR.P(B$2:B842)</f>
        <v>1.9059197294936678</v>
      </c>
    </row>
    <row r="843" spans="1:4" x14ac:dyDescent="0.3">
      <c r="A843">
        <f t="shared" ca="1" si="26"/>
        <v>0.24718306219837527</v>
      </c>
      <c r="B843">
        <f t="shared" ca="1" si="27"/>
        <v>0.70447889380115036</v>
      </c>
      <c r="C843">
        <f ca="1">AVERAGE(B$2:B843)</f>
        <v>7.3213367896749884E-2</v>
      </c>
      <c r="D843">
        <f ca="1">_xlfn.VAR.P(B$2:B843)</f>
        <v>1.9041300029744359</v>
      </c>
    </row>
    <row r="844" spans="1:4" x14ac:dyDescent="0.3">
      <c r="A844">
        <f t="shared" ca="1" si="26"/>
        <v>0.15853219233442328</v>
      </c>
      <c r="B844">
        <f t="shared" ca="1" si="27"/>
        <v>1.148650419517258</v>
      </c>
      <c r="C844">
        <f ca="1">AVERAGE(B$2:B844)</f>
        <v>7.4489093936631862E-2</v>
      </c>
      <c r="D844">
        <f ca="1">_xlfn.VAR.P(B$2:B844)</f>
        <v>1.9032415840965862</v>
      </c>
    </row>
    <row r="845" spans="1:4" x14ac:dyDescent="0.3">
      <c r="A845">
        <f t="shared" ca="1" si="26"/>
        <v>5.6072333055496526E-2</v>
      </c>
      <c r="B845">
        <f t="shared" ca="1" si="27"/>
        <v>2.1879655794590911</v>
      </c>
      <c r="C845">
        <f ca="1">AVERAGE(B$2:B845)</f>
        <v>7.6993212995307758E-2</v>
      </c>
      <c r="D845">
        <f ca="1">_xlfn.VAR.P(B$2:B845)</f>
        <v>1.9062726846582121</v>
      </c>
    </row>
    <row r="846" spans="1:4" x14ac:dyDescent="0.3">
      <c r="A846">
        <f t="shared" ca="1" si="26"/>
        <v>0.75484001956907909</v>
      </c>
      <c r="B846">
        <f t="shared" ca="1" si="27"/>
        <v>-0.71269711962632765</v>
      </c>
      <c r="C846">
        <f ca="1">AVERAGE(B$2:B846)</f>
        <v>7.6058668222974468E-2</v>
      </c>
      <c r="D846">
        <f ca="1">_xlfn.VAR.P(B$2:B846)</f>
        <v>1.9047538682508813</v>
      </c>
    </row>
    <row r="847" spans="1:4" x14ac:dyDescent="0.3">
      <c r="A847">
        <f t="shared" ca="1" si="26"/>
        <v>0.46106784578617233</v>
      </c>
      <c r="B847">
        <f t="shared" ca="1" si="27"/>
        <v>8.1062895351358188E-2</v>
      </c>
      <c r="C847">
        <f ca="1">AVERAGE(B$2:B847)</f>
        <v>7.6064583385064749E-2</v>
      </c>
      <c r="D847">
        <f ca="1">_xlfn.VAR.P(B$2:B847)</f>
        <v>1.9025024157029355</v>
      </c>
    </row>
    <row r="848" spans="1:4" x14ac:dyDescent="0.3">
      <c r="A848">
        <f t="shared" ca="1" si="26"/>
        <v>0.34130298051751651</v>
      </c>
      <c r="B848">
        <f t="shared" ca="1" si="27"/>
        <v>0.38183750970993358</v>
      </c>
      <c r="C848">
        <f ca="1">AVERAGE(B$2:B848)</f>
        <v>7.6425590381906397E-2</v>
      </c>
      <c r="D848">
        <f ca="1">_xlfn.VAR.P(B$2:B848)</f>
        <v>1.9003665057626811</v>
      </c>
    </row>
    <row r="849" spans="1:4" x14ac:dyDescent="0.3">
      <c r="A849">
        <f t="shared" ca="1" si="26"/>
        <v>0.28663111979897293</v>
      </c>
      <c r="B849">
        <f t="shared" ca="1" si="27"/>
        <v>0.5564120062327278</v>
      </c>
      <c r="C849">
        <f ca="1">AVERAGE(B$2:B849)</f>
        <v>7.6991612098711609E-2</v>
      </c>
      <c r="D849">
        <f ca="1">_xlfn.VAR.P(B$2:B849)</f>
        <v>1.8983968698793126</v>
      </c>
    </row>
    <row r="850" spans="1:4" x14ac:dyDescent="0.3">
      <c r="A850">
        <f t="shared" ca="1" si="26"/>
        <v>0.85934764785218887</v>
      </c>
      <c r="B850">
        <f t="shared" ca="1" si="27"/>
        <v>-1.2683168402147769</v>
      </c>
      <c r="C850">
        <f ca="1">AVERAGE(B$2:B850)</f>
        <v>7.5407032060650969E-2</v>
      </c>
      <c r="D850">
        <f ca="1">_xlfn.VAR.P(B$2:B850)</f>
        <v>1.8982900691879914</v>
      </c>
    </row>
    <row r="851" spans="1:4" x14ac:dyDescent="0.3">
      <c r="A851">
        <f t="shared" ca="1" si="26"/>
        <v>0.83486885199838068</v>
      </c>
      <c r="B851">
        <f t="shared" ca="1" si="27"/>
        <v>-1.1078681038633074</v>
      </c>
      <c r="C851">
        <f ca="1">AVERAGE(B$2:B851)</f>
        <v>7.4014943665446309E-2</v>
      </c>
      <c r="D851">
        <f ca="1">_xlfn.VAR.P(B$2:B851)</f>
        <v>1.897702072428606</v>
      </c>
    </row>
    <row r="852" spans="1:4" x14ac:dyDescent="0.3">
      <c r="A852">
        <f t="shared" ca="1" si="26"/>
        <v>0.96463019223400837</v>
      </c>
      <c r="B852">
        <f t="shared" ca="1" si="27"/>
        <v>-2.6487495301646771</v>
      </c>
      <c r="C852">
        <f ca="1">AVERAGE(B$2:B852)</f>
        <v>7.0815455447079526E-2</v>
      </c>
      <c r="D852">
        <f ca="1">_xlfn.VAR.P(B$2:B852)</f>
        <v>1.9041733213765117</v>
      </c>
    </row>
    <row r="853" spans="1:4" x14ac:dyDescent="0.3">
      <c r="A853">
        <f t="shared" ca="1" si="26"/>
        <v>0.36010617060725136</v>
      </c>
      <c r="B853">
        <f t="shared" ca="1" si="27"/>
        <v>0.32820919209842919</v>
      </c>
      <c r="C853">
        <f ca="1">AVERAGE(B$2:B853)</f>
        <v>7.1117560771787686E-2</v>
      </c>
      <c r="D853">
        <f ca="1">_xlfn.VAR.P(B$2:B853)</f>
        <v>1.9020160449143899</v>
      </c>
    </row>
    <row r="854" spans="1:4" x14ac:dyDescent="0.3">
      <c r="A854">
        <f t="shared" ca="1" si="26"/>
        <v>0.50684769140162222</v>
      </c>
      <c r="B854">
        <f t="shared" ca="1" si="27"/>
        <v>-1.3790029702156495E-2</v>
      </c>
      <c r="C854">
        <f ca="1">AVERAGE(B$2:B854)</f>
        <v>7.1018020806402044E-2</v>
      </c>
      <c r="D854">
        <f ca="1">_xlfn.VAR.P(B$2:B854)</f>
        <v>1.8997946906380796</v>
      </c>
    </row>
    <row r="855" spans="1:4" x14ac:dyDescent="0.3">
      <c r="A855">
        <f t="shared" ca="1" si="26"/>
        <v>0.9577483845620649</v>
      </c>
      <c r="B855">
        <f t="shared" ca="1" si="27"/>
        <v>-2.4709655101325576</v>
      </c>
      <c r="C855">
        <f ca="1">AVERAGE(B$2:B855)</f>
        <v>6.804145929476392E-2</v>
      </c>
      <c r="D855">
        <f ca="1">_xlfn.VAR.P(B$2:B855)</f>
        <v>1.9051276171141747</v>
      </c>
    </row>
    <row r="856" spans="1:4" x14ac:dyDescent="0.3">
      <c r="A856">
        <f t="shared" ca="1" si="26"/>
        <v>0.22797835550260925</v>
      </c>
      <c r="B856">
        <f t="shared" ca="1" si="27"/>
        <v>0.78535740598017878</v>
      </c>
      <c r="C856">
        <f ca="1">AVERAGE(B$2:B856)</f>
        <v>6.8880425314279028E-2</v>
      </c>
      <c r="D856">
        <f ca="1">_xlfn.VAR.P(B$2:B856)</f>
        <v>1.9035004975194969</v>
      </c>
    </row>
    <row r="857" spans="1:4" x14ac:dyDescent="0.3">
      <c r="A857">
        <f t="shared" ca="1" si="26"/>
        <v>0.39521425838798085</v>
      </c>
      <c r="B857">
        <f t="shared" ca="1" si="27"/>
        <v>0.23518005428235186</v>
      </c>
      <c r="C857">
        <f ca="1">AVERAGE(B$2:B857)</f>
        <v>6.9074700581765097E-2</v>
      </c>
      <c r="D857">
        <f ca="1">_xlfn.VAR.P(B$2:B857)</f>
        <v>1.9013090521470326</v>
      </c>
    </row>
    <row r="858" spans="1:4" x14ac:dyDescent="0.3">
      <c r="A858">
        <f t="shared" ca="1" si="26"/>
        <v>3.899448944522721E-2</v>
      </c>
      <c r="B858">
        <f t="shared" ca="1" si="27"/>
        <v>2.5511877585520302</v>
      </c>
      <c r="C858">
        <f ca="1">AVERAGE(B$2:B858)</f>
        <v>7.1970981862943942E-2</v>
      </c>
      <c r="D858">
        <f ca="1">_xlfn.VAR.P(B$2:B858)</f>
        <v>1.9062709976345606</v>
      </c>
    </row>
    <row r="859" spans="1:4" x14ac:dyDescent="0.3">
      <c r="A859">
        <f t="shared" ca="1" si="26"/>
        <v>0.60041900523901814</v>
      </c>
      <c r="B859">
        <f t="shared" ca="1" si="27"/>
        <v>-0.22419161343704083</v>
      </c>
      <c r="C859">
        <f ca="1">AVERAGE(B$2:B859)</f>
        <v>7.1625804012943953E-2</v>
      </c>
      <c r="D859">
        <f ca="1">_xlfn.VAR.P(B$2:B859)</f>
        <v>1.9041513461852049</v>
      </c>
    </row>
    <row r="860" spans="1:4" x14ac:dyDescent="0.3">
      <c r="A860">
        <f t="shared" ca="1" si="26"/>
        <v>0.9297482703027693</v>
      </c>
      <c r="B860">
        <f t="shared" ca="1" si="27"/>
        <v>-1.9625231684868174</v>
      </c>
      <c r="C860">
        <f ca="1">AVERAGE(B$2:B860)</f>
        <v>6.9257760971617108E-2</v>
      </c>
      <c r="D860">
        <f ca="1">_xlfn.VAR.P(B$2:B860)</f>
        <v>1.9067459838380769</v>
      </c>
    </row>
    <row r="861" spans="1:4" x14ac:dyDescent="0.3">
      <c r="A861">
        <f t="shared" ca="1" si="26"/>
        <v>0.7514070628152294</v>
      </c>
      <c r="B861">
        <f t="shared" ca="1" si="27"/>
        <v>-0.69879133010809047</v>
      </c>
      <c r="C861">
        <f ca="1">AVERAGE(B$2:B861)</f>
        <v>6.8364680633152319E-2</v>
      </c>
      <c r="D861">
        <f ca="1">_xlfn.VAR.P(B$2:B861)</f>
        <v>1.9052139692949703</v>
      </c>
    </row>
    <row r="862" spans="1:4" x14ac:dyDescent="0.3">
      <c r="A862">
        <f t="shared" ca="1" si="26"/>
        <v>0.65811295559946092</v>
      </c>
      <c r="B862">
        <f t="shared" ca="1" si="27"/>
        <v>-0.38012769544447067</v>
      </c>
      <c r="C862">
        <f ca="1">AVERAGE(B$2:B862)</f>
        <v>6.7843783564537199E-2</v>
      </c>
      <c r="D862">
        <f ca="1">_xlfn.VAR.P(B$2:B862)</f>
        <v>1.9032345242586646</v>
      </c>
    </row>
    <row r="863" spans="1:4" x14ac:dyDescent="0.3">
      <c r="A863">
        <f t="shared" ca="1" si="26"/>
        <v>0.87900395168400836</v>
      </c>
      <c r="B863">
        <f t="shared" ca="1" si="27"/>
        <v>-1.4188502119042761</v>
      </c>
      <c r="C863">
        <f ca="1">AVERAGE(B$2:B863)</f>
        <v>6.6119080553552492E-2</v>
      </c>
      <c r="D863">
        <f ca="1">_xlfn.VAR.P(B$2:B863)</f>
        <v>1.9035877265861516</v>
      </c>
    </row>
    <row r="864" spans="1:4" x14ac:dyDescent="0.3">
      <c r="A864">
        <f t="shared" ca="1" si="26"/>
        <v>0.50686314949374578</v>
      </c>
      <c r="B864">
        <f t="shared" ca="1" si="27"/>
        <v>-1.382137566592812E-2</v>
      </c>
      <c r="C864">
        <f ca="1">AVERAGE(B$2:B864)</f>
        <v>6.6026449665696776E-2</v>
      </c>
      <c r="D864">
        <f ca="1">_xlfn.VAR.P(B$2:B864)</f>
        <v>1.9013893434401483</v>
      </c>
    </row>
    <row r="865" spans="1:4" x14ac:dyDescent="0.3">
      <c r="A865">
        <f t="shared" ca="1" si="26"/>
        <v>3.5810421239620971E-2</v>
      </c>
      <c r="B865">
        <f t="shared" ca="1" si="27"/>
        <v>2.6363691512969822</v>
      </c>
      <c r="C865">
        <f ca="1">AVERAGE(B$2:B865)</f>
        <v>6.9001383348140405E-2</v>
      </c>
      <c r="D865">
        <f ca="1">_xlfn.VAR.P(B$2:B865)</f>
        <v>1.9068264101777761</v>
      </c>
    </row>
    <row r="866" spans="1:4" x14ac:dyDescent="0.3">
      <c r="A866">
        <f t="shared" ca="1" si="26"/>
        <v>0.36326572184195172</v>
      </c>
      <c r="B866">
        <f t="shared" ca="1" si="27"/>
        <v>0.31947351585691269</v>
      </c>
      <c r="C866">
        <f ca="1">AVERAGE(B$2:B866)</f>
        <v>6.9290946507110082E-2</v>
      </c>
      <c r="D866">
        <f ca="1">_xlfn.VAR.P(B$2:B866)</f>
        <v>1.904694430237295</v>
      </c>
    </row>
    <row r="867" spans="1:4" x14ac:dyDescent="0.3">
      <c r="A867">
        <f t="shared" ca="1" si="26"/>
        <v>0.2335778908615701</v>
      </c>
      <c r="B867">
        <f t="shared" ca="1" si="27"/>
        <v>0.76109249723164185</v>
      </c>
      <c r="C867">
        <f ca="1">AVERAGE(B$2:B867)</f>
        <v>7.008979356337397E-2</v>
      </c>
      <c r="D867">
        <f ca="1">_xlfn.VAR.P(B$2:B867)</f>
        <v>1.9030470195117932</v>
      </c>
    </row>
    <row r="868" spans="1:4" x14ac:dyDescent="0.3">
      <c r="A868">
        <f t="shared" ca="1" si="26"/>
        <v>0.38854308578056496</v>
      </c>
      <c r="B868">
        <f t="shared" ca="1" si="27"/>
        <v>0.25220403185368562</v>
      </c>
      <c r="C868">
        <f ca="1">AVERAGE(B$2:B868)</f>
        <v>7.0299844587930274E-2</v>
      </c>
      <c r="D868">
        <f ca="1">_xlfn.VAR.P(B$2:B868)</f>
        <v>1.9008902494114401</v>
      </c>
    </row>
    <row r="869" spans="1:4" x14ac:dyDescent="0.3">
      <c r="A869">
        <f t="shared" ca="1" si="26"/>
        <v>0.35252017222929855</v>
      </c>
      <c r="B869">
        <f t="shared" ca="1" si="27"/>
        <v>0.34950025162481668</v>
      </c>
      <c r="C869">
        <f ca="1">AVERAGE(B$2:B869)</f>
        <v>7.0621504043041891E-2</v>
      </c>
      <c r="D869">
        <f ca="1">_xlfn.VAR.P(B$2:B869)</f>
        <v>1.8987899876723011</v>
      </c>
    </row>
    <row r="870" spans="1:4" x14ac:dyDescent="0.3">
      <c r="A870">
        <f t="shared" ca="1" si="26"/>
        <v>0.18159736960391282</v>
      </c>
      <c r="B870">
        <f t="shared" ca="1" si="27"/>
        <v>1.0128161169198526</v>
      </c>
      <c r="C870">
        <f ca="1">AVERAGE(B$2:B870)</f>
        <v>7.1705732596409916E-2</v>
      </c>
      <c r="D870">
        <f ca="1">_xlfn.VAR.P(B$2:B870)</f>
        <v>1.8976253376683421</v>
      </c>
    </row>
    <row r="871" spans="1:4" x14ac:dyDescent="0.3">
      <c r="A871">
        <f t="shared" ca="1" si="26"/>
        <v>0.11584884406523044</v>
      </c>
      <c r="B871">
        <f t="shared" ca="1" si="27"/>
        <v>1.4623218254508974</v>
      </c>
      <c r="C871">
        <f ca="1">AVERAGE(B$2:B871)</f>
        <v>7.3304141898541508E-2</v>
      </c>
      <c r="D871">
        <f ca="1">_xlfn.VAR.P(B$2:B871)</f>
        <v>1.8976643779055136</v>
      </c>
    </row>
    <row r="872" spans="1:4" x14ac:dyDescent="0.3">
      <c r="A872">
        <f t="shared" ca="1" si="26"/>
        <v>0.21830626628777616</v>
      </c>
      <c r="B872">
        <f t="shared" ca="1" si="27"/>
        <v>0.82870913034113924</v>
      </c>
      <c r="C872">
        <f ca="1">AVERAGE(B$2:B872)</f>
        <v>7.4171426615467578E-2</v>
      </c>
      <c r="D872">
        <f ca="1">_xlfn.VAR.P(B$2:B872)</f>
        <v>1.8961400577763021</v>
      </c>
    </row>
    <row r="873" spans="1:4" x14ac:dyDescent="0.3">
      <c r="A873">
        <f t="shared" ca="1" si="26"/>
        <v>0.78151606732407775</v>
      </c>
      <c r="B873">
        <f t="shared" ca="1" si="27"/>
        <v>-0.82789562125432425</v>
      </c>
      <c r="C873">
        <f ca="1">AVERAGE(B$2:B873)</f>
        <v>7.3136946055983865E-2</v>
      </c>
      <c r="D873">
        <f ca="1">_xlfn.VAR.P(B$2:B873)</f>
        <v>1.8948976859073252</v>
      </c>
    </row>
    <row r="874" spans="1:4" x14ac:dyDescent="0.3">
      <c r="A874">
        <f t="shared" ca="1" si="26"/>
        <v>0.37041761261372264</v>
      </c>
      <c r="B874">
        <f t="shared" ca="1" si="27"/>
        <v>0.29997704652761398</v>
      </c>
      <c r="C874">
        <f ca="1">AVERAGE(B$2:B874)</f>
        <v>7.3396785804519526E-2</v>
      </c>
      <c r="D874">
        <f ca="1">_xlfn.VAR.P(B$2:B874)</f>
        <v>1.892786001833098</v>
      </c>
    </row>
    <row r="875" spans="1:4" x14ac:dyDescent="0.3">
      <c r="A875">
        <f t="shared" ca="1" si="26"/>
        <v>0.24584854879433815</v>
      </c>
      <c r="B875">
        <f t="shared" ca="1" si="27"/>
        <v>0.7098924073909465</v>
      </c>
      <c r="C875">
        <f ca="1">AVERAGE(B$2:B875)</f>
        <v>7.4125041664458241E-2</v>
      </c>
      <c r="D875">
        <f ca="1">_xlfn.VAR.P(B$2:B875)</f>
        <v>1.8910833441017474</v>
      </c>
    </row>
    <row r="876" spans="1:4" x14ac:dyDescent="0.3">
      <c r="A876">
        <f t="shared" ca="1" si="26"/>
        <v>0.90030459148442765</v>
      </c>
      <c r="B876">
        <f t="shared" ca="1" si="27"/>
        <v>-1.6124884755181577</v>
      </c>
      <c r="C876">
        <f ca="1">AVERAGE(B$2:B876)</f>
        <v>7.2197483359106682E-2</v>
      </c>
      <c r="D876">
        <f ca="1">_xlfn.VAR.P(B$2:B876)</f>
        <v>1.8921694364061457</v>
      </c>
    </row>
    <row r="877" spans="1:4" x14ac:dyDescent="0.3">
      <c r="A877">
        <f t="shared" ca="1" si="26"/>
        <v>0.35739123114042626</v>
      </c>
      <c r="B877">
        <f t="shared" ca="1" si="27"/>
        <v>0.33577703113936019</v>
      </c>
      <c r="C877">
        <f ca="1">AVERAGE(B$2:B877)</f>
        <v>7.2498373253833001E-2</v>
      </c>
      <c r="D877">
        <f ca="1">_xlfn.VAR.P(B$2:B877)</f>
        <v>1.8900886435216475</v>
      </c>
    </row>
    <row r="878" spans="1:4" x14ac:dyDescent="0.3">
      <c r="A878">
        <f t="shared" ca="1" si="26"/>
        <v>0.23186255398701872</v>
      </c>
      <c r="B878">
        <f t="shared" ca="1" si="27"/>
        <v>0.76846334202875688</v>
      </c>
      <c r="C878">
        <f ca="1">AVERAGE(B$2:B878)</f>
        <v>7.3291947904659593E-2</v>
      </c>
      <c r="D878">
        <f ca="1">_xlfn.VAR.P(B$2:B878)</f>
        <v>1.8884851387258472</v>
      </c>
    </row>
    <row r="879" spans="1:4" x14ac:dyDescent="0.3">
      <c r="A879">
        <f t="shared" ca="1" si="26"/>
        <v>8.3561954416948248E-2</v>
      </c>
      <c r="B879">
        <f t="shared" ca="1" si="27"/>
        <v>1.7890197726231003</v>
      </c>
      <c r="C879">
        <f ca="1">AVERAGE(B$2:B879)</f>
        <v>7.5246079823473311E-2</v>
      </c>
      <c r="D879">
        <f ca="1">_xlfn.VAR.P(B$2:B879)</f>
        <v>1.8896831843651194</v>
      </c>
    </row>
    <row r="880" spans="1:4" x14ac:dyDescent="0.3">
      <c r="A880">
        <f t="shared" ca="1" si="26"/>
        <v>0.57581333614442198</v>
      </c>
      <c r="B880">
        <f t="shared" ca="1" si="27"/>
        <v>-0.16443449512720493</v>
      </c>
      <c r="C880">
        <f ca="1">AVERAGE(B$2:B880)</f>
        <v>7.4973405676771743E-2</v>
      </c>
      <c r="D880">
        <f ca="1">_xlfn.VAR.P(B$2:B880)</f>
        <v>1.8875986544890642</v>
      </c>
    </row>
    <row r="881" spans="1:4" x14ac:dyDescent="0.3">
      <c r="A881">
        <f t="shared" ca="1" si="26"/>
        <v>0.96138135675838587</v>
      </c>
      <c r="B881">
        <f t="shared" ca="1" si="27"/>
        <v>-2.5608729530173324</v>
      </c>
      <c r="C881">
        <f ca="1">AVERAGE(B$2:B881)</f>
        <v>7.1978125723710262E-2</v>
      </c>
      <c r="D881">
        <f ca="1">_xlfn.VAR.P(B$2:B881)</f>
        <v>1.8933397820736029</v>
      </c>
    </row>
    <row r="882" spans="1:4" x14ac:dyDescent="0.3">
      <c r="A882">
        <f t="shared" ca="1" si="26"/>
        <v>0.26814729415604166</v>
      </c>
      <c r="B882">
        <f t="shared" ca="1" si="27"/>
        <v>0.6230716638290229</v>
      </c>
      <c r="C882">
        <f ca="1">AVERAGE(B$2:B882)</f>
        <v>7.2603657549028436E-2</v>
      </c>
      <c r="D882">
        <f ca="1">_xlfn.VAR.P(B$2:B882)</f>
        <v>1.8915350369874748</v>
      </c>
    </row>
    <row r="883" spans="1:4" x14ac:dyDescent="0.3">
      <c r="A883">
        <f t="shared" ca="1" si="26"/>
        <v>0.47456467767045163</v>
      </c>
      <c r="B883">
        <f t="shared" ca="1" si="27"/>
        <v>5.2210182663373343E-2</v>
      </c>
      <c r="C883">
        <f ca="1">AVERAGE(B$2:B883)</f>
        <v>7.2580535695416587E-2</v>
      </c>
      <c r="D883">
        <f ca="1">_xlfn.VAR.P(B$2:B883)</f>
        <v>1.8893909104401907</v>
      </c>
    </row>
    <row r="884" spans="1:4" x14ac:dyDescent="0.3">
      <c r="A884">
        <f t="shared" ca="1" si="26"/>
        <v>0.24626384804787949</v>
      </c>
      <c r="B884">
        <f t="shared" ca="1" si="27"/>
        <v>0.70820458422373334</v>
      </c>
      <c r="C884">
        <f ca="1">AVERAGE(B$2:B884)</f>
        <v>7.3300381729989997E-2</v>
      </c>
      <c r="D884">
        <f ca="1">_xlfn.VAR.P(B$2:B884)</f>
        <v>1.887708203157265</v>
      </c>
    </row>
    <row r="885" spans="1:4" x14ac:dyDescent="0.3">
      <c r="A885">
        <f t="shared" ca="1" si="26"/>
        <v>0.73800052333651867</v>
      </c>
      <c r="B885">
        <f t="shared" ca="1" si="27"/>
        <v>-0.64626559213071832</v>
      </c>
      <c r="C885">
        <f ca="1">AVERAGE(B$2:B885)</f>
        <v>7.2486393071776525E-2</v>
      </c>
      <c r="D885">
        <f ca="1">_xlfn.VAR.P(B$2:B885)</f>
        <v>1.8861578426018795</v>
      </c>
    </row>
    <row r="886" spans="1:4" x14ac:dyDescent="0.3">
      <c r="A886">
        <f t="shared" ca="1" si="26"/>
        <v>0.29297612210914792</v>
      </c>
      <c r="B886">
        <f t="shared" ca="1" si="27"/>
        <v>0.53451698723400987</v>
      </c>
      <c r="C886">
        <f ca="1">AVERAGE(B$2:B886)</f>
        <v>7.3008461539756458E-2</v>
      </c>
      <c r="D886">
        <f ca="1">_xlfn.VAR.P(B$2:B886)</f>
        <v>1.8842675298512983</v>
      </c>
    </row>
    <row r="887" spans="1:4" x14ac:dyDescent="0.3">
      <c r="A887">
        <f t="shared" ca="1" si="26"/>
        <v>0.75698354171064874</v>
      </c>
      <c r="B887">
        <f t="shared" ca="1" si="27"/>
        <v>-0.7214789277893805</v>
      </c>
      <c r="C887">
        <f ca="1">AVERAGE(B$2:B887)</f>
        <v>7.2111748910716811E-2</v>
      </c>
      <c r="D887">
        <f ca="1">_xlfn.VAR.P(B$2:B887)</f>
        <v>1.8828524398457405</v>
      </c>
    </row>
    <row r="888" spans="1:4" x14ac:dyDescent="0.3">
      <c r="A888">
        <f t="shared" ca="1" si="26"/>
        <v>0.8146993794339209</v>
      </c>
      <c r="B888">
        <f t="shared" ca="1" si="27"/>
        <v>-0.99262861615602627</v>
      </c>
      <c r="C888">
        <f ca="1">AVERAGE(B$2:B888)</f>
        <v>7.0911365184598715E-2</v>
      </c>
      <c r="D888">
        <f ca="1">_xlfn.VAR.P(B$2:B888)</f>
        <v>1.8820063761570711</v>
      </c>
    </row>
    <row r="889" spans="1:4" x14ac:dyDescent="0.3">
      <c r="A889">
        <f t="shared" ca="1" si="26"/>
        <v>0.45859670969733979</v>
      </c>
      <c r="B889">
        <f t="shared" ca="1" si="27"/>
        <v>8.6436902691941278E-2</v>
      </c>
      <c r="C889">
        <f ca="1">AVERAGE(B$2:B889)</f>
        <v>7.0928848898007893E-2</v>
      </c>
      <c r="D889">
        <f ca="1">_xlfn.VAR.P(B$2:B889)</f>
        <v>1.8798872707457126</v>
      </c>
    </row>
    <row r="890" spans="1:4" x14ac:dyDescent="0.3">
      <c r="A890">
        <f t="shared" ca="1" si="26"/>
        <v>0.74672659197514379</v>
      </c>
      <c r="B890">
        <f t="shared" ca="1" si="27"/>
        <v>-0.68013852906194738</v>
      </c>
      <c r="C890">
        <f ca="1">AVERAGE(B$2:B890)</f>
        <v>7.0084003703452261E-2</v>
      </c>
      <c r="D890">
        <f ca="1">_xlfn.VAR.P(B$2:B890)</f>
        <v>1.878406483793885</v>
      </c>
    </row>
    <row r="891" spans="1:4" x14ac:dyDescent="0.3">
      <c r="A891">
        <f t="shared" ca="1" si="26"/>
        <v>0.35597983769615615</v>
      </c>
      <c r="B891">
        <f t="shared" ca="1" si="27"/>
        <v>0.33973400485897687</v>
      </c>
      <c r="C891">
        <f ca="1">AVERAGE(B$2:B891)</f>
        <v>7.0386981232840484E-2</v>
      </c>
      <c r="D891">
        <f ca="1">_xlfn.VAR.P(B$2:B891)</f>
        <v>1.8763775208067368</v>
      </c>
    </row>
    <row r="892" spans="1:4" x14ac:dyDescent="0.3">
      <c r="A892">
        <f t="shared" ca="1" si="26"/>
        <v>0.86829240974416466</v>
      </c>
      <c r="B892">
        <f t="shared" ca="1" si="27"/>
        <v>-1.3340238584116091</v>
      </c>
      <c r="C892">
        <f ca="1">AVERAGE(B$2:B892)</f>
        <v>6.8810762557594191E-2</v>
      </c>
      <c r="D892">
        <f ca="1">_xlfn.VAR.P(B$2:B892)</f>
        <v>1.8764827717911481</v>
      </c>
    </row>
    <row r="893" spans="1:4" x14ac:dyDescent="0.3">
      <c r="A893">
        <f t="shared" ca="1" si="26"/>
        <v>0.18456669949756299</v>
      </c>
      <c r="B893">
        <f t="shared" ca="1" si="27"/>
        <v>0.99659718538043318</v>
      </c>
      <c r="C893">
        <f ca="1">AVERAGE(B$2:B893)</f>
        <v>6.9850881865691536E-2</v>
      </c>
      <c r="D893">
        <f ca="1">_xlfn.VAR.P(B$2:B893)</f>
        <v>1.8753430182777082</v>
      </c>
    </row>
    <row r="894" spans="1:4" x14ac:dyDescent="0.3">
      <c r="A894">
        <f t="shared" ca="1" si="26"/>
        <v>0.50861909726034449</v>
      </c>
      <c r="B894">
        <f t="shared" ca="1" si="27"/>
        <v>-1.7388502053961537E-2</v>
      </c>
      <c r="C894">
        <f ca="1">AVERAGE(B$2:B894)</f>
        <v>6.9753189386498202E-2</v>
      </c>
      <c r="D894">
        <f ca="1">_xlfn.VAR.P(B$2:B894)</f>
        <v>1.8732514831928224</v>
      </c>
    </row>
    <row r="895" spans="1:4" x14ac:dyDescent="0.3">
      <c r="A895">
        <f t="shared" ca="1" si="26"/>
        <v>5.2820341412179617E-2</v>
      </c>
      <c r="B895">
        <f t="shared" ca="1" si="27"/>
        <v>2.2477117278826975</v>
      </c>
      <c r="C895">
        <f ca="1">AVERAGE(B$2:B895)</f>
        <v>7.2189384619715427E-2</v>
      </c>
      <c r="D895">
        <f ca="1">_xlfn.VAR.P(B$2:B895)</f>
        <v>1.8764561207543504</v>
      </c>
    </row>
    <row r="896" spans="1:4" x14ac:dyDescent="0.3">
      <c r="A896">
        <f t="shared" ca="1" si="26"/>
        <v>9.4453881590694122E-2</v>
      </c>
      <c r="B896">
        <f t="shared" ca="1" si="27"/>
        <v>1.6664964085409955</v>
      </c>
      <c r="C896">
        <f ca="1">AVERAGE(B$2:B896)</f>
        <v>7.397073324979507E-2</v>
      </c>
      <c r="D896">
        <f ca="1">_xlfn.VAR.P(B$2:B896)</f>
        <v>1.8771963651667944</v>
      </c>
    </row>
    <row r="897" spans="1:4" x14ac:dyDescent="0.3">
      <c r="A897">
        <f t="shared" ca="1" si="26"/>
        <v>0.99729042539263391</v>
      </c>
      <c r="B897">
        <f t="shared" ca="1" si="27"/>
        <v>-5.217816447303516</v>
      </c>
      <c r="C897">
        <f ca="1">AVERAGE(B$2:B897)</f>
        <v>6.8064720771498957E-2</v>
      </c>
      <c r="D897">
        <f ca="1">_xlfn.VAR.P(B$2:B897)</f>
        <v>1.9063197600752553</v>
      </c>
    </row>
    <row r="898" spans="1:4" x14ac:dyDescent="0.3">
      <c r="A898">
        <f t="shared" ca="1" si="26"/>
        <v>0.73180270604249331</v>
      </c>
      <c r="B898">
        <f t="shared" ca="1" si="27"/>
        <v>-0.62288521726941193</v>
      </c>
      <c r="C898">
        <f ca="1">AVERAGE(B$2:B898)</f>
        <v>6.729443098550017E-2</v>
      </c>
      <c r="D898">
        <f ca="1">_xlfn.VAR.P(B$2:B898)</f>
        <v>1.9047261812849803</v>
      </c>
    </row>
    <row r="899" spans="1:4" x14ac:dyDescent="0.3">
      <c r="A899">
        <f t="shared" ref="A899:A962" ca="1" si="28">RAND()</f>
        <v>0.75467860346059656</v>
      </c>
      <c r="B899">
        <f t="shared" ref="B899:B962" ca="1" si="29">-SIGN(0.5-A899)*LN(1-2*ABS(0.5-A899))*$F$1</f>
        <v>-0.7120389249551784</v>
      </c>
      <c r="C899">
        <f ca="1">AVERAGE(B$2:B899)</f>
        <v>6.6426576468862436E-2</v>
      </c>
      <c r="D899">
        <f ca="1">_xlfn.VAR.P(B$2:B899)</f>
        <v>1.9032807001607308</v>
      </c>
    </row>
    <row r="900" spans="1:4" x14ac:dyDescent="0.3">
      <c r="A900">
        <f t="shared" ca="1" si="28"/>
        <v>0.39130561151939558</v>
      </c>
      <c r="B900">
        <f t="shared" ca="1" si="29"/>
        <v>0.24511922859974425</v>
      </c>
      <c r="C900">
        <f ca="1">AVERAGE(B$2:B900)</f>
        <v>6.6625344713724374E-2</v>
      </c>
      <c r="D900">
        <f ca="1">_xlfn.VAR.P(B$2:B900)</f>
        <v>1.9011990704002637</v>
      </c>
    </row>
    <row r="901" spans="1:4" x14ac:dyDescent="0.3">
      <c r="A901">
        <f t="shared" ca="1" si="28"/>
        <v>0.95434497241565019</v>
      </c>
      <c r="B901">
        <f t="shared" ca="1" si="29"/>
        <v>-2.3934943641628585</v>
      </c>
      <c r="C901">
        <f ca="1">AVERAGE(B$2:B901)</f>
        <v>6.3891878370528177E-2</v>
      </c>
      <c r="D901">
        <f ca="1">_xlfn.VAR.P(B$2:B901)</f>
        <v>1.9058038095749064</v>
      </c>
    </row>
    <row r="902" spans="1:4" x14ac:dyDescent="0.3">
      <c r="A902">
        <f t="shared" ca="1" si="28"/>
        <v>0.68307395033066054</v>
      </c>
      <c r="B902">
        <f t="shared" ca="1" si="29"/>
        <v>-0.45593963355953376</v>
      </c>
      <c r="C902">
        <f ca="1">AVERAGE(B$2:B902)</f>
        <v>6.331492885673233E-2</v>
      </c>
      <c r="D902">
        <f ca="1">_xlfn.VAR.P(B$2:B902)</f>
        <v>1.9039881836866517</v>
      </c>
    </row>
    <row r="903" spans="1:4" x14ac:dyDescent="0.3">
      <c r="A903">
        <f t="shared" ca="1" si="28"/>
        <v>0.59826437032594149</v>
      </c>
      <c r="B903">
        <f t="shared" ca="1" si="29"/>
        <v>-0.21881386376836826</v>
      </c>
      <c r="C903">
        <f ca="1">AVERAGE(B$2:B903)</f>
        <v>6.300214749018565E-2</v>
      </c>
      <c r="D903">
        <f ca="1">_xlfn.VAR.P(B$2:B903)</f>
        <v>1.9019654788388827</v>
      </c>
    </row>
    <row r="904" spans="1:4" x14ac:dyDescent="0.3">
      <c r="A904">
        <f t="shared" ca="1" si="28"/>
        <v>0.20991257143963737</v>
      </c>
      <c r="B904">
        <f t="shared" ca="1" si="29"/>
        <v>0.86791698087056957</v>
      </c>
      <c r="C904">
        <f ca="1">AVERAGE(B$2:B904)</f>
        <v>6.3893526043209331E-2</v>
      </c>
      <c r="D904">
        <f ca="1">_xlfn.VAR.P(B$2:B904)</f>
        <v>1.9005758940396991</v>
      </c>
    </row>
    <row r="905" spans="1:4" x14ac:dyDescent="0.3">
      <c r="A905">
        <f t="shared" ca="1" si="28"/>
        <v>0.38564789315825942</v>
      </c>
      <c r="B905">
        <f t="shared" ca="1" si="29"/>
        <v>0.25968333914991215</v>
      </c>
      <c r="C905">
        <f ca="1">AVERAGE(B$2:B905)</f>
        <v>6.4110107694876031E-2</v>
      </c>
      <c r="D905">
        <f ca="1">_xlfn.VAR.P(B$2:B905)</f>
        <v>1.8985158446507562</v>
      </c>
    </row>
    <row r="906" spans="1:4" x14ac:dyDescent="0.3">
      <c r="A906">
        <f t="shared" ca="1" si="28"/>
        <v>0.81516647048126145</v>
      </c>
      <c r="B906">
        <f t="shared" ca="1" si="29"/>
        <v>-0.99515251888256084</v>
      </c>
      <c r="C906">
        <f ca="1">AVERAGE(B$2:B906)</f>
        <v>6.2939651753906492E-2</v>
      </c>
      <c r="D906">
        <f ca="1">_xlfn.VAR.P(B$2:B906)</f>
        <v>1.897656487354821</v>
      </c>
    </row>
    <row r="907" spans="1:4" x14ac:dyDescent="0.3">
      <c r="A907">
        <f t="shared" ca="1" si="28"/>
        <v>0.4240438241786364</v>
      </c>
      <c r="B907">
        <f t="shared" ca="1" si="29"/>
        <v>0.16477128961951998</v>
      </c>
      <c r="C907">
        <f ca="1">AVERAGE(B$2:B907)</f>
        <v>6.3052048705193042E-2</v>
      </c>
      <c r="D907">
        <f ca="1">_xlfn.VAR.P(B$2:B907)</f>
        <v>1.89557337670311</v>
      </c>
    </row>
    <row r="908" spans="1:4" x14ac:dyDescent="0.3">
      <c r="A908">
        <f t="shared" ca="1" si="28"/>
        <v>0.99232741182098405</v>
      </c>
      <c r="B908">
        <f t="shared" ca="1" si="29"/>
        <v>-4.1769540981102766</v>
      </c>
      <c r="C908">
        <f ca="1">AVERAGE(B$2:B908)</f>
        <v>5.8377289998671027E-2</v>
      </c>
      <c r="D908">
        <f ca="1">_xlfn.VAR.P(B$2:B908)</f>
        <v>1.913282591413892</v>
      </c>
    </row>
    <row r="909" spans="1:4" x14ac:dyDescent="0.3">
      <c r="A909">
        <f t="shared" ca="1" si="28"/>
        <v>0.80114299415343704</v>
      </c>
      <c r="B909">
        <f t="shared" ca="1" si="29"/>
        <v>-0.92202209557336257</v>
      </c>
      <c r="C909">
        <f ca="1">AVERAGE(B$2:B909)</f>
        <v>5.7297554992534423E-2</v>
      </c>
      <c r="D909">
        <f ca="1">_xlfn.VAR.P(B$2:B909)</f>
        <v>1.9122328577049486</v>
      </c>
    </row>
    <row r="910" spans="1:4" x14ac:dyDescent="0.3">
      <c r="A910">
        <f t="shared" ca="1" si="28"/>
        <v>0.38921922578619295</v>
      </c>
      <c r="B910">
        <f t="shared" ca="1" si="29"/>
        <v>0.25046535111304269</v>
      </c>
      <c r="C910">
        <f ca="1">AVERAGE(B$2:B910)</f>
        <v>5.7510060818849615E-2</v>
      </c>
      <c r="D910">
        <f ca="1">_xlfn.VAR.P(B$2:B910)</f>
        <v>1.9101701953182284</v>
      </c>
    </row>
    <row r="911" spans="1:4" x14ac:dyDescent="0.3">
      <c r="A911">
        <f t="shared" ca="1" si="28"/>
        <v>1.8798451936286154E-2</v>
      </c>
      <c r="B911">
        <f t="shared" ca="1" si="29"/>
        <v>3.2808335757912928</v>
      </c>
      <c r="C911">
        <f ca="1">AVERAGE(B$2:B911)</f>
        <v>6.1052174571566586E-2</v>
      </c>
      <c r="D911">
        <f ca="1">_xlfn.VAR.P(B$2:B911)</f>
        <v>1.9194759391735077</v>
      </c>
    </row>
    <row r="912" spans="1:4" x14ac:dyDescent="0.3">
      <c r="A912">
        <f t="shared" ca="1" si="28"/>
        <v>0.78519139604160659</v>
      </c>
      <c r="B912">
        <f t="shared" ca="1" si="29"/>
        <v>-0.84486068091746658</v>
      </c>
      <c r="C912">
        <f ca="1">AVERAGE(B$2:B912)</f>
        <v>6.0057758703850855E-2</v>
      </c>
      <c r="D912">
        <f ca="1">_xlfn.VAR.P(B$2:B912)</f>
        <v>1.9182688055933195</v>
      </c>
    </row>
    <row r="913" spans="1:4" x14ac:dyDescent="0.3">
      <c r="A913">
        <f t="shared" ca="1" si="28"/>
        <v>0.78249456311921795</v>
      </c>
      <c r="B913">
        <f t="shared" ca="1" si="29"/>
        <v>-0.83238425105285563</v>
      </c>
      <c r="C913">
        <f ca="1">AVERAGE(B$2:B913)</f>
        <v>5.9079203868591307E-2</v>
      </c>
      <c r="D913">
        <f ca="1">_xlfn.VAR.P(B$2:B913)</f>
        <v>1.9170377865491763</v>
      </c>
    </row>
    <row r="914" spans="1:4" x14ac:dyDescent="0.3">
      <c r="A914">
        <f t="shared" ca="1" si="28"/>
        <v>0.69426649379112104</v>
      </c>
      <c r="B914">
        <f t="shared" ca="1" si="29"/>
        <v>-0.49189427066118546</v>
      </c>
      <c r="C914">
        <f ca="1">AVERAGE(B$2:B914)</f>
        <v>5.8475727992874135E-2</v>
      </c>
      <c r="D914">
        <f ca="1">_xlfn.VAR.P(B$2:B914)</f>
        <v>1.915270208765919</v>
      </c>
    </row>
    <row r="915" spans="1:4" x14ac:dyDescent="0.3">
      <c r="A915">
        <f t="shared" ca="1" si="28"/>
        <v>0.91734962374119478</v>
      </c>
      <c r="B915">
        <f t="shared" ca="1" si="29"/>
        <v>-1.799988721729886</v>
      </c>
      <c r="C915">
        <f ca="1">AVERAGE(B$2:B915)</f>
        <v>5.6442397085081177E-2</v>
      </c>
      <c r="D915">
        <f ca="1">_xlfn.VAR.P(B$2:B915)</f>
        <v>1.9169494659091471</v>
      </c>
    </row>
    <row r="916" spans="1:4" x14ac:dyDescent="0.3">
      <c r="A916">
        <f t="shared" ca="1" si="28"/>
        <v>0.19517217363513872</v>
      </c>
      <c r="B916">
        <f t="shared" ca="1" si="29"/>
        <v>0.94072598770353288</v>
      </c>
      <c r="C916">
        <f ca="1">AVERAGE(B$2:B916)</f>
        <v>5.740882723876254E-2</v>
      </c>
      <c r="D916">
        <f ca="1">_xlfn.VAR.P(B$2:B916)</f>
        <v>1.9157081035095862</v>
      </c>
    </row>
    <row r="917" spans="1:4" x14ac:dyDescent="0.3">
      <c r="A917">
        <f t="shared" ca="1" si="28"/>
        <v>0.66311972524238982</v>
      </c>
      <c r="B917">
        <f t="shared" ca="1" si="29"/>
        <v>-0.39488049897395122</v>
      </c>
      <c r="C917">
        <f ca="1">AVERAGE(B$2:B917)</f>
        <v>5.6915061598792331E-2</v>
      </c>
      <c r="D917">
        <f ca="1">_xlfn.VAR.P(B$2:B917)</f>
        <v>1.9138398002412103</v>
      </c>
    </row>
    <row r="918" spans="1:4" x14ac:dyDescent="0.3">
      <c r="A918">
        <f t="shared" ca="1" si="28"/>
        <v>0.15230477500752415</v>
      </c>
      <c r="B918">
        <f t="shared" ca="1" si="29"/>
        <v>1.1887244863695907</v>
      </c>
      <c r="C918">
        <f ca="1">AVERAGE(B$2:B918)</f>
        <v>5.8149313970407158E-2</v>
      </c>
      <c r="D918">
        <f ca="1">_xlfn.VAR.P(B$2:B918)</f>
        <v>1.9131481490256073</v>
      </c>
    </row>
    <row r="919" spans="1:4" x14ac:dyDescent="0.3">
      <c r="A919">
        <f t="shared" ca="1" si="28"/>
        <v>2.0857420359789214E-2</v>
      </c>
      <c r="B919">
        <f t="shared" ca="1" si="29"/>
        <v>3.1768983209362776</v>
      </c>
      <c r="C919">
        <f ca="1">AVERAGE(B$2:B919)</f>
        <v>6.1546644043354727E-2</v>
      </c>
      <c r="D919">
        <f ca="1">_xlfn.VAR.P(B$2:B919)</f>
        <v>1.9216479875872998</v>
      </c>
    </row>
    <row r="920" spans="1:4" x14ac:dyDescent="0.3">
      <c r="A920">
        <f t="shared" ca="1" si="28"/>
        <v>0.25456677411252626</v>
      </c>
      <c r="B920">
        <f t="shared" ca="1" si="29"/>
        <v>0.67504492312249076</v>
      </c>
      <c r="C920">
        <f ca="1">AVERAGE(B$2:B920)</f>
        <v>6.221421562015466E-2</v>
      </c>
      <c r="D920">
        <f ca="1">_xlfn.VAR.P(B$2:B920)</f>
        <v>1.9199660752878789</v>
      </c>
    </row>
    <row r="921" spans="1:4" x14ac:dyDescent="0.3">
      <c r="A921">
        <f t="shared" ca="1" si="28"/>
        <v>0.395378139046071</v>
      </c>
      <c r="B921">
        <f t="shared" ca="1" si="29"/>
        <v>0.23476547741323633</v>
      </c>
      <c r="C921">
        <f ca="1">AVERAGE(B$2:B921)</f>
        <v>6.2401771339494962E-2</v>
      </c>
      <c r="D921">
        <f ca="1">_xlfn.VAR.P(B$2:B921)</f>
        <v>1.9179114834397075</v>
      </c>
    </row>
    <row r="922" spans="1:4" x14ac:dyDescent="0.3">
      <c r="A922">
        <f t="shared" ca="1" si="28"/>
        <v>0.46528763035822296</v>
      </c>
      <c r="B922">
        <f t="shared" ca="1" si="29"/>
        <v>7.1952324154005959E-2</v>
      </c>
      <c r="C922">
        <f ca="1">AVERAGE(B$2:B922)</f>
        <v>6.2412141103680097E-2</v>
      </c>
      <c r="D922">
        <f ca="1">_xlfn.VAR.P(B$2:B922)</f>
        <v>1.9158291594772565</v>
      </c>
    </row>
    <row r="923" spans="1:4" x14ac:dyDescent="0.3">
      <c r="A923">
        <f t="shared" ca="1" si="28"/>
        <v>0.83053672158367509</v>
      </c>
      <c r="B923">
        <f t="shared" ca="1" si="29"/>
        <v>-1.0819718415842896</v>
      </c>
      <c r="C923">
        <f ca="1">AVERAGE(B$2:B923)</f>
        <v>6.117094372549358E-2</v>
      </c>
      <c r="D923">
        <f ca="1">_xlfn.VAR.P(B$2:B923)</f>
        <v>1.9151701194923936</v>
      </c>
    </row>
    <row r="924" spans="1:4" x14ac:dyDescent="0.3">
      <c r="A924">
        <f t="shared" ca="1" si="28"/>
        <v>0.128891859384208</v>
      </c>
      <c r="B924">
        <f t="shared" ca="1" si="29"/>
        <v>1.3556343449771362</v>
      </c>
      <c r="C924">
        <f ca="1">AVERAGE(B$2:B924)</f>
        <v>6.2573395947868052E-2</v>
      </c>
      <c r="D924">
        <f ca="1">_xlfn.VAR.P(B$2:B924)</f>
        <v>1.9149086351528637</v>
      </c>
    </row>
    <row r="925" spans="1:4" x14ac:dyDescent="0.3">
      <c r="A925">
        <f t="shared" ca="1" si="28"/>
        <v>0.56072720216507166</v>
      </c>
      <c r="B925">
        <f t="shared" ca="1" si="29"/>
        <v>-0.12948747097177452</v>
      </c>
      <c r="C925">
        <f ca="1">AVERAGE(B$2:B925)</f>
        <v>6.236553786678619E-2</v>
      </c>
      <c r="D925">
        <f ca="1">_xlfn.VAR.P(B$2:B925)</f>
        <v>1.9128761014083244</v>
      </c>
    </row>
    <row r="926" spans="1:4" x14ac:dyDescent="0.3">
      <c r="A926">
        <f t="shared" ca="1" si="28"/>
        <v>0.72363932013211674</v>
      </c>
      <c r="B926">
        <f t="shared" ca="1" si="29"/>
        <v>-0.59290127472399234</v>
      </c>
      <c r="C926">
        <f ca="1">AVERAGE(B$2:B926)</f>
        <v>6.1657141312633994E-2</v>
      </c>
      <c r="D926">
        <f ca="1">_xlfn.VAR.P(B$2:B926)</f>
        <v>1.9112718141710514</v>
      </c>
    </row>
    <row r="927" spans="1:4" x14ac:dyDescent="0.3">
      <c r="A927">
        <f t="shared" ca="1" si="28"/>
        <v>0.41012690957600417</v>
      </c>
      <c r="B927">
        <f t="shared" ca="1" si="29"/>
        <v>0.19814145106885384</v>
      </c>
      <c r="C927">
        <f ca="1">AVERAGE(B$2:B927)</f>
        <v>6.180453257586966E-2</v>
      </c>
      <c r="D927">
        <f ca="1">_xlfn.VAR.P(B$2:B927)</f>
        <v>1.9092279006030644</v>
      </c>
    </row>
    <row r="928" spans="1:4" x14ac:dyDescent="0.3">
      <c r="A928">
        <f t="shared" ca="1" si="28"/>
        <v>0.17767526466428574</v>
      </c>
      <c r="B928">
        <f t="shared" ca="1" si="29"/>
        <v>1.0346505701125615</v>
      </c>
      <c r="C928">
        <f ca="1">AVERAGE(B$2:B928)</f>
        <v>6.2853988927041929E-2</v>
      </c>
      <c r="D928">
        <f ca="1">_xlfn.VAR.P(B$2:B928)</f>
        <v>1.9081881816739328</v>
      </c>
    </row>
    <row r="929" spans="1:4" x14ac:dyDescent="0.3">
      <c r="A929">
        <f t="shared" ca="1" si="28"/>
        <v>0.47351177247245646</v>
      </c>
      <c r="B929">
        <f t="shared" ca="1" si="29"/>
        <v>5.4431323438907046E-2</v>
      </c>
      <c r="C929">
        <f ca="1">AVERAGE(B$2:B929)</f>
        <v>6.2844912778886611E-2</v>
      </c>
      <c r="D929">
        <f ca="1">_xlfn.VAR.P(B$2:B929)</f>
        <v>1.9061320207721812</v>
      </c>
    </row>
    <row r="930" spans="1:4" x14ac:dyDescent="0.3">
      <c r="A930">
        <f t="shared" ca="1" si="28"/>
        <v>0.22467501282125713</v>
      </c>
      <c r="B930">
        <f t="shared" ca="1" si="29"/>
        <v>0.79995312781196293</v>
      </c>
      <c r="C930">
        <f ca="1">AVERAGE(B$2:B930)</f>
        <v>6.3638355421548692E-2</v>
      </c>
      <c r="D930">
        <f ca="1">_xlfn.VAR.P(B$2:B930)</f>
        <v>1.9046644337396805</v>
      </c>
    </row>
    <row r="931" spans="1:4" x14ac:dyDescent="0.3">
      <c r="A931">
        <f t="shared" ca="1" si="28"/>
        <v>0.62053395455727345</v>
      </c>
      <c r="B931">
        <f t="shared" ca="1" si="29"/>
        <v>-0.27584297741352198</v>
      </c>
      <c r="C931">
        <f ca="1">AVERAGE(B$2:B931)</f>
        <v>6.327332173032818E-2</v>
      </c>
      <c r="D931">
        <f ca="1">_xlfn.VAR.P(B$2:B931)</f>
        <v>1.9027401963412718</v>
      </c>
    </row>
    <row r="932" spans="1:4" x14ac:dyDescent="0.3">
      <c r="A932">
        <f t="shared" ca="1" si="28"/>
        <v>2.2487794928053417E-2</v>
      </c>
      <c r="B932">
        <f t="shared" ca="1" si="29"/>
        <v>3.1016353840318365</v>
      </c>
      <c r="C932">
        <f ca="1">AVERAGE(B$2:B932)</f>
        <v>6.6536868521199832E-2</v>
      </c>
      <c r="D932">
        <f ca="1">_xlfn.VAR.P(B$2:B932)</f>
        <v>1.9106016227521565</v>
      </c>
    </row>
    <row r="933" spans="1:4" x14ac:dyDescent="0.3">
      <c r="A933">
        <f t="shared" ca="1" si="28"/>
        <v>0.50522726114970262</v>
      </c>
      <c r="B933">
        <f t="shared" ca="1" si="29"/>
        <v>-1.0509554712085842E-2</v>
      </c>
      <c r="C933">
        <f ca="1">AVERAGE(B$2:B933)</f>
        <v>6.645420068511261E-2</v>
      </c>
      <c r="D933">
        <f ca="1">_xlfn.VAR.P(B$2:B933)</f>
        <v>1.9085579834381219</v>
      </c>
    </row>
    <row r="934" spans="1:4" x14ac:dyDescent="0.3">
      <c r="A934">
        <f t="shared" ca="1" si="28"/>
        <v>0.64658955069909041</v>
      </c>
      <c r="B934">
        <f t="shared" ca="1" si="29"/>
        <v>-0.34697797105942929</v>
      </c>
      <c r="C934">
        <f ca="1">AVERAGE(B$2:B934)</f>
        <v>6.6011079386351049E-2</v>
      </c>
      <c r="D934">
        <f ca="1">_xlfn.VAR.P(B$2:B934)</f>
        <v>1.9066953735523711</v>
      </c>
    </row>
    <row r="935" spans="1:4" x14ac:dyDescent="0.3">
      <c r="A935">
        <f t="shared" ca="1" si="28"/>
        <v>0.1911688417776064</v>
      </c>
      <c r="B935">
        <f t="shared" ca="1" si="29"/>
        <v>0.96145107249873729</v>
      </c>
      <c r="C935">
        <f ca="1">AVERAGE(B$2:B935)</f>
        <v>6.6969794582402847E-2</v>
      </c>
      <c r="D935">
        <f ca="1">_xlfn.VAR.P(B$2:B935)</f>
        <v>1.905511496609956</v>
      </c>
    </row>
    <row r="936" spans="1:4" x14ac:dyDescent="0.3">
      <c r="A936">
        <f t="shared" ca="1" si="28"/>
        <v>0.59256636790661166</v>
      </c>
      <c r="B936">
        <f t="shared" ca="1" si="29"/>
        <v>-0.20473004503388104</v>
      </c>
      <c r="C936">
        <f ca="1">AVERAGE(B$2:B936)</f>
        <v>6.667920651864212E-2</v>
      </c>
      <c r="D936">
        <f ca="1">_xlfn.VAR.P(B$2:B936)</f>
        <v>1.9035523846885734</v>
      </c>
    </row>
    <row r="937" spans="1:4" x14ac:dyDescent="0.3">
      <c r="A937">
        <f t="shared" ca="1" si="28"/>
        <v>0.42259297506024962</v>
      </c>
      <c r="B937">
        <f t="shared" ca="1" si="29"/>
        <v>0.16819861652026219</v>
      </c>
      <c r="C937">
        <f ca="1">AVERAGE(B$2:B937)</f>
        <v>6.6787667426763508E-2</v>
      </c>
      <c r="D937">
        <f ca="1">_xlfn.VAR.P(B$2:B937)</f>
        <v>1.9015296739995038</v>
      </c>
    </row>
    <row r="938" spans="1:4" x14ac:dyDescent="0.3">
      <c r="A938">
        <f t="shared" ca="1" si="28"/>
        <v>0.38105154365548199</v>
      </c>
      <c r="B938">
        <f t="shared" ca="1" si="29"/>
        <v>0.27167344726071407</v>
      </c>
      <c r="C938">
        <f ca="1">AVERAGE(B$2:B938)</f>
        <v>6.7006328878027072E-2</v>
      </c>
      <c r="D938">
        <f ca="1">_xlfn.VAR.P(B$2:B938)</f>
        <v>1.8995450461533532</v>
      </c>
    </row>
    <row r="939" spans="1:4" x14ac:dyDescent="0.3">
      <c r="A939">
        <f t="shared" ca="1" si="28"/>
        <v>0.10968960032418096</v>
      </c>
      <c r="B939">
        <f t="shared" ca="1" si="29"/>
        <v>1.516953536690691</v>
      </c>
      <c r="C939">
        <f ca="1">AVERAGE(B$2:B939)</f>
        <v>6.8552114813861462E-2</v>
      </c>
      <c r="D939">
        <f ca="1">_xlfn.VAR.P(B$2:B939)</f>
        <v>1.8997588633722111</v>
      </c>
    </row>
    <row r="940" spans="1:4" x14ac:dyDescent="0.3">
      <c r="A940">
        <f t="shared" ca="1" si="28"/>
        <v>0.51564833092065565</v>
      </c>
      <c r="B940">
        <f t="shared" ca="1" si="29"/>
        <v>-3.1796866536649246E-2</v>
      </c>
      <c r="C940">
        <f ca="1">AVERAGE(B$2:B940)</f>
        <v>6.8445246889100531E-2</v>
      </c>
      <c r="D940">
        <f ca="1">_xlfn.VAR.P(B$2:B940)</f>
        <v>1.8977464036603886</v>
      </c>
    </row>
    <row r="941" spans="1:4" x14ac:dyDescent="0.3">
      <c r="A941">
        <f t="shared" ca="1" si="28"/>
        <v>0.10708047545934474</v>
      </c>
      <c r="B941">
        <f t="shared" ca="1" si="29"/>
        <v>1.5410274395544146</v>
      </c>
      <c r="C941">
        <f ca="1">AVERAGE(B$2:B941)</f>
        <v>7.0011823689808309E-2</v>
      </c>
      <c r="D941">
        <f ca="1">_xlfn.VAR.P(B$2:B941)</f>
        <v>1.8980319834448507</v>
      </c>
    </row>
    <row r="942" spans="1:4" x14ac:dyDescent="0.3">
      <c r="A942">
        <f t="shared" ca="1" si="28"/>
        <v>0.18824921645611981</v>
      </c>
      <c r="B942">
        <f t="shared" ca="1" si="29"/>
        <v>0.97684139400253855</v>
      </c>
      <c r="C942">
        <f ca="1">AVERAGE(B$2:B942)</f>
        <v>7.0975510799598671E-2</v>
      </c>
      <c r="D942">
        <f ca="1">_xlfn.VAR.P(B$2:B942)</f>
        <v>1.8968879175428113</v>
      </c>
    </row>
    <row r="943" spans="1:4" x14ac:dyDescent="0.3">
      <c r="A943">
        <f t="shared" ca="1" si="28"/>
        <v>0.3065420838519467</v>
      </c>
      <c r="B943">
        <f t="shared" ca="1" si="29"/>
        <v>0.48925304789728469</v>
      </c>
      <c r="C943">
        <f ca="1">AVERAGE(B$2:B943)</f>
        <v>7.1419542155328697E-2</v>
      </c>
      <c r="D943">
        <f ca="1">_xlfn.VAR.P(B$2:B943)</f>
        <v>1.8950597672797069</v>
      </c>
    </row>
    <row r="944" spans="1:4" x14ac:dyDescent="0.3">
      <c r="A944">
        <f t="shared" ca="1" si="28"/>
        <v>0.25370137497457756</v>
      </c>
      <c r="B944">
        <f t="shared" ca="1" si="29"/>
        <v>0.67845021214469847</v>
      </c>
      <c r="C944">
        <f ca="1">AVERAGE(B$2:B944)</f>
        <v>7.2063265029124413E-2</v>
      </c>
      <c r="D944">
        <f ca="1">_xlfn.VAR.P(B$2:B944)</f>
        <v>1.8934405050395169</v>
      </c>
    </row>
    <row r="945" spans="1:4" x14ac:dyDescent="0.3">
      <c r="A945">
        <f t="shared" ca="1" si="28"/>
        <v>0.25080629149568034</v>
      </c>
      <c r="B945">
        <f t="shared" ca="1" si="29"/>
        <v>0.68992720426961296</v>
      </c>
      <c r="C945">
        <f ca="1">AVERAGE(B$2:B945)</f>
        <v>7.2717781913913065E-2</v>
      </c>
      <c r="D945">
        <f ca="1">_xlfn.VAR.P(B$2:B945)</f>
        <v>1.8918387157810355</v>
      </c>
    </row>
    <row r="946" spans="1:4" x14ac:dyDescent="0.3">
      <c r="A946">
        <f t="shared" ca="1" si="28"/>
        <v>0.37546155753970689</v>
      </c>
      <c r="B946">
        <f t="shared" ca="1" si="29"/>
        <v>0.28645200918400504</v>
      </c>
      <c r="C946">
        <f ca="1">AVERAGE(B$2:B946)</f>
        <v>7.2943955699384055E-2</v>
      </c>
      <c r="D946">
        <f ca="1">_xlfn.VAR.P(B$2:B946)</f>
        <v>1.8898850599747354</v>
      </c>
    </row>
    <row r="947" spans="1:4" x14ac:dyDescent="0.3">
      <c r="A947">
        <f t="shared" ca="1" si="28"/>
        <v>0.51277913605348791</v>
      </c>
      <c r="B947">
        <f t="shared" ca="1" si="29"/>
        <v>-2.5890558751085715E-2</v>
      </c>
      <c r="C947">
        <f ca="1">AVERAGE(B$2:B947)</f>
        <v>7.2839479468463905E-2</v>
      </c>
      <c r="D947">
        <f ca="1">_xlfn.VAR.P(B$2:B947)</f>
        <v>1.8878976105829957</v>
      </c>
    </row>
    <row r="948" spans="1:4" x14ac:dyDescent="0.3">
      <c r="A948">
        <f t="shared" ca="1" si="28"/>
        <v>0.86612123290393994</v>
      </c>
      <c r="B948">
        <f t="shared" ca="1" si="29"/>
        <v>-1.3176734311440264</v>
      </c>
      <c r="C948">
        <f ca="1">AVERAGE(B$2:B948)</f>
        <v>7.1371144821565813E-2</v>
      </c>
      <c r="D948">
        <f ca="1">_xlfn.VAR.P(B$2:B948)</f>
        <v>1.8879436367769911</v>
      </c>
    </row>
    <row r="949" spans="1:4" x14ac:dyDescent="0.3">
      <c r="A949">
        <f t="shared" ca="1" si="28"/>
        <v>0.81205750194692938</v>
      </c>
      <c r="B949">
        <f t="shared" ca="1" si="29"/>
        <v>-0.97847204379722386</v>
      </c>
      <c r="C949">
        <f ca="1">AVERAGE(B$2:B949)</f>
        <v>7.0263715297706322E-2</v>
      </c>
      <c r="D949">
        <f ca="1">_xlfn.VAR.P(B$2:B949)</f>
        <v>1.887113535992782</v>
      </c>
    </row>
    <row r="950" spans="1:4" x14ac:dyDescent="0.3">
      <c r="A950">
        <f t="shared" ca="1" si="28"/>
        <v>0.17375050769079492</v>
      </c>
      <c r="B950">
        <f t="shared" ca="1" si="29"/>
        <v>1.0569876920201495</v>
      </c>
      <c r="C950">
        <f ca="1">AVERAGE(B$2:B950)</f>
        <v>7.1303466590353776E-2</v>
      </c>
      <c r="D950">
        <f ca="1">_xlfn.VAR.P(B$2:B950)</f>
        <v>1.8861498739513864</v>
      </c>
    </row>
    <row r="951" spans="1:4" x14ac:dyDescent="0.3">
      <c r="A951">
        <f t="shared" ca="1" si="28"/>
        <v>0.3677115079197012</v>
      </c>
      <c r="B951">
        <f t="shared" ca="1" si="29"/>
        <v>0.30730941356989316</v>
      </c>
      <c r="C951">
        <f ca="1">AVERAGE(B$2:B951)</f>
        <v>7.155189390296382E-2</v>
      </c>
      <c r="D951">
        <f ca="1">_xlfn.VAR.P(B$2:B951)</f>
        <v>1.8842230216384759</v>
      </c>
    </row>
    <row r="952" spans="1:4" x14ac:dyDescent="0.3">
      <c r="A952">
        <f t="shared" ca="1" si="28"/>
        <v>0.15491368446348164</v>
      </c>
      <c r="B952">
        <f t="shared" ca="1" si="29"/>
        <v>1.1717400110442489</v>
      </c>
      <c r="C952">
        <f ca="1">AVERAGE(B$2:B952)</f>
        <v>7.2708768894700196E-2</v>
      </c>
      <c r="D952">
        <f ca="1">_xlfn.VAR.P(B$2:B952)</f>
        <v>1.8835131563296872</v>
      </c>
    </row>
    <row r="953" spans="1:4" x14ac:dyDescent="0.3">
      <c r="A953">
        <f t="shared" ca="1" si="28"/>
        <v>0.21075702709875788</v>
      </c>
      <c r="B953">
        <f t="shared" ca="1" si="29"/>
        <v>0.86390215880424981</v>
      </c>
      <c r="C953">
        <f ca="1">AVERAGE(B$2:B953)</f>
        <v>7.3539854388302656E-2</v>
      </c>
      <c r="D953">
        <f ca="1">_xlfn.VAR.P(B$2:B953)</f>
        <v>1.8821915347693485</v>
      </c>
    </row>
    <row r="954" spans="1:4" x14ac:dyDescent="0.3">
      <c r="A954">
        <f t="shared" ca="1" si="28"/>
        <v>0.39809732700429079</v>
      </c>
      <c r="B954">
        <f t="shared" ca="1" si="29"/>
        <v>0.22791158282105212</v>
      </c>
      <c r="C954">
        <f ca="1">AVERAGE(B$2:B954)</f>
        <v>7.370183941289106E-2</v>
      </c>
      <c r="D954">
        <f ca="1">_xlfn.VAR.P(B$2:B954)</f>
        <v>1.8802414970881962</v>
      </c>
    </row>
    <row r="955" spans="1:4" x14ac:dyDescent="0.3">
      <c r="A955">
        <f t="shared" ca="1" si="28"/>
        <v>4.0341843092426277E-2</v>
      </c>
      <c r="B955">
        <f t="shared" ca="1" si="29"/>
        <v>2.5172188779852913</v>
      </c>
      <c r="C955">
        <f ca="1">AVERAGE(B$2:B955)</f>
        <v>7.626317802774682E-2</v>
      </c>
      <c r="D955">
        <f ca="1">_xlfn.VAR.P(B$2:B955)</f>
        <v>1.8845227081428697</v>
      </c>
    </row>
    <row r="956" spans="1:4" x14ac:dyDescent="0.3">
      <c r="A956">
        <f t="shared" ca="1" si="28"/>
        <v>0.56400287959001505</v>
      </c>
      <c r="B956">
        <f t="shared" ca="1" si="29"/>
        <v>-0.13697245965922236</v>
      </c>
      <c r="C956">
        <f ca="1">AVERAGE(B$2:B956)</f>
        <v>7.6039894637498689E-2</v>
      </c>
      <c r="D956">
        <f ca="1">_xlfn.VAR.P(B$2:B956)</f>
        <v>1.8825969480560225</v>
      </c>
    </row>
    <row r="957" spans="1:4" x14ac:dyDescent="0.3">
      <c r="A957">
        <f t="shared" ca="1" si="28"/>
        <v>0.87367147875732309</v>
      </c>
      <c r="B957">
        <f t="shared" ca="1" si="29"/>
        <v>-1.3757222731606935</v>
      </c>
      <c r="C957">
        <f ca="1">AVERAGE(B$2:B957)</f>
        <v>7.4521314964069621E-2</v>
      </c>
      <c r="D957">
        <f ca="1">_xlfn.VAR.P(B$2:B957)</f>
        <v>1.8828300148209549</v>
      </c>
    </row>
    <row r="958" spans="1:4" x14ac:dyDescent="0.3">
      <c r="A958">
        <f t="shared" ca="1" si="28"/>
        <v>0.24036695515660711</v>
      </c>
      <c r="B958">
        <f t="shared" ca="1" si="29"/>
        <v>0.73244136296054008</v>
      </c>
      <c r="C958">
        <f ca="1">AVERAGE(B$2:B958)</f>
        <v>7.5208796727911295E-2</v>
      </c>
      <c r="D958">
        <f ca="1">_xlfn.VAR.P(B$2:B958)</f>
        <v>1.881314420742271</v>
      </c>
    </row>
    <row r="959" spans="1:4" x14ac:dyDescent="0.3">
      <c r="A959">
        <f t="shared" ca="1" si="28"/>
        <v>0.29284987660920314</v>
      </c>
      <c r="B959">
        <f t="shared" ca="1" si="29"/>
        <v>0.53494798723119419</v>
      </c>
      <c r="C959">
        <f ca="1">AVERAGE(B$2:B959)</f>
        <v>7.5688691498791538E-2</v>
      </c>
      <c r="D959">
        <f ca="1">_xlfn.VAR.P(B$2:B959)</f>
        <v>1.8795710231181675</v>
      </c>
    </row>
    <row r="960" spans="1:4" x14ac:dyDescent="0.3">
      <c r="A960">
        <f t="shared" ca="1" si="28"/>
        <v>0.67811777762728354</v>
      </c>
      <c r="B960">
        <f t="shared" ca="1" si="29"/>
        <v>-0.44042238881642171</v>
      </c>
      <c r="C960">
        <f ca="1">AVERAGE(B$2:B960)</f>
        <v>7.5150515189808004E-2</v>
      </c>
      <c r="D960">
        <f ca="1">_xlfn.VAR.P(B$2:B960)</f>
        <v>1.8778885641664989</v>
      </c>
    </row>
    <row r="961" spans="1:4" x14ac:dyDescent="0.3">
      <c r="A961">
        <f t="shared" ca="1" si="28"/>
        <v>0.31848718611384241</v>
      </c>
      <c r="B961">
        <f t="shared" ca="1" si="29"/>
        <v>0.45102585620095809</v>
      </c>
      <c r="C961">
        <f ca="1">AVERAGE(B$2:B961)</f>
        <v>7.5542052003361296E-2</v>
      </c>
      <c r="D961">
        <f ca="1">_xlfn.VAR.P(B$2:B961)</f>
        <v>1.8760794459777286</v>
      </c>
    </row>
    <row r="962" spans="1:4" x14ac:dyDescent="0.3">
      <c r="A962">
        <f t="shared" ca="1" si="28"/>
        <v>0.6886460732234424</v>
      </c>
      <c r="B962">
        <f t="shared" ca="1" si="29"/>
        <v>-0.47367780508575946</v>
      </c>
      <c r="C962">
        <f ca="1">AVERAGE(B$2:B962)</f>
        <v>7.4970543307118706E-2</v>
      </c>
      <c r="D962">
        <f ca="1">_xlfn.VAR.P(B$2:B962)</f>
        <v>1.8744407874153131</v>
      </c>
    </row>
    <row r="963" spans="1:4" x14ac:dyDescent="0.3">
      <c r="A963">
        <f t="shared" ref="A963:A1001" ca="1" si="30">RAND()</f>
        <v>0.84612393172240918</v>
      </c>
      <c r="B963">
        <f t="shared" ref="B963:B1001" ca="1" si="31">-SIGN(0.5-A963)*LN(1-2*ABS(0.5-A963))*$F$1</f>
        <v>-1.1784605714390521</v>
      </c>
      <c r="C963">
        <f ca="1">AVERAGE(B$2:B963)</f>
        <v>7.3667600360397129E-2</v>
      </c>
      <c r="D963">
        <f ca="1">_xlfn.VAR.P(B$2:B963)</f>
        <v>1.8741237558381494</v>
      </c>
    </row>
    <row r="964" spans="1:4" x14ac:dyDescent="0.3">
      <c r="A964">
        <f t="shared" ca="1" si="30"/>
        <v>0.48264226700870738</v>
      </c>
      <c r="B964">
        <f t="shared" ca="1" si="31"/>
        <v>3.5332367199963882E-2</v>
      </c>
      <c r="C964">
        <f ca="1">AVERAGE(B$2:B964)</f>
        <v>7.362779222627415E-2</v>
      </c>
      <c r="D964">
        <f ca="1">_xlfn.VAR.P(B$2:B964)</f>
        <v>1.8721791497199867</v>
      </c>
    </row>
    <row r="965" spans="1:4" x14ac:dyDescent="0.3">
      <c r="A965">
        <f t="shared" ca="1" si="30"/>
        <v>0.71869153465057078</v>
      </c>
      <c r="B965">
        <f t="shared" ca="1" si="31"/>
        <v>-0.57515628970897903</v>
      </c>
      <c r="C965">
        <f ca="1">AVERAGE(B$2:B965)</f>
        <v>7.2954779693146288E-2</v>
      </c>
      <c r="D965">
        <f ca="1">_xlfn.VAR.P(B$2:B965)</f>
        <v>1.8706732420389016</v>
      </c>
    </row>
    <row r="966" spans="1:4" x14ac:dyDescent="0.3">
      <c r="A966">
        <f t="shared" ca="1" si="30"/>
        <v>0.95960575670063164</v>
      </c>
      <c r="B966">
        <f t="shared" ca="1" si="31"/>
        <v>-2.5159208161980131</v>
      </c>
      <c r="C966">
        <f ca="1">AVERAGE(B$2:B966)</f>
        <v>7.0272007054917096E-2</v>
      </c>
      <c r="D966">
        <f ca="1">_xlfn.VAR.P(B$2:B966)</f>
        <v>1.8756728878879685</v>
      </c>
    </row>
    <row r="967" spans="1:4" x14ac:dyDescent="0.3">
      <c r="A967">
        <f t="shared" ca="1" si="30"/>
        <v>0.66344824941989722</v>
      </c>
      <c r="B967">
        <f t="shared" ca="1" si="31"/>
        <v>-0.39585617043360233</v>
      </c>
      <c r="C967">
        <f ca="1">AVERAGE(B$2:B967)</f>
        <v>6.9789472709690881E-2</v>
      </c>
      <c r="D967">
        <f ca="1">_xlfn.VAR.P(B$2:B967)</f>
        <v>1.8739558875433575</v>
      </c>
    </row>
    <row r="968" spans="1:4" x14ac:dyDescent="0.3">
      <c r="A968">
        <f t="shared" ca="1" si="30"/>
        <v>0.95867737328026881</v>
      </c>
      <c r="B968">
        <f t="shared" ca="1" si="31"/>
        <v>-2.4931978860138271</v>
      </c>
      <c r="C968">
        <f ca="1">AVERAGE(B$2:B968)</f>
        <v>6.7139020425592111E-2</v>
      </c>
      <c r="D968">
        <f ca="1">_xlfn.VAR.P(B$2:B968)</f>
        <v>1.8788040315327412</v>
      </c>
    </row>
    <row r="969" spans="1:4" x14ac:dyDescent="0.3">
      <c r="A969">
        <f t="shared" ca="1" si="30"/>
        <v>0.99418650096671668</v>
      </c>
      <c r="B969">
        <f t="shared" ca="1" si="31"/>
        <v>-4.4544254655839195</v>
      </c>
      <c r="C969">
        <f ca="1">AVERAGE(B$2:B969)</f>
        <v>6.2467982733433521E-2</v>
      </c>
      <c r="D969">
        <f ca="1">_xlfn.VAR.P(B$2:B969)</f>
        <v>1.8979616978255804</v>
      </c>
    </row>
    <row r="970" spans="1:4" x14ac:dyDescent="0.3">
      <c r="A970">
        <f t="shared" ca="1" si="30"/>
        <v>0.94295812178212546</v>
      </c>
      <c r="B970">
        <f t="shared" ca="1" si="31"/>
        <v>-2.1708223947749143</v>
      </c>
      <c r="C970">
        <f ca="1">AVERAGE(B$2:B970)</f>
        <v>6.0163245501742756E-2</v>
      </c>
      <c r="D970">
        <f ca="1">_xlfn.VAR.P(B$2:B970)</f>
        <v>1.9011448526913837</v>
      </c>
    </row>
    <row r="971" spans="1:4" x14ac:dyDescent="0.3">
      <c r="A971">
        <f t="shared" ca="1" si="30"/>
        <v>0.42341625010479045</v>
      </c>
      <c r="B971">
        <f t="shared" ca="1" si="31"/>
        <v>0.16625236042771258</v>
      </c>
      <c r="C971">
        <f ca="1">AVERAGE(B$2:B971)</f>
        <v>6.0272615723315923E-2</v>
      </c>
      <c r="D971">
        <f ca="1">_xlfn.VAR.P(B$2:B971)</f>
        <v>1.89919650057244</v>
      </c>
    </row>
    <row r="972" spans="1:4" x14ac:dyDescent="0.3">
      <c r="A972">
        <f t="shared" ca="1" si="30"/>
        <v>0.38015487062038666</v>
      </c>
      <c r="B972">
        <f t="shared" ca="1" si="31"/>
        <v>0.27402937446526587</v>
      </c>
      <c r="C972">
        <f ca="1">AVERAGE(B$2:B972)</f>
        <v>6.0492756566510514E-2</v>
      </c>
      <c r="D972">
        <f ca="1">_xlfn.VAR.P(B$2:B972)</f>
        <v>1.8972875905773234</v>
      </c>
    </row>
    <row r="973" spans="1:4" x14ac:dyDescent="0.3">
      <c r="A973">
        <f t="shared" ca="1" si="30"/>
        <v>4.7248291053268332E-2</v>
      </c>
      <c r="B973">
        <f t="shared" ca="1" si="31"/>
        <v>2.3591916133213218</v>
      </c>
      <c r="C973">
        <f ca="1">AVERAGE(B$2:B973)</f>
        <v>6.2857673085805588E-2</v>
      </c>
      <c r="D973">
        <f ca="1">_xlfn.VAR.P(B$2:B973)</f>
        <v>1.90076628668079</v>
      </c>
    </row>
    <row r="974" spans="1:4" x14ac:dyDescent="0.3">
      <c r="A974">
        <f t="shared" ca="1" si="30"/>
        <v>0.64753134934365419</v>
      </c>
      <c r="B974">
        <f t="shared" ca="1" si="31"/>
        <v>-0.34964641443299732</v>
      </c>
      <c r="C974">
        <f ca="1">AVERAGE(B$2:B974)</f>
        <v>6.2433722327821205E-2</v>
      </c>
      <c r="D974">
        <f ca="1">_xlfn.VAR.P(B$2:B974)</f>
        <v>1.8989874772811173</v>
      </c>
    </row>
    <row r="975" spans="1:4" x14ac:dyDescent="0.3">
      <c r="A975">
        <f t="shared" ca="1" si="30"/>
        <v>9.7905926276080302E-2</v>
      </c>
      <c r="B975">
        <f t="shared" ca="1" si="31"/>
        <v>1.6306010167435716</v>
      </c>
      <c r="C975">
        <f ca="1">AVERAGE(B$2:B975)</f>
        <v>6.4043750350835316E-2</v>
      </c>
      <c r="D975">
        <f ca="1">_xlfn.VAR.P(B$2:B975)</f>
        <v>1.8995599992448804</v>
      </c>
    </row>
    <row r="976" spans="1:4" x14ac:dyDescent="0.3">
      <c r="A976">
        <f t="shared" ca="1" si="30"/>
        <v>0.73470560229091308</v>
      </c>
      <c r="B976">
        <f t="shared" ca="1" si="31"/>
        <v>-0.6337679543160597</v>
      </c>
      <c r="C976">
        <f ca="1">AVERAGE(B$2:B976)</f>
        <v>6.3328046038356456E-2</v>
      </c>
      <c r="D976">
        <f ca="1">_xlfn.VAR.P(B$2:B976)</f>
        <v>1.8981106471926537</v>
      </c>
    </row>
    <row r="977" spans="1:4" x14ac:dyDescent="0.3">
      <c r="A977">
        <f t="shared" ca="1" si="30"/>
        <v>0.68081142247815019</v>
      </c>
      <c r="B977">
        <f t="shared" ca="1" si="31"/>
        <v>-0.44882601819281021</v>
      </c>
      <c r="C977">
        <f ca="1">AVERAGE(B$2:B977)</f>
        <v>6.280329802172617E-2</v>
      </c>
      <c r="D977">
        <f ca="1">_xlfn.VAR.P(B$2:B977)</f>
        <v>1.8964343381624145</v>
      </c>
    </row>
    <row r="978" spans="1:4" x14ac:dyDescent="0.3">
      <c r="A978">
        <f t="shared" ca="1" si="30"/>
        <v>0.84077160668967854</v>
      </c>
      <c r="B978">
        <f t="shared" ca="1" si="31"/>
        <v>-1.1442684909751637</v>
      </c>
      <c r="C978">
        <f ca="1">AVERAGE(B$2:B978)</f>
        <v>6.1567810008423311E-2</v>
      </c>
      <c r="D978">
        <f ca="1">_xlfn.VAR.P(B$2:B978)</f>
        <v>1.8959830552994699</v>
      </c>
    </row>
    <row r="979" spans="1:4" x14ac:dyDescent="0.3">
      <c r="A979">
        <f t="shared" ca="1" si="30"/>
        <v>0.17003079755687533</v>
      </c>
      <c r="B979">
        <f t="shared" ca="1" si="31"/>
        <v>1.0786285156805349</v>
      </c>
      <c r="C979">
        <f ca="1">AVERAGE(B$2:B979)</f>
        <v>6.260774938027619E-2</v>
      </c>
      <c r="D979">
        <f ca="1">_xlfn.VAR.P(B$2:B979)</f>
        <v>1.8951010223160867</v>
      </c>
    </row>
    <row r="980" spans="1:4" x14ac:dyDescent="0.3">
      <c r="A980">
        <f t="shared" ca="1" si="30"/>
        <v>0.46563117265044862</v>
      </c>
      <c r="B980">
        <f t="shared" ca="1" si="31"/>
        <v>7.1214252677286982E-2</v>
      </c>
      <c r="C980">
        <f ca="1">AVERAGE(B$2:B980)</f>
        <v>6.261654049702492E-2</v>
      </c>
      <c r="D980">
        <f ca="1">_xlfn.VAR.P(B$2:B980)</f>
        <v>1.8931653460892452</v>
      </c>
    </row>
    <row r="981" spans="1:4" x14ac:dyDescent="0.3">
      <c r="A981">
        <f t="shared" ca="1" si="30"/>
        <v>0.46196525181005632</v>
      </c>
      <c r="B981">
        <f t="shared" ca="1" si="31"/>
        <v>7.911842270140286E-2</v>
      </c>
      <c r="C981">
        <f ca="1">AVERAGE(B$2:B981)</f>
        <v>6.2633379152335508E-2</v>
      </c>
      <c r="D981">
        <f ca="1">_xlfn.VAR.P(B$2:B981)</f>
        <v>1.8912338223016512</v>
      </c>
    </row>
    <row r="982" spans="1:4" x14ac:dyDescent="0.3">
      <c r="A982">
        <f t="shared" ca="1" si="30"/>
        <v>7.704865616547274E-2</v>
      </c>
      <c r="B982">
        <f t="shared" ca="1" si="31"/>
        <v>1.8701709778792512</v>
      </c>
      <c r="C982">
        <f ca="1">AVERAGE(B$2:B982)</f>
        <v>6.4475925124534192E-2</v>
      </c>
      <c r="D982">
        <f ca="1">_xlfn.VAR.P(B$2:B982)</f>
        <v>1.8926330352245744</v>
      </c>
    </row>
    <row r="983" spans="1:4" x14ac:dyDescent="0.3">
      <c r="A983">
        <f t="shared" ca="1" si="30"/>
        <v>0.5381407219859129</v>
      </c>
      <c r="B983">
        <f t="shared" ca="1" si="31"/>
        <v>-7.9347846781437234E-2</v>
      </c>
      <c r="C983">
        <f ca="1">AVERAGE(B$2:B983)</f>
        <v>6.4329465071676792E-2</v>
      </c>
      <c r="D983">
        <f ca="1">_xlfn.VAR.P(B$2:B983)</f>
        <v>1.8907267533281418</v>
      </c>
    </row>
    <row r="984" spans="1:4" x14ac:dyDescent="0.3">
      <c r="A984">
        <f t="shared" ca="1" si="30"/>
        <v>0.54669979904044663</v>
      </c>
      <c r="B984">
        <f t="shared" ca="1" si="31"/>
        <v>-9.805349714975653E-2</v>
      </c>
      <c r="C984">
        <f ca="1">AVERAGE(B$2:B984)</f>
        <v>6.4164273858837079E-2</v>
      </c>
      <c r="D984">
        <f ca="1">_xlfn.VAR.P(B$2:B984)</f>
        <v>1.8888301253005255</v>
      </c>
    </row>
    <row r="985" spans="1:4" x14ac:dyDescent="0.3">
      <c r="A985">
        <f t="shared" ca="1" si="30"/>
        <v>0.15203313384905959</v>
      </c>
      <c r="B985">
        <f t="shared" ca="1" si="31"/>
        <v>1.1905096154823021</v>
      </c>
      <c r="C985">
        <f ca="1">AVERAGE(B$2:B985)</f>
        <v>6.5308933758860932E-2</v>
      </c>
      <c r="D985">
        <f ca="1">_xlfn.VAR.P(B$2:B985)</f>
        <v>1.8881985545901092</v>
      </c>
    </row>
    <row r="986" spans="1:4" x14ac:dyDescent="0.3">
      <c r="A986">
        <f t="shared" ca="1" si="30"/>
        <v>0.46856194566204346</v>
      </c>
      <c r="B986">
        <f t="shared" ca="1" si="31"/>
        <v>6.4939784220475694E-2</v>
      </c>
      <c r="C986">
        <f ca="1">AVERAGE(B$2:B986)</f>
        <v>6.5308558987755963E-2</v>
      </c>
      <c r="D986">
        <f ca="1">_xlfn.VAR.P(B$2:B986)</f>
        <v>1.886281601881016</v>
      </c>
    </row>
    <row r="987" spans="1:4" x14ac:dyDescent="0.3">
      <c r="A987">
        <f t="shared" ca="1" si="30"/>
        <v>3.0381290822458884E-2</v>
      </c>
      <c r="B987">
        <f t="shared" ca="1" si="31"/>
        <v>2.8007811129386782</v>
      </c>
      <c r="C987">
        <f ca="1">AVERAGE(B$2:B987)</f>
        <v>6.8082871922797467E-2</v>
      </c>
      <c r="D987">
        <f ca="1">_xlfn.VAR.P(B$2:B987)</f>
        <v>1.891949897453681</v>
      </c>
    </row>
    <row r="988" spans="1:4" x14ac:dyDescent="0.3">
      <c r="A988">
        <f t="shared" ca="1" si="30"/>
        <v>0.56154970634101575</v>
      </c>
      <c r="B988">
        <f t="shared" ca="1" si="31"/>
        <v>-0.1313616484308654</v>
      </c>
      <c r="C988">
        <f ca="1">AVERAGE(B$2:B988)</f>
        <v>6.7880800473604286E-2</v>
      </c>
      <c r="D988">
        <f ca="1">_xlfn.VAR.P(B$2:B988)</f>
        <v>1.8900732894670571</v>
      </c>
    </row>
    <row r="989" spans="1:4" x14ac:dyDescent="0.3">
      <c r="A989">
        <f t="shared" ca="1" si="30"/>
        <v>0.20382229691648424</v>
      </c>
      <c r="B989">
        <f t="shared" ca="1" si="31"/>
        <v>0.89735957774707853</v>
      </c>
      <c r="C989">
        <f ca="1">AVERAGE(B$2:B989)</f>
        <v>6.8720353891897276E-2</v>
      </c>
      <c r="D989">
        <f ca="1">_xlfn.VAR.P(B$2:B989)</f>
        <v>1.8888559467147665</v>
      </c>
    </row>
    <row r="990" spans="1:4" x14ac:dyDescent="0.3">
      <c r="A990">
        <f t="shared" ca="1" si="30"/>
        <v>0.31987397419437091</v>
      </c>
      <c r="B990">
        <f t="shared" ca="1" si="31"/>
        <v>0.44668101084266532</v>
      </c>
      <c r="C990">
        <f ca="1">AVERAGE(B$2:B990)</f>
        <v>6.9102518357974901E-2</v>
      </c>
      <c r="D990">
        <f ca="1">_xlfn.VAR.P(B$2:B990)</f>
        <v>1.887090379342022</v>
      </c>
    </row>
    <row r="991" spans="1:4" x14ac:dyDescent="0.3">
      <c r="A991">
        <f t="shared" ca="1" si="30"/>
        <v>0.39578293565544009</v>
      </c>
      <c r="B991">
        <f t="shared" ca="1" si="31"/>
        <v>0.23374217973685613</v>
      </c>
      <c r="C991">
        <f ca="1">AVERAGE(B$2:B991)</f>
        <v>6.9268821046236398E-2</v>
      </c>
      <c r="D991">
        <f ca="1">_xlfn.VAR.P(B$2:B991)</f>
        <v>1.8852115798053943</v>
      </c>
    </row>
    <row r="992" spans="1:4" x14ac:dyDescent="0.3">
      <c r="A992">
        <f t="shared" ca="1" si="30"/>
        <v>0.90257319325897967</v>
      </c>
      <c r="B992">
        <f t="shared" ca="1" si="31"/>
        <v>-1.6355067024269021</v>
      </c>
      <c r="C992">
        <f ca="1">AVERAGE(B$2:B992)</f>
        <v>6.7548563202166623E-2</v>
      </c>
      <c r="D992">
        <f ca="1">_xlfn.VAR.P(B$2:B992)</f>
        <v>1.8862389414120146</v>
      </c>
    </row>
    <row r="993" spans="1:4" x14ac:dyDescent="0.3">
      <c r="A993">
        <f t="shared" ca="1" si="30"/>
        <v>0.29093886548629089</v>
      </c>
      <c r="B993">
        <f t="shared" ca="1" si="31"/>
        <v>0.54149493756103451</v>
      </c>
      <c r="C993">
        <f ca="1">AVERAGE(B$2:B993)</f>
        <v>6.8026331724705805E-2</v>
      </c>
      <c r="D993">
        <f ca="1">_xlfn.VAR.P(B$2:B993)</f>
        <v>1.8845636992625157</v>
      </c>
    </row>
    <row r="994" spans="1:4" x14ac:dyDescent="0.3">
      <c r="A994">
        <f t="shared" ca="1" si="30"/>
        <v>8.1236633298552241E-2</v>
      </c>
      <c r="B994">
        <f t="shared" ca="1" si="31"/>
        <v>1.8172418039947216</v>
      </c>
      <c r="C994">
        <f ca="1">AVERAGE(B$2:B994)</f>
        <v>6.9787878021050229E-2</v>
      </c>
      <c r="D994">
        <f ca="1">_xlfn.VAR.P(B$2:B994)</f>
        <v>1.8857440716141063</v>
      </c>
    </row>
    <row r="995" spans="1:4" x14ac:dyDescent="0.3">
      <c r="A995">
        <f t="shared" ca="1" si="30"/>
        <v>0.39103579874099847</v>
      </c>
      <c r="B995">
        <f t="shared" ca="1" si="31"/>
        <v>0.24580898574555246</v>
      </c>
      <c r="C995">
        <f ca="1">AVERAGE(B$2:B995)</f>
        <v>6.9964961630431019E-2</v>
      </c>
      <c r="D995">
        <f ca="1">_xlfn.VAR.P(B$2:B995)</f>
        <v>1.883878083875975</v>
      </c>
    </row>
    <row r="996" spans="1:4" x14ac:dyDescent="0.3">
      <c r="A996">
        <f t="shared" ca="1" si="30"/>
        <v>0.86582201644259205</v>
      </c>
      <c r="B996">
        <f t="shared" ca="1" si="31"/>
        <v>-1.3154409442926938</v>
      </c>
      <c r="C996">
        <f ca="1">AVERAGE(B$2:B996)</f>
        <v>6.8572593885784669E-2</v>
      </c>
      <c r="D996">
        <f ca="1">_xlfn.VAR.P(B$2:B996)</f>
        <v>1.8839117948767727</v>
      </c>
    </row>
    <row r="997" spans="1:4" x14ac:dyDescent="0.3">
      <c r="A997">
        <f t="shared" ca="1" si="30"/>
        <v>0.16115723379050295</v>
      </c>
      <c r="B997">
        <f t="shared" ca="1" si="31"/>
        <v>1.1322276026140454</v>
      </c>
      <c r="C997">
        <f ca="1">AVERAGE(B$2:B997)</f>
        <v>6.9640520601375308E-2</v>
      </c>
      <c r="D997">
        <f ca="1">_xlfn.VAR.P(B$2:B997)</f>
        <v>1.8831550823035961</v>
      </c>
    </row>
    <row r="998" spans="1:4" x14ac:dyDescent="0.3">
      <c r="A998">
        <f t="shared" ca="1" si="30"/>
        <v>0.9077918718639284</v>
      </c>
      <c r="B998">
        <f t="shared" ca="1" si="31"/>
        <v>-1.6905598140872582</v>
      </c>
      <c r="C998">
        <f ca="1">AVERAGE(B$2:B998)</f>
        <v>6.7875023776211185E-2</v>
      </c>
      <c r="D998">
        <f ca="1">_xlfn.VAR.P(B$2:B998)</f>
        <v>1.8843707718801577</v>
      </c>
    </row>
    <row r="999" spans="1:4" x14ac:dyDescent="0.3">
      <c r="A999">
        <f t="shared" ca="1" si="30"/>
        <v>0.91330381062591848</v>
      </c>
      <c r="B999">
        <f t="shared" ca="1" si="31"/>
        <v>-1.7521981674576446</v>
      </c>
      <c r="C999">
        <f ca="1">AVERAGE(B$2:B999)</f>
        <v>6.6051303143712325E-2</v>
      </c>
      <c r="D999">
        <f ca="1">_xlfn.VAR.P(B$2:B999)</f>
        <v>1.8857986038887111</v>
      </c>
    </row>
    <row r="1000" spans="1:4" x14ac:dyDescent="0.3">
      <c r="A1000">
        <f t="shared" ca="1" si="30"/>
        <v>0.64265967206963881</v>
      </c>
      <c r="B1000">
        <f t="shared" ca="1" si="31"/>
        <v>-0.33591947121914989</v>
      </c>
      <c r="C1000">
        <f ca="1">AVERAGE(B$2:B1000)</f>
        <v>6.5648929996201949E-2</v>
      </c>
      <c r="D1000">
        <f ca="1">_xlfn.VAR.P(B$2:B1000)</f>
        <v>1.88407249794007</v>
      </c>
    </row>
    <row r="1001" spans="1:4" x14ac:dyDescent="0.3">
      <c r="A1001">
        <f t="shared" ca="1" si="30"/>
        <v>0.94256040355611781</v>
      </c>
      <c r="B1001">
        <f t="shared" ca="1" si="31"/>
        <v>-2.163874199405333</v>
      </c>
      <c r="C1001">
        <f ca="1">AVERAGE(B$2:B1001)</f>
        <v>6.3419406866800407E-2</v>
      </c>
      <c r="D1001">
        <f ca="1">_xlfn.VAR.P(B$2:B1001)</f>
        <v>1.8871542280532818</v>
      </c>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7:P258"/>
  <sheetViews>
    <sheetView workbookViewId="0">
      <selection activeCell="A7" sqref="A7:F7"/>
    </sheetView>
  </sheetViews>
  <sheetFormatPr defaultRowHeight="14.4" x14ac:dyDescent="0.3"/>
  <cols>
    <col min="1" max="1" width="6" bestFit="1" customWidth="1"/>
    <col min="2" max="2" width="5" bestFit="1" customWidth="1"/>
    <col min="3" max="3" width="12.33203125" bestFit="1" customWidth="1"/>
    <col min="4" max="4" width="8.33203125" bestFit="1" customWidth="1"/>
    <col min="5" max="5" width="10.6640625" bestFit="1" customWidth="1"/>
    <col min="6" max="6" width="9" bestFit="1" customWidth="1"/>
    <col min="8" max="8" width="14.33203125" customWidth="1"/>
    <col min="9" max="9" width="13.109375" customWidth="1"/>
    <col min="10" max="10" width="13.5546875" customWidth="1"/>
    <col min="11" max="11" width="13" customWidth="1"/>
    <col min="12" max="12" width="13.33203125" customWidth="1"/>
    <col min="13" max="13" width="17" customWidth="1"/>
    <col min="14" max="14" width="14.88671875" customWidth="1"/>
    <col min="15" max="15" width="15.88671875" bestFit="1" customWidth="1"/>
    <col min="16" max="16" width="12" bestFit="1" customWidth="1"/>
  </cols>
  <sheetData>
    <row r="7" spans="1:16" ht="16.2" thickBot="1" x14ac:dyDescent="0.35">
      <c r="A7" s="69" t="s">
        <v>284</v>
      </c>
      <c r="B7" s="69"/>
      <c r="C7" s="69"/>
      <c r="D7" s="69"/>
      <c r="E7" s="69"/>
      <c r="F7" s="69"/>
      <c r="H7" s="69" t="s">
        <v>285</v>
      </c>
      <c r="I7" s="69"/>
      <c r="J7" s="69"/>
      <c r="K7" s="69"/>
      <c r="L7" s="69"/>
      <c r="M7" s="69"/>
      <c r="N7" s="36"/>
    </row>
    <row r="8" spans="1:16" x14ac:dyDescent="0.3">
      <c r="A8" s="1" t="s">
        <v>4</v>
      </c>
      <c r="B8" s="1" t="s">
        <v>0</v>
      </c>
      <c r="C8" s="1" t="s">
        <v>1</v>
      </c>
      <c r="D8" s="1" t="s">
        <v>2</v>
      </c>
      <c r="E8" s="1" t="s">
        <v>3</v>
      </c>
      <c r="F8" s="1" t="s">
        <v>9</v>
      </c>
      <c r="G8" s="2"/>
      <c r="H8" s="1" t="s">
        <v>4</v>
      </c>
      <c r="I8" s="1" t="s">
        <v>0</v>
      </c>
      <c r="J8" s="1" t="s">
        <v>1</v>
      </c>
      <c r="K8" s="1" t="s">
        <v>2</v>
      </c>
      <c r="L8" s="1" t="s">
        <v>3</v>
      </c>
      <c r="M8" s="1" t="s">
        <v>9</v>
      </c>
      <c r="N8" s="1"/>
      <c r="O8" s="67" t="s">
        <v>20</v>
      </c>
      <c r="P8" s="68"/>
    </row>
    <row r="9" spans="1:16" x14ac:dyDescent="0.3">
      <c r="A9">
        <v>1</v>
      </c>
      <c r="B9" t="s">
        <v>34</v>
      </c>
      <c r="C9">
        <v>5</v>
      </c>
      <c r="D9">
        <v>4</v>
      </c>
      <c r="E9">
        <v>6</v>
      </c>
      <c r="F9">
        <v>1</v>
      </c>
      <c r="H9">
        <v>1</v>
      </c>
      <c r="I9" t="str">
        <f>CHAR(65+FLOOR((H9-1)/26,1))&amp;CHAR(65+MOD(H9-1,26))</f>
        <v>AA</v>
      </c>
      <c r="J9">
        <f ca="1">FLOOR(EXP(RAND()*10),1)</f>
        <v>2</v>
      </c>
      <c r="K9">
        <f ca="1">_xlfn.CEILING.MATH((RAND()^(1/2))*5,1)</f>
        <v>2</v>
      </c>
      <c r="L9">
        <f ca="1">_xlfn.CEILING.MATH((RAND()^2)*20,1)</f>
        <v>6</v>
      </c>
      <c r="M9">
        <f ca="1">MATCH(J9,$O$10:$O$17,1)</f>
        <v>1</v>
      </c>
      <c r="O9" s="22" t="s">
        <v>19</v>
      </c>
      <c r="P9" s="13" t="s">
        <v>18</v>
      </c>
    </row>
    <row r="10" spans="1:16" x14ac:dyDescent="0.3">
      <c r="A10">
        <v>2</v>
      </c>
      <c r="B10" t="s">
        <v>35</v>
      </c>
      <c r="C10">
        <v>4636</v>
      </c>
      <c r="D10">
        <v>4</v>
      </c>
      <c r="E10">
        <v>1</v>
      </c>
      <c r="F10">
        <v>6</v>
      </c>
      <c r="H10">
        <v>2</v>
      </c>
      <c r="I10" t="str">
        <f t="shared" ref="I10:I73" si="0">CHAR(65+FLOOR((H10-1)/26,1))&amp;CHAR(65+MOD(H10-1,26))</f>
        <v>AB</v>
      </c>
      <c r="J10">
        <f t="shared" ref="J10:J73" ca="1" si="1">FLOOR(EXP(RAND()*10),1)</f>
        <v>60</v>
      </c>
      <c r="K10">
        <f t="shared" ref="K10:K73" ca="1" si="2">_xlfn.CEILING.MATH((RAND()^(1/2))*5,1)</f>
        <v>4</v>
      </c>
      <c r="L10">
        <f t="shared" ref="L10:L73" ca="1" si="3">_xlfn.CEILING.MATH((RAND()^2)*20,1)</f>
        <v>1</v>
      </c>
      <c r="M10">
        <f t="shared" ref="M10:M73" ca="1" si="4">MATCH(J10,$O$10:$O$17,1)</f>
        <v>3</v>
      </c>
      <c r="O10" s="12">
        <v>1</v>
      </c>
      <c r="P10" s="11">
        <v>1</v>
      </c>
    </row>
    <row r="11" spans="1:16" x14ac:dyDescent="0.3">
      <c r="A11">
        <v>3</v>
      </c>
      <c r="B11" t="s">
        <v>36</v>
      </c>
      <c r="C11">
        <v>1</v>
      </c>
      <c r="D11">
        <v>3</v>
      </c>
      <c r="E11">
        <v>17</v>
      </c>
      <c r="F11">
        <v>1</v>
      </c>
      <c r="H11">
        <v>3</v>
      </c>
      <c r="I11" t="str">
        <f t="shared" si="0"/>
        <v>AC</v>
      </c>
      <c r="J11">
        <f t="shared" ca="1" si="1"/>
        <v>1</v>
      </c>
      <c r="K11">
        <f t="shared" ca="1" si="2"/>
        <v>4</v>
      </c>
      <c r="L11">
        <f t="shared" ca="1" si="3"/>
        <v>13</v>
      </c>
      <c r="M11">
        <f t="shared" ca="1" si="4"/>
        <v>1</v>
      </c>
      <c r="O11" s="12">
        <v>11</v>
      </c>
      <c r="P11" s="11">
        <v>2</v>
      </c>
    </row>
    <row r="12" spans="1:16" x14ac:dyDescent="0.3">
      <c r="A12">
        <v>4</v>
      </c>
      <c r="B12" t="s">
        <v>37</v>
      </c>
      <c r="C12">
        <v>3124</v>
      </c>
      <c r="D12">
        <v>4</v>
      </c>
      <c r="E12">
        <v>20</v>
      </c>
      <c r="F12">
        <v>6</v>
      </c>
      <c r="H12">
        <v>4</v>
      </c>
      <c r="I12" t="str">
        <f t="shared" si="0"/>
        <v>AD</v>
      </c>
      <c r="J12">
        <f t="shared" ca="1" si="1"/>
        <v>6785</v>
      </c>
      <c r="K12">
        <f t="shared" ca="1" si="2"/>
        <v>2</v>
      </c>
      <c r="L12">
        <f t="shared" ca="1" si="3"/>
        <v>2</v>
      </c>
      <c r="M12">
        <f t="shared" ca="1" si="4"/>
        <v>7</v>
      </c>
      <c r="O12" s="12">
        <v>51</v>
      </c>
      <c r="P12" s="11">
        <v>3</v>
      </c>
    </row>
    <row r="13" spans="1:16" x14ac:dyDescent="0.3">
      <c r="A13">
        <v>5</v>
      </c>
      <c r="B13" t="s">
        <v>38</v>
      </c>
      <c r="C13">
        <v>20670</v>
      </c>
      <c r="D13">
        <v>5</v>
      </c>
      <c r="E13">
        <v>8</v>
      </c>
      <c r="F13">
        <v>8</v>
      </c>
      <c r="H13">
        <v>5</v>
      </c>
      <c r="I13" t="str">
        <f t="shared" si="0"/>
        <v>AE</v>
      </c>
      <c r="J13">
        <f t="shared" ca="1" si="1"/>
        <v>18812</v>
      </c>
      <c r="K13">
        <f t="shared" ca="1" si="2"/>
        <v>5</v>
      </c>
      <c r="L13">
        <f t="shared" ca="1" si="3"/>
        <v>1</v>
      </c>
      <c r="M13">
        <f t="shared" ca="1" si="4"/>
        <v>8</v>
      </c>
      <c r="O13" s="12">
        <v>101</v>
      </c>
      <c r="P13" s="11">
        <v>4</v>
      </c>
    </row>
    <row r="14" spans="1:16" x14ac:dyDescent="0.3">
      <c r="A14">
        <v>6</v>
      </c>
      <c r="B14" t="s">
        <v>39</v>
      </c>
      <c r="C14">
        <v>133</v>
      </c>
      <c r="D14">
        <v>4</v>
      </c>
      <c r="E14">
        <v>3</v>
      </c>
      <c r="F14">
        <v>4</v>
      </c>
      <c r="H14">
        <v>6</v>
      </c>
      <c r="I14" t="str">
        <f t="shared" si="0"/>
        <v>AF</v>
      </c>
      <c r="J14">
        <f t="shared" ca="1" si="1"/>
        <v>14653</v>
      </c>
      <c r="K14">
        <f t="shared" ca="1" si="2"/>
        <v>3</v>
      </c>
      <c r="L14">
        <f t="shared" ca="1" si="3"/>
        <v>19</v>
      </c>
      <c r="M14">
        <f t="shared" ca="1" si="4"/>
        <v>8</v>
      </c>
      <c r="O14" s="12">
        <v>501</v>
      </c>
      <c r="P14" s="11">
        <v>5</v>
      </c>
    </row>
    <row r="15" spans="1:16" x14ac:dyDescent="0.3">
      <c r="A15">
        <v>7</v>
      </c>
      <c r="B15" t="s">
        <v>40</v>
      </c>
      <c r="C15">
        <v>18721</v>
      </c>
      <c r="D15">
        <v>5</v>
      </c>
      <c r="E15">
        <v>1</v>
      </c>
      <c r="F15">
        <v>8</v>
      </c>
      <c r="H15">
        <v>7</v>
      </c>
      <c r="I15" t="str">
        <f t="shared" si="0"/>
        <v>AG</v>
      </c>
      <c r="J15">
        <f t="shared" ca="1" si="1"/>
        <v>38</v>
      </c>
      <c r="K15">
        <f t="shared" ca="1" si="2"/>
        <v>4</v>
      </c>
      <c r="L15">
        <f t="shared" ca="1" si="3"/>
        <v>16</v>
      </c>
      <c r="M15">
        <f t="shared" ca="1" si="4"/>
        <v>2</v>
      </c>
      <c r="O15" s="12">
        <v>1001</v>
      </c>
      <c r="P15" s="11">
        <v>6</v>
      </c>
    </row>
    <row r="16" spans="1:16" x14ac:dyDescent="0.3">
      <c r="A16">
        <v>8</v>
      </c>
      <c r="B16" t="s">
        <v>41</v>
      </c>
      <c r="C16">
        <v>6282</v>
      </c>
      <c r="D16">
        <v>4</v>
      </c>
      <c r="E16">
        <v>1</v>
      </c>
      <c r="F16">
        <v>7</v>
      </c>
      <c r="H16">
        <v>8</v>
      </c>
      <c r="I16" t="str">
        <f t="shared" si="0"/>
        <v>AH</v>
      </c>
      <c r="J16">
        <f t="shared" ca="1" si="1"/>
        <v>191</v>
      </c>
      <c r="K16">
        <f t="shared" ca="1" si="2"/>
        <v>5</v>
      </c>
      <c r="L16">
        <f t="shared" ca="1" si="3"/>
        <v>3</v>
      </c>
      <c r="M16">
        <f t="shared" ca="1" si="4"/>
        <v>4</v>
      </c>
      <c r="O16" s="12">
        <v>5001</v>
      </c>
      <c r="P16" s="11">
        <v>7</v>
      </c>
    </row>
    <row r="17" spans="1:16" ht="15" thickBot="1" x14ac:dyDescent="0.35">
      <c r="A17">
        <v>9</v>
      </c>
      <c r="B17" t="s">
        <v>42</v>
      </c>
      <c r="C17">
        <v>16726</v>
      </c>
      <c r="D17">
        <v>4</v>
      </c>
      <c r="E17">
        <v>17</v>
      </c>
      <c r="F17">
        <v>8</v>
      </c>
      <c r="H17">
        <v>9</v>
      </c>
      <c r="I17" t="str">
        <f t="shared" si="0"/>
        <v>AI</v>
      </c>
      <c r="J17">
        <f t="shared" ca="1" si="1"/>
        <v>1</v>
      </c>
      <c r="K17">
        <f t="shared" ca="1" si="2"/>
        <v>3</v>
      </c>
      <c r="L17">
        <f t="shared" ca="1" si="3"/>
        <v>8</v>
      </c>
      <c r="M17">
        <f t="shared" ca="1" si="4"/>
        <v>1</v>
      </c>
      <c r="O17" s="15">
        <v>10001</v>
      </c>
      <c r="P17" s="21">
        <v>8</v>
      </c>
    </row>
    <row r="18" spans="1:16" x14ac:dyDescent="0.3">
      <c r="A18">
        <v>10</v>
      </c>
      <c r="B18" t="s">
        <v>43</v>
      </c>
      <c r="C18">
        <v>1618</v>
      </c>
      <c r="D18">
        <v>5</v>
      </c>
      <c r="E18">
        <v>6</v>
      </c>
      <c r="F18">
        <v>6</v>
      </c>
      <c r="H18">
        <v>10</v>
      </c>
      <c r="I18" t="str">
        <f t="shared" si="0"/>
        <v>AJ</v>
      </c>
      <c r="J18">
        <f t="shared" ca="1" si="1"/>
        <v>8</v>
      </c>
      <c r="K18">
        <f t="shared" ca="1" si="2"/>
        <v>3</v>
      </c>
      <c r="L18">
        <f t="shared" ca="1" si="3"/>
        <v>3</v>
      </c>
      <c r="M18">
        <f t="shared" ca="1" si="4"/>
        <v>1</v>
      </c>
    </row>
    <row r="19" spans="1:16" x14ac:dyDescent="0.3">
      <c r="A19">
        <v>11</v>
      </c>
      <c r="B19" t="s">
        <v>44</v>
      </c>
      <c r="C19">
        <v>5</v>
      </c>
      <c r="D19">
        <v>3</v>
      </c>
      <c r="E19">
        <v>7</v>
      </c>
      <c r="F19">
        <v>1</v>
      </c>
      <c r="H19">
        <v>11</v>
      </c>
      <c r="I19" t="str">
        <f t="shared" si="0"/>
        <v>AK</v>
      </c>
      <c r="J19">
        <f t="shared" ca="1" si="1"/>
        <v>1649</v>
      </c>
      <c r="K19">
        <f t="shared" ca="1" si="2"/>
        <v>4</v>
      </c>
      <c r="L19">
        <f t="shared" ca="1" si="3"/>
        <v>20</v>
      </c>
      <c r="M19">
        <f t="shared" ca="1" si="4"/>
        <v>6</v>
      </c>
    </row>
    <row r="20" spans="1:16" x14ac:dyDescent="0.3">
      <c r="A20">
        <v>12</v>
      </c>
      <c r="B20" t="s">
        <v>45</v>
      </c>
      <c r="C20">
        <v>594</v>
      </c>
      <c r="D20">
        <v>5</v>
      </c>
      <c r="E20">
        <v>3</v>
      </c>
      <c r="F20">
        <v>5</v>
      </c>
      <c r="H20">
        <v>12</v>
      </c>
      <c r="I20" t="str">
        <f t="shared" si="0"/>
        <v>AL</v>
      </c>
      <c r="J20">
        <f t="shared" ca="1" si="1"/>
        <v>38</v>
      </c>
      <c r="K20">
        <f t="shared" ca="1" si="2"/>
        <v>5</v>
      </c>
      <c r="L20">
        <f t="shared" ca="1" si="3"/>
        <v>9</v>
      </c>
      <c r="M20">
        <f t="shared" ca="1" si="4"/>
        <v>2</v>
      </c>
    </row>
    <row r="21" spans="1:16" x14ac:dyDescent="0.3">
      <c r="A21">
        <v>13</v>
      </c>
      <c r="B21" t="s">
        <v>46</v>
      </c>
      <c r="C21">
        <v>4</v>
      </c>
      <c r="D21">
        <v>4</v>
      </c>
      <c r="E21">
        <v>5</v>
      </c>
      <c r="F21">
        <v>1</v>
      </c>
      <c r="H21">
        <v>13</v>
      </c>
      <c r="I21" t="str">
        <f t="shared" si="0"/>
        <v>AM</v>
      </c>
      <c r="J21">
        <f t="shared" ca="1" si="1"/>
        <v>489</v>
      </c>
      <c r="K21">
        <f t="shared" ca="1" si="2"/>
        <v>5</v>
      </c>
      <c r="L21">
        <f t="shared" ca="1" si="3"/>
        <v>12</v>
      </c>
      <c r="M21">
        <f t="shared" ca="1" si="4"/>
        <v>4</v>
      </c>
    </row>
    <row r="22" spans="1:16" x14ac:dyDescent="0.3">
      <c r="A22">
        <v>14</v>
      </c>
      <c r="B22" t="s">
        <v>47</v>
      </c>
      <c r="C22">
        <v>1</v>
      </c>
      <c r="D22">
        <v>4</v>
      </c>
      <c r="E22">
        <v>17</v>
      </c>
      <c r="F22">
        <v>1</v>
      </c>
      <c r="H22">
        <v>14</v>
      </c>
      <c r="I22" t="str">
        <f t="shared" si="0"/>
        <v>AN</v>
      </c>
      <c r="J22">
        <f t="shared" ca="1" si="1"/>
        <v>2289</v>
      </c>
      <c r="K22">
        <f t="shared" ca="1" si="2"/>
        <v>5</v>
      </c>
      <c r="L22">
        <f t="shared" ca="1" si="3"/>
        <v>1</v>
      </c>
      <c r="M22">
        <f t="shared" ca="1" si="4"/>
        <v>6</v>
      </c>
    </row>
    <row r="23" spans="1:16" x14ac:dyDescent="0.3">
      <c r="A23">
        <v>15</v>
      </c>
      <c r="B23" t="s">
        <v>48</v>
      </c>
      <c r="C23">
        <v>690</v>
      </c>
      <c r="D23">
        <v>4</v>
      </c>
      <c r="E23">
        <v>2</v>
      </c>
      <c r="F23">
        <v>5</v>
      </c>
      <c r="H23">
        <v>15</v>
      </c>
      <c r="I23" t="str">
        <f t="shared" si="0"/>
        <v>AO</v>
      </c>
      <c r="J23">
        <f t="shared" ca="1" si="1"/>
        <v>1</v>
      </c>
      <c r="K23">
        <f t="shared" ca="1" si="2"/>
        <v>2</v>
      </c>
      <c r="L23">
        <f t="shared" ca="1" si="3"/>
        <v>5</v>
      </c>
      <c r="M23">
        <f t="shared" ca="1" si="4"/>
        <v>1</v>
      </c>
    </row>
    <row r="24" spans="1:16" x14ac:dyDescent="0.3">
      <c r="A24">
        <v>16</v>
      </c>
      <c r="B24" t="s">
        <v>49</v>
      </c>
      <c r="C24">
        <v>5181</v>
      </c>
      <c r="D24">
        <v>2</v>
      </c>
      <c r="E24">
        <v>13</v>
      </c>
      <c r="F24">
        <v>7</v>
      </c>
      <c r="H24">
        <v>16</v>
      </c>
      <c r="I24" t="str">
        <f t="shared" si="0"/>
        <v>AP</v>
      </c>
      <c r="J24">
        <f t="shared" ca="1" si="1"/>
        <v>5913</v>
      </c>
      <c r="K24">
        <f t="shared" ca="1" si="2"/>
        <v>3</v>
      </c>
      <c r="L24">
        <f t="shared" ca="1" si="3"/>
        <v>14</v>
      </c>
      <c r="M24">
        <f t="shared" ca="1" si="4"/>
        <v>7</v>
      </c>
    </row>
    <row r="25" spans="1:16" x14ac:dyDescent="0.3">
      <c r="A25">
        <v>17</v>
      </c>
      <c r="B25" t="s">
        <v>50</v>
      </c>
      <c r="C25">
        <v>9</v>
      </c>
      <c r="D25">
        <v>5</v>
      </c>
      <c r="E25">
        <v>11</v>
      </c>
      <c r="F25">
        <v>1</v>
      </c>
      <c r="H25">
        <v>17</v>
      </c>
      <c r="I25" t="str">
        <f t="shared" si="0"/>
        <v>AQ</v>
      </c>
      <c r="J25">
        <f t="shared" ca="1" si="1"/>
        <v>14</v>
      </c>
      <c r="K25">
        <f t="shared" ca="1" si="2"/>
        <v>5</v>
      </c>
      <c r="L25">
        <f t="shared" ca="1" si="3"/>
        <v>1</v>
      </c>
      <c r="M25">
        <f t="shared" ca="1" si="4"/>
        <v>2</v>
      </c>
    </row>
    <row r="26" spans="1:16" x14ac:dyDescent="0.3">
      <c r="A26">
        <v>18</v>
      </c>
      <c r="B26" t="s">
        <v>51</v>
      </c>
      <c r="C26">
        <v>2135</v>
      </c>
      <c r="D26">
        <v>4</v>
      </c>
      <c r="E26">
        <v>2</v>
      </c>
      <c r="F26">
        <v>6</v>
      </c>
      <c r="H26">
        <v>18</v>
      </c>
      <c r="I26" t="str">
        <f t="shared" si="0"/>
        <v>AR</v>
      </c>
      <c r="J26">
        <f t="shared" ca="1" si="1"/>
        <v>7873</v>
      </c>
      <c r="K26">
        <f t="shared" ca="1" si="2"/>
        <v>5</v>
      </c>
      <c r="L26">
        <f t="shared" ca="1" si="3"/>
        <v>13</v>
      </c>
      <c r="M26">
        <f t="shared" ca="1" si="4"/>
        <v>7</v>
      </c>
    </row>
    <row r="27" spans="1:16" x14ac:dyDescent="0.3">
      <c r="A27">
        <v>19</v>
      </c>
      <c r="B27" t="s">
        <v>52</v>
      </c>
      <c r="C27">
        <v>1013</v>
      </c>
      <c r="D27">
        <v>4</v>
      </c>
      <c r="E27">
        <v>11</v>
      </c>
      <c r="F27">
        <v>6</v>
      </c>
      <c r="H27">
        <v>19</v>
      </c>
      <c r="I27" t="str">
        <f t="shared" si="0"/>
        <v>AS</v>
      </c>
      <c r="J27">
        <f t="shared" ca="1" si="1"/>
        <v>502</v>
      </c>
      <c r="K27">
        <f t="shared" ca="1" si="2"/>
        <v>4</v>
      </c>
      <c r="L27">
        <f t="shared" ca="1" si="3"/>
        <v>12</v>
      </c>
      <c r="M27">
        <f t="shared" ca="1" si="4"/>
        <v>5</v>
      </c>
    </row>
    <row r="28" spans="1:16" x14ac:dyDescent="0.3">
      <c r="A28">
        <v>20</v>
      </c>
      <c r="B28" t="s">
        <v>53</v>
      </c>
      <c r="C28">
        <v>2</v>
      </c>
      <c r="D28">
        <v>2</v>
      </c>
      <c r="E28">
        <v>9</v>
      </c>
      <c r="F28">
        <v>1</v>
      </c>
      <c r="H28">
        <v>20</v>
      </c>
      <c r="I28" t="str">
        <f t="shared" si="0"/>
        <v>AT</v>
      </c>
      <c r="J28">
        <f t="shared" ca="1" si="1"/>
        <v>2</v>
      </c>
      <c r="K28">
        <f t="shared" ca="1" si="2"/>
        <v>2</v>
      </c>
      <c r="L28">
        <f t="shared" ca="1" si="3"/>
        <v>1</v>
      </c>
      <c r="M28">
        <f t="shared" ca="1" si="4"/>
        <v>1</v>
      </c>
    </row>
    <row r="29" spans="1:16" x14ac:dyDescent="0.3">
      <c r="A29">
        <v>21</v>
      </c>
      <c r="B29" t="s">
        <v>54</v>
      </c>
      <c r="C29">
        <v>9647</v>
      </c>
      <c r="D29">
        <v>4</v>
      </c>
      <c r="E29">
        <v>11</v>
      </c>
      <c r="F29">
        <v>7</v>
      </c>
      <c r="H29">
        <v>21</v>
      </c>
      <c r="I29" t="str">
        <f t="shared" si="0"/>
        <v>AU</v>
      </c>
      <c r="J29">
        <f t="shared" ca="1" si="1"/>
        <v>1</v>
      </c>
      <c r="K29">
        <f t="shared" ca="1" si="2"/>
        <v>5</v>
      </c>
      <c r="L29">
        <f t="shared" ca="1" si="3"/>
        <v>16</v>
      </c>
      <c r="M29">
        <f t="shared" ca="1" si="4"/>
        <v>1</v>
      </c>
    </row>
    <row r="30" spans="1:16" x14ac:dyDescent="0.3">
      <c r="A30">
        <v>22</v>
      </c>
      <c r="B30" t="s">
        <v>55</v>
      </c>
      <c r="C30">
        <v>488</v>
      </c>
      <c r="D30">
        <v>4</v>
      </c>
      <c r="E30">
        <v>4</v>
      </c>
      <c r="F30">
        <v>4</v>
      </c>
      <c r="H30">
        <v>22</v>
      </c>
      <c r="I30" t="str">
        <f t="shared" si="0"/>
        <v>AV</v>
      </c>
      <c r="J30">
        <f t="shared" ca="1" si="1"/>
        <v>1683</v>
      </c>
      <c r="K30">
        <f t="shared" ca="1" si="2"/>
        <v>5</v>
      </c>
      <c r="L30">
        <f t="shared" ca="1" si="3"/>
        <v>5</v>
      </c>
      <c r="M30">
        <f t="shared" ca="1" si="4"/>
        <v>6</v>
      </c>
    </row>
    <row r="31" spans="1:16" x14ac:dyDescent="0.3">
      <c r="A31">
        <v>23</v>
      </c>
      <c r="B31" t="s">
        <v>56</v>
      </c>
      <c r="C31">
        <v>5084</v>
      </c>
      <c r="D31">
        <v>5</v>
      </c>
      <c r="E31">
        <v>2</v>
      </c>
      <c r="F31">
        <v>7</v>
      </c>
      <c r="H31">
        <v>23</v>
      </c>
      <c r="I31" t="str">
        <f t="shared" si="0"/>
        <v>AW</v>
      </c>
      <c r="J31">
        <f t="shared" ca="1" si="1"/>
        <v>2</v>
      </c>
      <c r="K31">
        <f t="shared" ca="1" si="2"/>
        <v>4</v>
      </c>
      <c r="L31">
        <f t="shared" ca="1" si="3"/>
        <v>17</v>
      </c>
      <c r="M31">
        <f t="shared" ca="1" si="4"/>
        <v>1</v>
      </c>
    </row>
    <row r="32" spans="1:16" x14ac:dyDescent="0.3">
      <c r="A32">
        <v>24</v>
      </c>
      <c r="B32" t="s">
        <v>57</v>
      </c>
      <c r="C32">
        <v>16674</v>
      </c>
      <c r="D32">
        <v>4</v>
      </c>
      <c r="E32">
        <v>16</v>
      </c>
      <c r="F32">
        <v>8</v>
      </c>
      <c r="H32">
        <v>24</v>
      </c>
      <c r="I32" t="str">
        <f t="shared" si="0"/>
        <v>AX</v>
      </c>
      <c r="J32">
        <f t="shared" ca="1" si="1"/>
        <v>41</v>
      </c>
      <c r="K32">
        <f t="shared" ca="1" si="2"/>
        <v>1</v>
      </c>
      <c r="L32">
        <f t="shared" ca="1" si="3"/>
        <v>5</v>
      </c>
      <c r="M32">
        <f t="shared" ca="1" si="4"/>
        <v>2</v>
      </c>
    </row>
    <row r="33" spans="1:13" x14ac:dyDescent="0.3">
      <c r="A33">
        <v>25</v>
      </c>
      <c r="B33" t="s">
        <v>58</v>
      </c>
      <c r="C33">
        <v>2670</v>
      </c>
      <c r="D33">
        <v>4</v>
      </c>
      <c r="E33">
        <v>1</v>
      </c>
      <c r="F33">
        <v>6</v>
      </c>
      <c r="H33">
        <v>25</v>
      </c>
      <c r="I33" t="str">
        <f t="shared" si="0"/>
        <v>AY</v>
      </c>
      <c r="J33">
        <f t="shared" ca="1" si="1"/>
        <v>28</v>
      </c>
      <c r="K33">
        <f t="shared" ca="1" si="2"/>
        <v>5</v>
      </c>
      <c r="L33">
        <f t="shared" ca="1" si="3"/>
        <v>4</v>
      </c>
      <c r="M33">
        <f t="shared" ca="1" si="4"/>
        <v>2</v>
      </c>
    </row>
    <row r="34" spans="1:13" x14ac:dyDescent="0.3">
      <c r="A34">
        <v>26</v>
      </c>
      <c r="B34" t="s">
        <v>59</v>
      </c>
      <c r="C34">
        <v>707</v>
      </c>
      <c r="D34">
        <v>3</v>
      </c>
      <c r="E34">
        <v>2</v>
      </c>
      <c r="F34">
        <v>5</v>
      </c>
      <c r="H34">
        <v>26</v>
      </c>
      <c r="I34" t="str">
        <f t="shared" si="0"/>
        <v>AZ</v>
      </c>
      <c r="J34">
        <f t="shared" ca="1" si="1"/>
        <v>34</v>
      </c>
      <c r="K34">
        <f t="shared" ca="1" si="2"/>
        <v>3</v>
      </c>
      <c r="L34">
        <f t="shared" ca="1" si="3"/>
        <v>1</v>
      </c>
      <c r="M34">
        <f t="shared" ca="1" si="4"/>
        <v>2</v>
      </c>
    </row>
    <row r="35" spans="1:13" x14ac:dyDescent="0.3">
      <c r="A35">
        <v>27</v>
      </c>
      <c r="B35" t="s">
        <v>60</v>
      </c>
      <c r="C35">
        <v>94</v>
      </c>
      <c r="D35">
        <v>4</v>
      </c>
      <c r="E35">
        <v>14</v>
      </c>
      <c r="F35">
        <v>3</v>
      </c>
      <c r="H35">
        <v>27</v>
      </c>
      <c r="I35" t="str">
        <f t="shared" si="0"/>
        <v>BA</v>
      </c>
      <c r="J35">
        <f t="shared" ca="1" si="1"/>
        <v>7</v>
      </c>
      <c r="K35">
        <f t="shared" ca="1" si="2"/>
        <v>4</v>
      </c>
      <c r="L35">
        <f t="shared" ca="1" si="3"/>
        <v>19</v>
      </c>
      <c r="M35">
        <f t="shared" ca="1" si="4"/>
        <v>1</v>
      </c>
    </row>
    <row r="36" spans="1:13" x14ac:dyDescent="0.3">
      <c r="A36">
        <v>28</v>
      </c>
      <c r="B36" t="s">
        <v>61</v>
      </c>
      <c r="C36">
        <v>1</v>
      </c>
      <c r="D36">
        <v>3</v>
      </c>
      <c r="E36">
        <v>5</v>
      </c>
      <c r="F36">
        <v>1</v>
      </c>
      <c r="H36">
        <v>28</v>
      </c>
      <c r="I36" t="str">
        <f t="shared" si="0"/>
        <v>BB</v>
      </c>
      <c r="J36">
        <f t="shared" ca="1" si="1"/>
        <v>1749</v>
      </c>
      <c r="K36">
        <f t="shared" ca="1" si="2"/>
        <v>4</v>
      </c>
      <c r="L36">
        <f t="shared" ca="1" si="3"/>
        <v>1</v>
      </c>
      <c r="M36">
        <f t="shared" ca="1" si="4"/>
        <v>6</v>
      </c>
    </row>
    <row r="37" spans="1:13" x14ac:dyDescent="0.3">
      <c r="A37">
        <v>29</v>
      </c>
      <c r="B37" t="s">
        <v>62</v>
      </c>
      <c r="C37">
        <v>2</v>
      </c>
      <c r="D37">
        <v>5</v>
      </c>
      <c r="E37">
        <v>1</v>
      </c>
      <c r="F37">
        <v>1</v>
      </c>
      <c r="H37">
        <v>29</v>
      </c>
      <c r="I37" t="str">
        <f t="shared" si="0"/>
        <v>BC</v>
      </c>
      <c r="J37">
        <f t="shared" ca="1" si="1"/>
        <v>30</v>
      </c>
      <c r="K37">
        <f t="shared" ca="1" si="2"/>
        <v>3</v>
      </c>
      <c r="L37">
        <f t="shared" ca="1" si="3"/>
        <v>4</v>
      </c>
      <c r="M37">
        <f t="shared" ca="1" si="4"/>
        <v>2</v>
      </c>
    </row>
    <row r="38" spans="1:13" x14ac:dyDescent="0.3">
      <c r="A38">
        <v>30</v>
      </c>
      <c r="B38" t="s">
        <v>63</v>
      </c>
      <c r="C38">
        <v>8868</v>
      </c>
      <c r="D38">
        <v>4</v>
      </c>
      <c r="E38">
        <v>1</v>
      </c>
      <c r="F38">
        <v>7</v>
      </c>
      <c r="H38">
        <v>30</v>
      </c>
      <c r="I38" t="str">
        <f t="shared" si="0"/>
        <v>BD</v>
      </c>
      <c r="J38">
        <f t="shared" ca="1" si="1"/>
        <v>609</v>
      </c>
      <c r="K38">
        <f t="shared" ca="1" si="2"/>
        <v>5</v>
      </c>
      <c r="L38">
        <f t="shared" ca="1" si="3"/>
        <v>4</v>
      </c>
      <c r="M38">
        <f t="shared" ca="1" si="4"/>
        <v>5</v>
      </c>
    </row>
    <row r="39" spans="1:13" x14ac:dyDescent="0.3">
      <c r="A39">
        <v>31</v>
      </c>
      <c r="B39" t="s">
        <v>64</v>
      </c>
      <c r="C39">
        <v>21114</v>
      </c>
      <c r="D39">
        <v>3</v>
      </c>
      <c r="E39">
        <v>3</v>
      </c>
      <c r="F39">
        <v>8</v>
      </c>
      <c r="H39">
        <v>31</v>
      </c>
      <c r="I39" t="str">
        <f t="shared" si="0"/>
        <v>BE</v>
      </c>
      <c r="J39">
        <f t="shared" ca="1" si="1"/>
        <v>2</v>
      </c>
      <c r="K39">
        <f t="shared" ca="1" si="2"/>
        <v>4</v>
      </c>
      <c r="L39">
        <f t="shared" ca="1" si="3"/>
        <v>7</v>
      </c>
      <c r="M39">
        <f t="shared" ca="1" si="4"/>
        <v>1</v>
      </c>
    </row>
    <row r="40" spans="1:13" x14ac:dyDescent="0.3">
      <c r="A40">
        <v>32</v>
      </c>
      <c r="B40" t="s">
        <v>65</v>
      </c>
      <c r="C40">
        <v>10176</v>
      </c>
      <c r="D40">
        <v>5</v>
      </c>
      <c r="E40">
        <v>18</v>
      </c>
      <c r="F40">
        <v>8</v>
      </c>
      <c r="H40">
        <v>32</v>
      </c>
      <c r="I40" t="str">
        <f t="shared" si="0"/>
        <v>BF</v>
      </c>
      <c r="J40">
        <f t="shared" ca="1" si="1"/>
        <v>68</v>
      </c>
      <c r="K40">
        <f t="shared" ca="1" si="2"/>
        <v>2</v>
      </c>
      <c r="L40">
        <f t="shared" ca="1" si="3"/>
        <v>1</v>
      </c>
      <c r="M40">
        <f t="shared" ca="1" si="4"/>
        <v>3</v>
      </c>
    </row>
    <row r="41" spans="1:13" x14ac:dyDescent="0.3">
      <c r="A41">
        <v>33</v>
      </c>
      <c r="B41" t="s">
        <v>66</v>
      </c>
      <c r="C41">
        <v>75</v>
      </c>
      <c r="D41">
        <v>3</v>
      </c>
      <c r="E41">
        <v>11</v>
      </c>
      <c r="F41">
        <v>3</v>
      </c>
      <c r="H41">
        <v>33</v>
      </c>
      <c r="I41" t="str">
        <f t="shared" si="0"/>
        <v>BG</v>
      </c>
      <c r="J41">
        <f t="shared" ca="1" si="1"/>
        <v>78</v>
      </c>
      <c r="K41">
        <f t="shared" ca="1" si="2"/>
        <v>5</v>
      </c>
      <c r="L41">
        <f t="shared" ca="1" si="3"/>
        <v>10</v>
      </c>
      <c r="M41">
        <f t="shared" ca="1" si="4"/>
        <v>3</v>
      </c>
    </row>
    <row r="42" spans="1:13" x14ac:dyDescent="0.3">
      <c r="A42">
        <v>34</v>
      </c>
      <c r="B42" t="s">
        <v>67</v>
      </c>
      <c r="C42">
        <v>9</v>
      </c>
      <c r="D42">
        <v>2</v>
      </c>
      <c r="E42">
        <v>1</v>
      </c>
      <c r="F42">
        <v>1</v>
      </c>
      <c r="H42">
        <v>34</v>
      </c>
      <c r="I42" t="str">
        <f t="shared" si="0"/>
        <v>BH</v>
      </c>
      <c r="J42">
        <f t="shared" ca="1" si="1"/>
        <v>1337</v>
      </c>
      <c r="K42">
        <f t="shared" ca="1" si="2"/>
        <v>5</v>
      </c>
      <c r="L42">
        <f t="shared" ca="1" si="3"/>
        <v>1</v>
      </c>
      <c r="M42">
        <f t="shared" ca="1" si="4"/>
        <v>6</v>
      </c>
    </row>
    <row r="43" spans="1:13" x14ac:dyDescent="0.3">
      <c r="A43">
        <v>35</v>
      </c>
      <c r="B43" t="s">
        <v>68</v>
      </c>
      <c r="C43">
        <v>21</v>
      </c>
      <c r="D43">
        <v>2</v>
      </c>
      <c r="E43">
        <v>2</v>
      </c>
      <c r="F43">
        <v>2</v>
      </c>
      <c r="H43">
        <v>35</v>
      </c>
      <c r="I43" t="str">
        <f t="shared" si="0"/>
        <v>BI</v>
      </c>
      <c r="J43">
        <f t="shared" ca="1" si="1"/>
        <v>2</v>
      </c>
      <c r="K43">
        <f t="shared" ca="1" si="2"/>
        <v>5</v>
      </c>
      <c r="L43">
        <f t="shared" ca="1" si="3"/>
        <v>19</v>
      </c>
      <c r="M43">
        <f t="shared" ca="1" si="4"/>
        <v>1</v>
      </c>
    </row>
    <row r="44" spans="1:13" x14ac:dyDescent="0.3">
      <c r="A44">
        <v>36</v>
      </c>
      <c r="B44" t="s">
        <v>69</v>
      </c>
      <c r="C44">
        <v>903</v>
      </c>
      <c r="D44">
        <v>4</v>
      </c>
      <c r="E44">
        <v>1</v>
      </c>
      <c r="F44">
        <v>5</v>
      </c>
      <c r="H44">
        <v>36</v>
      </c>
      <c r="I44" t="str">
        <f t="shared" si="0"/>
        <v>BJ</v>
      </c>
      <c r="J44">
        <f t="shared" ca="1" si="1"/>
        <v>4631</v>
      </c>
      <c r="K44">
        <f t="shared" ca="1" si="2"/>
        <v>5</v>
      </c>
      <c r="L44">
        <f t="shared" ca="1" si="3"/>
        <v>3</v>
      </c>
      <c r="M44">
        <f t="shared" ca="1" si="4"/>
        <v>6</v>
      </c>
    </row>
    <row r="45" spans="1:13" x14ac:dyDescent="0.3">
      <c r="A45">
        <v>37</v>
      </c>
      <c r="B45" t="s">
        <v>70</v>
      </c>
      <c r="C45">
        <v>16874</v>
      </c>
      <c r="D45">
        <v>3</v>
      </c>
      <c r="E45">
        <v>4</v>
      </c>
      <c r="F45">
        <v>8</v>
      </c>
      <c r="H45">
        <v>37</v>
      </c>
      <c r="I45" t="str">
        <f t="shared" si="0"/>
        <v>BK</v>
      </c>
      <c r="J45">
        <f t="shared" ca="1" si="1"/>
        <v>2945</v>
      </c>
      <c r="K45">
        <f t="shared" ca="1" si="2"/>
        <v>5</v>
      </c>
      <c r="L45">
        <f t="shared" ca="1" si="3"/>
        <v>6</v>
      </c>
      <c r="M45">
        <f t="shared" ca="1" si="4"/>
        <v>6</v>
      </c>
    </row>
    <row r="46" spans="1:13" x14ac:dyDescent="0.3">
      <c r="A46">
        <v>38</v>
      </c>
      <c r="B46" t="s">
        <v>71</v>
      </c>
      <c r="C46">
        <v>1344</v>
      </c>
      <c r="D46">
        <v>4</v>
      </c>
      <c r="E46">
        <v>1</v>
      </c>
      <c r="F46">
        <v>6</v>
      </c>
      <c r="H46">
        <v>38</v>
      </c>
      <c r="I46" t="str">
        <f t="shared" si="0"/>
        <v>BL</v>
      </c>
      <c r="J46">
        <f t="shared" ca="1" si="1"/>
        <v>1544</v>
      </c>
      <c r="K46">
        <f t="shared" ca="1" si="2"/>
        <v>4</v>
      </c>
      <c r="L46">
        <f t="shared" ca="1" si="3"/>
        <v>2</v>
      </c>
      <c r="M46">
        <f t="shared" ca="1" si="4"/>
        <v>6</v>
      </c>
    </row>
    <row r="47" spans="1:13" x14ac:dyDescent="0.3">
      <c r="A47">
        <v>39</v>
      </c>
      <c r="B47" t="s">
        <v>72</v>
      </c>
      <c r="C47">
        <v>2</v>
      </c>
      <c r="D47">
        <v>5</v>
      </c>
      <c r="E47">
        <v>11</v>
      </c>
      <c r="F47">
        <v>1</v>
      </c>
      <c r="H47">
        <v>39</v>
      </c>
      <c r="I47" t="str">
        <f t="shared" si="0"/>
        <v>BM</v>
      </c>
      <c r="J47">
        <f t="shared" ca="1" si="1"/>
        <v>1</v>
      </c>
      <c r="K47">
        <f t="shared" ca="1" si="2"/>
        <v>5</v>
      </c>
      <c r="L47">
        <f t="shared" ca="1" si="3"/>
        <v>1</v>
      </c>
      <c r="M47">
        <f t="shared" ca="1" si="4"/>
        <v>1</v>
      </c>
    </row>
    <row r="48" spans="1:13" x14ac:dyDescent="0.3">
      <c r="A48">
        <v>40</v>
      </c>
      <c r="B48" t="s">
        <v>73</v>
      </c>
      <c r="C48">
        <v>27</v>
      </c>
      <c r="D48">
        <v>4</v>
      </c>
      <c r="E48">
        <v>10</v>
      </c>
      <c r="F48">
        <v>2</v>
      </c>
      <c r="H48">
        <v>40</v>
      </c>
      <c r="I48" t="str">
        <f t="shared" si="0"/>
        <v>BN</v>
      </c>
      <c r="J48">
        <f t="shared" ca="1" si="1"/>
        <v>37</v>
      </c>
      <c r="K48">
        <f t="shared" ca="1" si="2"/>
        <v>4</v>
      </c>
      <c r="L48">
        <f t="shared" ca="1" si="3"/>
        <v>15</v>
      </c>
      <c r="M48">
        <f t="shared" ca="1" si="4"/>
        <v>2</v>
      </c>
    </row>
    <row r="49" spans="1:13" x14ac:dyDescent="0.3">
      <c r="A49">
        <v>41</v>
      </c>
      <c r="B49" t="s">
        <v>74</v>
      </c>
      <c r="C49">
        <v>1</v>
      </c>
      <c r="D49">
        <v>3</v>
      </c>
      <c r="E49">
        <v>13</v>
      </c>
      <c r="F49">
        <v>1</v>
      </c>
      <c r="H49">
        <v>41</v>
      </c>
      <c r="I49" t="str">
        <f t="shared" si="0"/>
        <v>BO</v>
      </c>
      <c r="J49">
        <f t="shared" ca="1" si="1"/>
        <v>3373</v>
      </c>
      <c r="K49">
        <f t="shared" ca="1" si="2"/>
        <v>5</v>
      </c>
      <c r="L49">
        <f t="shared" ca="1" si="3"/>
        <v>1</v>
      </c>
      <c r="M49">
        <f t="shared" ca="1" si="4"/>
        <v>6</v>
      </c>
    </row>
    <row r="50" spans="1:13" x14ac:dyDescent="0.3">
      <c r="A50">
        <v>42</v>
      </c>
      <c r="B50" t="s">
        <v>75</v>
      </c>
      <c r="C50">
        <v>4988</v>
      </c>
      <c r="D50">
        <v>1</v>
      </c>
      <c r="E50">
        <v>7</v>
      </c>
      <c r="F50">
        <v>6</v>
      </c>
      <c r="H50">
        <v>42</v>
      </c>
      <c r="I50" t="str">
        <f t="shared" si="0"/>
        <v>BP</v>
      </c>
      <c r="J50">
        <f t="shared" ca="1" si="1"/>
        <v>5</v>
      </c>
      <c r="K50">
        <f t="shared" ca="1" si="2"/>
        <v>5</v>
      </c>
      <c r="L50">
        <f t="shared" ca="1" si="3"/>
        <v>2</v>
      </c>
      <c r="M50">
        <f t="shared" ca="1" si="4"/>
        <v>1</v>
      </c>
    </row>
    <row r="51" spans="1:13" x14ac:dyDescent="0.3">
      <c r="A51">
        <v>43</v>
      </c>
      <c r="B51" t="s">
        <v>76</v>
      </c>
      <c r="C51">
        <v>2</v>
      </c>
      <c r="D51">
        <v>5</v>
      </c>
      <c r="E51">
        <v>4</v>
      </c>
      <c r="F51">
        <v>1</v>
      </c>
      <c r="H51">
        <v>43</v>
      </c>
      <c r="I51" t="str">
        <f t="shared" si="0"/>
        <v>BQ</v>
      </c>
      <c r="J51">
        <f t="shared" ca="1" si="1"/>
        <v>35</v>
      </c>
      <c r="K51">
        <f t="shared" ca="1" si="2"/>
        <v>4</v>
      </c>
      <c r="L51">
        <f t="shared" ca="1" si="3"/>
        <v>6</v>
      </c>
      <c r="M51">
        <f t="shared" ca="1" si="4"/>
        <v>2</v>
      </c>
    </row>
    <row r="52" spans="1:13" x14ac:dyDescent="0.3">
      <c r="A52">
        <v>44</v>
      </c>
      <c r="B52" t="s">
        <v>77</v>
      </c>
      <c r="C52">
        <v>2558</v>
      </c>
      <c r="D52">
        <v>1</v>
      </c>
      <c r="E52">
        <v>11</v>
      </c>
      <c r="F52">
        <v>6</v>
      </c>
      <c r="H52">
        <v>44</v>
      </c>
      <c r="I52" t="str">
        <f t="shared" si="0"/>
        <v>BR</v>
      </c>
      <c r="J52">
        <f t="shared" ca="1" si="1"/>
        <v>521</v>
      </c>
      <c r="K52">
        <f t="shared" ca="1" si="2"/>
        <v>3</v>
      </c>
      <c r="L52">
        <f t="shared" ca="1" si="3"/>
        <v>9</v>
      </c>
      <c r="M52">
        <f t="shared" ca="1" si="4"/>
        <v>5</v>
      </c>
    </row>
    <row r="53" spans="1:13" x14ac:dyDescent="0.3">
      <c r="A53">
        <v>45</v>
      </c>
      <c r="B53" t="s">
        <v>78</v>
      </c>
      <c r="C53">
        <v>701</v>
      </c>
      <c r="D53">
        <v>1</v>
      </c>
      <c r="E53">
        <v>12</v>
      </c>
      <c r="F53">
        <v>5</v>
      </c>
      <c r="H53">
        <v>45</v>
      </c>
      <c r="I53" t="str">
        <f t="shared" si="0"/>
        <v>BS</v>
      </c>
      <c r="J53">
        <f t="shared" ca="1" si="1"/>
        <v>97</v>
      </c>
      <c r="K53">
        <f t="shared" ca="1" si="2"/>
        <v>5</v>
      </c>
      <c r="L53">
        <f t="shared" ca="1" si="3"/>
        <v>7</v>
      </c>
      <c r="M53">
        <f t="shared" ca="1" si="4"/>
        <v>3</v>
      </c>
    </row>
    <row r="54" spans="1:13" x14ac:dyDescent="0.3">
      <c r="A54">
        <v>46</v>
      </c>
      <c r="B54" t="s">
        <v>79</v>
      </c>
      <c r="C54">
        <v>8268</v>
      </c>
      <c r="D54">
        <v>1</v>
      </c>
      <c r="E54">
        <v>1</v>
      </c>
      <c r="F54">
        <v>7</v>
      </c>
      <c r="H54">
        <v>46</v>
      </c>
      <c r="I54" t="str">
        <f t="shared" si="0"/>
        <v>BT</v>
      </c>
      <c r="J54">
        <f t="shared" ca="1" si="1"/>
        <v>6</v>
      </c>
      <c r="K54">
        <f t="shared" ca="1" si="2"/>
        <v>4</v>
      </c>
      <c r="L54">
        <f t="shared" ca="1" si="3"/>
        <v>1</v>
      </c>
      <c r="M54">
        <f t="shared" ca="1" si="4"/>
        <v>1</v>
      </c>
    </row>
    <row r="55" spans="1:13" x14ac:dyDescent="0.3">
      <c r="A55">
        <v>47</v>
      </c>
      <c r="B55" t="s">
        <v>80</v>
      </c>
      <c r="C55">
        <v>4</v>
      </c>
      <c r="D55">
        <v>5</v>
      </c>
      <c r="E55">
        <v>3</v>
      </c>
      <c r="F55">
        <v>1</v>
      </c>
      <c r="H55">
        <v>47</v>
      </c>
      <c r="I55" t="str">
        <f t="shared" si="0"/>
        <v>BU</v>
      </c>
      <c r="J55">
        <f t="shared" ca="1" si="1"/>
        <v>2871</v>
      </c>
      <c r="K55">
        <f t="shared" ca="1" si="2"/>
        <v>3</v>
      </c>
      <c r="L55">
        <f t="shared" ca="1" si="3"/>
        <v>1</v>
      </c>
      <c r="M55">
        <f t="shared" ca="1" si="4"/>
        <v>6</v>
      </c>
    </row>
    <row r="56" spans="1:13" x14ac:dyDescent="0.3">
      <c r="A56">
        <v>48</v>
      </c>
      <c r="B56" t="s">
        <v>81</v>
      </c>
      <c r="C56">
        <v>13923</v>
      </c>
      <c r="D56">
        <v>5</v>
      </c>
      <c r="E56">
        <v>4</v>
      </c>
      <c r="F56">
        <v>8</v>
      </c>
      <c r="H56">
        <v>48</v>
      </c>
      <c r="I56" t="str">
        <f t="shared" si="0"/>
        <v>BV</v>
      </c>
      <c r="J56">
        <f t="shared" ca="1" si="1"/>
        <v>2</v>
      </c>
      <c r="K56">
        <f t="shared" ca="1" si="2"/>
        <v>3</v>
      </c>
      <c r="L56">
        <f t="shared" ca="1" si="3"/>
        <v>12</v>
      </c>
      <c r="M56">
        <f t="shared" ca="1" si="4"/>
        <v>1</v>
      </c>
    </row>
    <row r="57" spans="1:13" x14ac:dyDescent="0.3">
      <c r="A57">
        <v>49</v>
      </c>
      <c r="B57" t="s">
        <v>82</v>
      </c>
      <c r="C57">
        <v>431</v>
      </c>
      <c r="D57">
        <v>5</v>
      </c>
      <c r="E57">
        <v>1</v>
      </c>
      <c r="F57">
        <v>4</v>
      </c>
      <c r="H57">
        <v>49</v>
      </c>
      <c r="I57" t="str">
        <f t="shared" si="0"/>
        <v>BW</v>
      </c>
      <c r="J57">
        <f t="shared" ca="1" si="1"/>
        <v>219</v>
      </c>
      <c r="K57">
        <f t="shared" ca="1" si="2"/>
        <v>3</v>
      </c>
      <c r="L57">
        <f t="shared" ca="1" si="3"/>
        <v>1</v>
      </c>
      <c r="M57">
        <f t="shared" ca="1" si="4"/>
        <v>4</v>
      </c>
    </row>
    <row r="58" spans="1:13" x14ac:dyDescent="0.3">
      <c r="A58">
        <v>50</v>
      </c>
      <c r="B58" t="s">
        <v>83</v>
      </c>
      <c r="C58">
        <v>4</v>
      </c>
      <c r="D58">
        <v>3</v>
      </c>
      <c r="E58">
        <v>10</v>
      </c>
      <c r="F58">
        <v>1</v>
      </c>
      <c r="H58">
        <v>50</v>
      </c>
      <c r="I58" t="str">
        <f t="shared" si="0"/>
        <v>BX</v>
      </c>
      <c r="J58">
        <f t="shared" ca="1" si="1"/>
        <v>64</v>
      </c>
      <c r="K58">
        <f t="shared" ca="1" si="2"/>
        <v>4</v>
      </c>
      <c r="L58">
        <f t="shared" ca="1" si="3"/>
        <v>2</v>
      </c>
      <c r="M58">
        <f t="shared" ca="1" si="4"/>
        <v>3</v>
      </c>
    </row>
    <row r="59" spans="1:13" x14ac:dyDescent="0.3">
      <c r="A59">
        <v>51</v>
      </c>
      <c r="B59" t="s">
        <v>84</v>
      </c>
      <c r="C59">
        <v>114</v>
      </c>
      <c r="D59">
        <v>5</v>
      </c>
      <c r="E59">
        <v>18</v>
      </c>
      <c r="F59">
        <v>4</v>
      </c>
      <c r="H59">
        <v>51</v>
      </c>
      <c r="I59" t="str">
        <f t="shared" si="0"/>
        <v>BY</v>
      </c>
      <c r="J59">
        <f t="shared" ca="1" si="1"/>
        <v>6000</v>
      </c>
      <c r="K59">
        <f t="shared" ca="1" si="2"/>
        <v>4</v>
      </c>
      <c r="L59">
        <f t="shared" ca="1" si="3"/>
        <v>10</v>
      </c>
      <c r="M59">
        <f t="shared" ca="1" si="4"/>
        <v>7</v>
      </c>
    </row>
    <row r="60" spans="1:13" x14ac:dyDescent="0.3">
      <c r="A60">
        <v>52</v>
      </c>
      <c r="B60" t="s">
        <v>85</v>
      </c>
      <c r="C60">
        <v>37</v>
      </c>
      <c r="D60">
        <v>5</v>
      </c>
      <c r="E60">
        <v>3</v>
      </c>
      <c r="F60">
        <v>2</v>
      </c>
      <c r="H60">
        <v>52</v>
      </c>
      <c r="I60" t="str">
        <f t="shared" si="0"/>
        <v>BZ</v>
      </c>
      <c r="J60">
        <f t="shared" ca="1" si="1"/>
        <v>11038</v>
      </c>
      <c r="K60">
        <f t="shared" ca="1" si="2"/>
        <v>5</v>
      </c>
      <c r="L60">
        <f t="shared" ca="1" si="3"/>
        <v>1</v>
      </c>
      <c r="M60">
        <f t="shared" ca="1" si="4"/>
        <v>8</v>
      </c>
    </row>
    <row r="61" spans="1:13" x14ac:dyDescent="0.3">
      <c r="A61">
        <v>53</v>
      </c>
      <c r="B61" t="s">
        <v>86</v>
      </c>
      <c r="C61">
        <v>9</v>
      </c>
      <c r="D61">
        <v>2</v>
      </c>
      <c r="E61">
        <v>1</v>
      </c>
      <c r="F61">
        <v>1</v>
      </c>
      <c r="H61">
        <v>53</v>
      </c>
      <c r="I61" t="str">
        <f t="shared" si="0"/>
        <v>CA</v>
      </c>
      <c r="J61">
        <f t="shared" ca="1" si="1"/>
        <v>713</v>
      </c>
      <c r="K61">
        <f t="shared" ca="1" si="2"/>
        <v>3</v>
      </c>
      <c r="L61">
        <f t="shared" ca="1" si="3"/>
        <v>8</v>
      </c>
      <c r="M61">
        <f t="shared" ca="1" si="4"/>
        <v>5</v>
      </c>
    </row>
    <row r="62" spans="1:13" x14ac:dyDescent="0.3">
      <c r="A62">
        <v>54</v>
      </c>
      <c r="B62" t="s">
        <v>87</v>
      </c>
      <c r="C62">
        <v>651</v>
      </c>
      <c r="D62">
        <v>3</v>
      </c>
      <c r="E62">
        <v>7</v>
      </c>
      <c r="F62">
        <v>5</v>
      </c>
      <c r="H62">
        <v>54</v>
      </c>
      <c r="I62" t="str">
        <f t="shared" si="0"/>
        <v>CB</v>
      </c>
      <c r="J62">
        <f t="shared" ca="1" si="1"/>
        <v>19047</v>
      </c>
      <c r="K62">
        <f t="shared" ca="1" si="2"/>
        <v>4</v>
      </c>
      <c r="L62">
        <f t="shared" ca="1" si="3"/>
        <v>5</v>
      </c>
      <c r="M62">
        <f t="shared" ca="1" si="4"/>
        <v>8</v>
      </c>
    </row>
    <row r="63" spans="1:13" x14ac:dyDescent="0.3">
      <c r="A63">
        <v>55</v>
      </c>
      <c r="B63" t="s">
        <v>88</v>
      </c>
      <c r="C63">
        <v>61</v>
      </c>
      <c r="D63">
        <v>4</v>
      </c>
      <c r="E63">
        <v>12</v>
      </c>
      <c r="F63">
        <v>3</v>
      </c>
      <c r="H63">
        <v>55</v>
      </c>
      <c r="I63" t="str">
        <f t="shared" si="0"/>
        <v>CC</v>
      </c>
      <c r="J63">
        <f t="shared" ca="1" si="1"/>
        <v>2</v>
      </c>
      <c r="K63">
        <f t="shared" ca="1" si="2"/>
        <v>5</v>
      </c>
      <c r="L63">
        <f t="shared" ca="1" si="3"/>
        <v>2</v>
      </c>
      <c r="M63">
        <f t="shared" ca="1" si="4"/>
        <v>1</v>
      </c>
    </row>
    <row r="64" spans="1:13" x14ac:dyDescent="0.3">
      <c r="A64">
        <v>56</v>
      </c>
      <c r="B64" t="s">
        <v>89</v>
      </c>
      <c r="C64">
        <v>695</v>
      </c>
      <c r="D64">
        <v>4</v>
      </c>
      <c r="E64">
        <v>1</v>
      </c>
      <c r="F64">
        <v>5</v>
      </c>
      <c r="H64">
        <v>56</v>
      </c>
      <c r="I64" t="str">
        <f t="shared" si="0"/>
        <v>CD</v>
      </c>
      <c r="J64">
        <f t="shared" ca="1" si="1"/>
        <v>102</v>
      </c>
      <c r="K64">
        <f t="shared" ca="1" si="2"/>
        <v>4</v>
      </c>
      <c r="L64">
        <f t="shared" ca="1" si="3"/>
        <v>12</v>
      </c>
      <c r="M64">
        <f t="shared" ca="1" si="4"/>
        <v>4</v>
      </c>
    </row>
    <row r="65" spans="1:13" x14ac:dyDescent="0.3">
      <c r="A65">
        <v>57</v>
      </c>
      <c r="B65" t="s">
        <v>90</v>
      </c>
      <c r="C65">
        <v>6798</v>
      </c>
      <c r="D65">
        <v>4</v>
      </c>
      <c r="E65">
        <v>3</v>
      </c>
      <c r="F65">
        <v>7</v>
      </c>
      <c r="H65">
        <v>57</v>
      </c>
      <c r="I65" t="str">
        <f t="shared" si="0"/>
        <v>CE</v>
      </c>
      <c r="J65">
        <f t="shared" ca="1" si="1"/>
        <v>11866</v>
      </c>
      <c r="K65">
        <f t="shared" ca="1" si="2"/>
        <v>5</v>
      </c>
      <c r="L65">
        <f t="shared" ca="1" si="3"/>
        <v>2</v>
      </c>
      <c r="M65">
        <f t="shared" ca="1" si="4"/>
        <v>8</v>
      </c>
    </row>
    <row r="66" spans="1:13" x14ac:dyDescent="0.3">
      <c r="A66">
        <v>58</v>
      </c>
      <c r="B66" t="s">
        <v>91</v>
      </c>
      <c r="C66">
        <v>49</v>
      </c>
      <c r="D66">
        <v>5</v>
      </c>
      <c r="E66">
        <v>1</v>
      </c>
      <c r="F66">
        <v>2</v>
      </c>
      <c r="H66">
        <v>58</v>
      </c>
      <c r="I66" t="str">
        <f t="shared" si="0"/>
        <v>CF</v>
      </c>
      <c r="J66">
        <f t="shared" ca="1" si="1"/>
        <v>6</v>
      </c>
      <c r="K66">
        <f t="shared" ca="1" si="2"/>
        <v>5</v>
      </c>
      <c r="L66">
        <f t="shared" ca="1" si="3"/>
        <v>7</v>
      </c>
      <c r="M66">
        <f t="shared" ca="1" si="4"/>
        <v>1</v>
      </c>
    </row>
    <row r="67" spans="1:13" x14ac:dyDescent="0.3">
      <c r="A67">
        <v>59</v>
      </c>
      <c r="B67" t="s">
        <v>92</v>
      </c>
      <c r="C67">
        <v>7</v>
      </c>
      <c r="D67">
        <v>5</v>
      </c>
      <c r="E67">
        <v>1</v>
      </c>
      <c r="F67">
        <v>1</v>
      </c>
      <c r="H67">
        <v>59</v>
      </c>
      <c r="I67" t="str">
        <f t="shared" si="0"/>
        <v>CG</v>
      </c>
      <c r="J67">
        <f t="shared" ca="1" si="1"/>
        <v>2728</v>
      </c>
      <c r="K67">
        <f t="shared" ca="1" si="2"/>
        <v>2</v>
      </c>
      <c r="L67">
        <f t="shared" ca="1" si="3"/>
        <v>11</v>
      </c>
      <c r="M67">
        <f t="shared" ca="1" si="4"/>
        <v>6</v>
      </c>
    </row>
    <row r="68" spans="1:13" x14ac:dyDescent="0.3">
      <c r="A68">
        <v>60</v>
      </c>
      <c r="B68" t="s">
        <v>93</v>
      </c>
      <c r="C68">
        <v>3952</v>
      </c>
      <c r="D68">
        <v>5</v>
      </c>
      <c r="E68">
        <v>8</v>
      </c>
      <c r="F68">
        <v>6</v>
      </c>
      <c r="H68">
        <v>60</v>
      </c>
      <c r="I68" t="str">
        <f t="shared" si="0"/>
        <v>CH</v>
      </c>
      <c r="J68">
        <f t="shared" ca="1" si="1"/>
        <v>1430</v>
      </c>
      <c r="K68">
        <f t="shared" ca="1" si="2"/>
        <v>5</v>
      </c>
      <c r="L68">
        <f t="shared" ca="1" si="3"/>
        <v>1</v>
      </c>
      <c r="M68">
        <f t="shared" ca="1" si="4"/>
        <v>6</v>
      </c>
    </row>
    <row r="69" spans="1:13" x14ac:dyDescent="0.3">
      <c r="A69">
        <v>61</v>
      </c>
      <c r="B69" t="s">
        <v>94</v>
      </c>
      <c r="C69">
        <v>3387</v>
      </c>
      <c r="D69">
        <v>4</v>
      </c>
      <c r="E69">
        <v>5</v>
      </c>
      <c r="F69">
        <v>6</v>
      </c>
      <c r="H69">
        <v>61</v>
      </c>
      <c r="I69" t="str">
        <f t="shared" si="0"/>
        <v>CI</v>
      </c>
      <c r="J69">
        <f t="shared" ca="1" si="1"/>
        <v>12</v>
      </c>
      <c r="K69">
        <f t="shared" ca="1" si="2"/>
        <v>5</v>
      </c>
      <c r="L69">
        <f t="shared" ca="1" si="3"/>
        <v>2</v>
      </c>
      <c r="M69">
        <f t="shared" ca="1" si="4"/>
        <v>2</v>
      </c>
    </row>
    <row r="70" spans="1:13" x14ac:dyDescent="0.3">
      <c r="A70">
        <v>62</v>
      </c>
      <c r="B70" t="s">
        <v>95</v>
      </c>
      <c r="C70">
        <v>400</v>
      </c>
      <c r="D70">
        <v>2</v>
      </c>
      <c r="E70">
        <v>1</v>
      </c>
      <c r="F70">
        <v>4</v>
      </c>
      <c r="H70">
        <v>62</v>
      </c>
      <c r="I70" t="str">
        <f t="shared" si="0"/>
        <v>CJ</v>
      </c>
      <c r="J70">
        <f t="shared" ca="1" si="1"/>
        <v>27</v>
      </c>
      <c r="K70">
        <f t="shared" ca="1" si="2"/>
        <v>3</v>
      </c>
      <c r="L70">
        <f t="shared" ca="1" si="3"/>
        <v>1</v>
      </c>
      <c r="M70">
        <f t="shared" ca="1" si="4"/>
        <v>2</v>
      </c>
    </row>
    <row r="71" spans="1:13" x14ac:dyDescent="0.3">
      <c r="A71">
        <v>63</v>
      </c>
      <c r="B71" t="s">
        <v>96</v>
      </c>
      <c r="C71">
        <v>2520</v>
      </c>
      <c r="D71">
        <v>3</v>
      </c>
      <c r="E71">
        <v>1</v>
      </c>
      <c r="F71">
        <v>6</v>
      </c>
      <c r="H71">
        <v>63</v>
      </c>
      <c r="I71" t="str">
        <f t="shared" si="0"/>
        <v>CK</v>
      </c>
      <c r="J71">
        <f t="shared" ca="1" si="1"/>
        <v>2898</v>
      </c>
      <c r="K71">
        <f t="shared" ca="1" si="2"/>
        <v>3</v>
      </c>
      <c r="L71">
        <f t="shared" ca="1" si="3"/>
        <v>9</v>
      </c>
      <c r="M71">
        <f t="shared" ca="1" si="4"/>
        <v>6</v>
      </c>
    </row>
    <row r="72" spans="1:13" x14ac:dyDescent="0.3">
      <c r="A72">
        <v>64</v>
      </c>
      <c r="B72" t="s">
        <v>97</v>
      </c>
      <c r="C72">
        <v>1</v>
      </c>
      <c r="D72">
        <v>2</v>
      </c>
      <c r="E72">
        <v>20</v>
      </c>
      <c r="F72">
        <v>1</v>
      </c>
      <c r="H72">
        <v>64</v>
      </c>
      <c r="I72" t="str">
        <f t="shared" si="0"/>
        <v>CL</v>
      </c>
      <c r="J72">
        <f t="shared" ca="1" si="1"/>
        <v>2296</v>
      </c>
      <c r="K72">
        <f t="shared" ca="1" si="2"/>
        <v>4</v>
      </c>
      <c r="L72">
        <f t="shared" ca="1" si="3"/>
        <v>7</v>
      </c>
      <c r="M72">
        <f t="shared" ca="1" si="4"/>
        <v>6</v>
      </c>
    </row>
    <row r="73" spans="1:13" x14ac:dyDescent="0.3">
      <c r="A73">
        <v>65</v>
      </c>
      <c r="B73" t="s">
        <v>98</v>
      </c>
      <c r="C73">
        <v>6</v>
      </c>
      <c r="D73">
        <v>4</v>
      </c>
      <c r="E73">
        <v>2</v>
      </c>
      <c r="F73">
        <v>1</v>
      </c>
      <c r="H73">
        <v>65</v>
      </c>
      <c r="I73" t="str">
        <f t="shared" si="0"/>
        <v>CM</v>
      </c>
      <c r="J73">
        <f t="shared" ca="1" si="1"/>
        <v>1178</v>
      </c>
      <c r="K73">
        <f t="shared" ca="1" si="2"/>
        <v>2</v>
      </c>
      <c r="L73">
        <f t="shared" ca="1" si="3"/>
        <v>3</v>
      </c>
      <c r="M73">
        <f t="shared" ca="1" si="4"/>
        <v>6</v>
      </c>
    </row>
    <row r="74" spans="1:13" x14ac:dyDescent="0.3">
      <c r="A74">
        <v>66</v>
      </c>
      <c r="B74" t="s">
        <v>99</v>
      </c>
      <c r="C74">
        <v>1190</v>
      </c>
      <c r="D74">
        <v>3</v>
      </c>
      <c r="E74">
        <v>1</v>
      </c>
      <c r="F74">
        <v>6</v>
      </c>
      <c r="H74">
        <v>66</v>
      </c>
      <c r="I74" t="str">
        <f t="shared" ref="I74:I137" si="5">CHAR(65+FLOOR((H74-1)/26,1))&amp;CHAR(65+MOD(H74-1,26))</f>
        <v>CN</v>
      </c>
      <c r="J74">
        <f t="shared" ref="J74:J137" ca="1" si="6">FLOOR(EXP(RAND()*10),1)</f>
        <v>17</v>
      </c>
      <c r="K74">
        <f t="shared" ref="K74:K137" ca="1" si="7">_xlfn.CEILING.MATH((RAND()^(1/2))*5,1)</f>
        <v>3</v>
      </c>
      <c r="L74">
        <f t="shared" ref="L74:L137" ca="1" si="8">_xlfn.CEILING.MATH((RAND()^2)*20,1)</f>
        <v>8</v>
      </c>
      <c r="M74">
        <f t="shared" ref="M74:M137" ca="1" si="9">MATCH(J74,$O$10:$O$17,1)</f>
        <v>2</v>
      </c>
    </row>
    <row r="75" spans="1:13" x14ac:dyDescent="0.3">
      <c r="A75">
        <v>67</v>
      </c>
      <c r="B75" t="s">
        <v>100</v>
      </c>
      <c r="C75">
        <v>16</v>
      </c>
      <c r="D75">
        <v>4</v>
      </c>
      <c r="E75">
        <v>10</v>
      </c>
      <c r="F75">
        <v>2</v>
      </c>
      <c r="H75">
        <v>67</v>
      </c>
      <c r="I75" t="str">
        <f t="shared" si="5"/>
        <v>CO</v>
      </c>
      <c r="J75">
        <f t="shared" ca="1" si="6"/>
        <v>334</v>
      </c>
      <c r="K75">
        <f t="shared" ca="1" si="7"/>
        <v>3</v>
      </c>
      <c r="L75">
        <f t="shared" ca="1" si="8"/>
        <v>17</v>
      </c>
      <c r="M75">
        <f t="shared" ca="1" si="9"/>
        <v>4</v>
      </c>
    </row>
    <row r="76" spans="1:13" x14ac:dyDescent="0.3">
      <c r="A76">
        <v>68</v>
      </c>
      <c r="B76" t="s">
        <v>101</v>
      </c>
      <c r="C76">
        <v>6</v>
      </c>
      <c r="D76">
        <v>2</v>
      </c>
      <c r="E76">
        <v>11</v>
      </c>
      <c r="F76">
        <v>1</v>
      </c>
      <c r="H76">
        <v>68</v>
      </c>
      <c r="I76" t="str">
        <f t="shared" si="5"/>
        <v>CP</v>
      </c>
      <c r="J76">
        <f t="shared" ca="1" si="6"/>
        <v>4965</v>
      </c>
      <c r="K76">
        <f t="shared" ca="1" si="7"/>
        <v>4</v>
      </c>
      <c r="L76">
        <f t="shared" ca="1" si="8"/>
        <v>1</v>
      </c>
      <c r="M76">
        <f t="shared" ca="1" si="9"/>
        <v>6</v>
      </c>
    </row>
    <row r="77" spans="1:13" x14ac:dyDescent="0.3">
      <c r="A77">
        <v>69</v>
      </c>
      <c r="B77" t="s">
        <v>102</v>
      </c>
      <c r="C77">
        <v>3</v>
      </c>
      <c r="D77">
        <v>5</v>
      </c>
      <c r="E77">
        <v>1</v>
      </c>
      <c r="F77">
        <v>1</v>
      </c>
      <c r="H77">
        <v>69</v>
      </c>
      <c r="I77" t="str">
        <f t="shared" si="5"/>
        <v>CQ</v>
      </c>
      <c r="J77">
        <f t="shared" ca="1" si="6"/>
        <v>92</v>
      </c>
      <c r="K77">
        <f t="shared" ca="1" si="7"/>
        <v>4</v>
      </c>
      <c r="L77">
        <f t="shared" ca="1" si="8"/>
        <v>8</v>
      </c>
      <c r="M77">
        <f t="shared" ca="1" si="9"/>
        <v>3</v>
      </c>
    </row>
    <row r="78" spans="1:13" x14ac:dyDescent="0.3">
      <c r="A78">
        <v>70</v>
      </c>
      <c r="B78" t="s">
        <v>103</v>
      </c>
      <c r="C78">
        <v>14434</v>
      </c>
      <c r="D78">
        <v>4</v>
      </c>
      <c r="E78">
        <v>3</v>
      </c>
      <c r="F78">
        <v>8</v>
      </c>
      <c r="H78">
        <v>70</v>
      </c>
      <c r="I78" t="str">
        <f t="shared" si="5"/>
        <v>CR</v>
      </c>
      <c r="J78">
        <f t="shared" ca="1" si="6"/>
        <v>14</v>
      </c>
      <c r="K78">
        <f t="shared" ca="1" si="7"/>
        <v>3</v>
      </c>
      <c r="L78">
        <f t="shared" ca="1" si="8"/>
        <v>2</v>
      </c>
      <c r="M78">
        <f t="shared" ca="1" si="9"/>
        <v>2</v>
      </c>
    </row>
    <row r="79" spans="1:13" x14ac:dyDescent="0.3">
      <c r="A79">
        <v>71</v>
      </c>
      <c r="B79" t="s">
        <v>104</v>
      </c>
      <c r="C79">
        <v>19470</v>
      </c>
      <c r="D79">
        <v>2</v>
      </c>
      <c r="E79">
        <v>16</v>
      </c>
      <c r="F79">
        <v>8</v>
      </c>
      <c r="H79">
        <v>71</v>
      </c>
      <c r="I79" t="str">
        <f t="shared" si="5"/>
        <v>CS</v>
      </c>
      <c r="J79">
        <f t="shared" ca="1" si="6"/>
        <v>8</v>
      </c>
      <c r="K79">
        <f t="shared" ca="1" si="7"/>
        <v>5</v>
      </c>
      <c r="L79">
        <f t="shared" ca="1" si="8"/>
        <v>1</v>
      </c>
      <c r="M79">
        <f t="shared" ca="1" si="9"/>
        <v>1</v>
      </c>
    </row>
    <row r="80" spans="1:13" x14ac:dyDescent="0.3">
      <c r="A80">
        <v>72</v>
      </c>
      <c r="B80" t="s">
        <v>105</v>
      </c>
      <c r="C80">
        <v>8318</v>
      </c>
      <c r="D80">
        <v>5</v>
      </c>
      <c r="E80">
        <v>14</v>
      </c>
      <c r="F80">
        <v>7</v>
      </c>
      <c r="H80">
        <v>72</v>
      </c>
      <c r="I80" t="str">
        <f t="shared" si="5"/>
        <v>CT</v>
      </c>
      <c r="J80">
        <f t="shared" ca="1" si="6"/>
        <v>21441</v>
      </c>
      <c r="K80">
        <f t="shared" ca="1" si="7"/>
        <v>3</v>
      </c>
      <c r="L80">
        <f t="shared" ca="1" si="8"/>
        <v>6</v>
      </c>
      <c r="M80">
        <f t="shared" ca="1" si="9"/>
        <v>8</v>
      </c>
    </row>
    <row r="81" spans="1:13" x14ac:dyDescent="0.3">
      <c r="A81">
        <v>73</v>
      </c>
      <c r="B81" t="s">
        <v>106</v>
      </c>
      <c r="C81">
        <v>130</v>
      </c>
      <c r="D81">
        <v>5</v>
      </c>
      <c r="E81">
        <v>6</v>
      </c>
      <c r="F81">
        <v>4</v>
      </c>
      <c r="H81">
        <v>73</v>
      </c>
      <c r="I81" t="str">
        <f t="shared" si="5"/>
        <v>CU</v>
      </c>
      <c r="J81">
        <f t="shared" ca="1" si="6"/>
        <v>3685</v>
      </c>
      <c r="K81">
        <f t="shared" ca="1" si="7"/>
        <v>4</v>
      </c>
      <c r="L81">
        <f t="shared" ca="1" si="8"/>
        <v>1</v>
      </c>
      <c r="M81">
        <f t="shared" ca="1" si="9"/>
        <v>6</v>
      </c>
    </row>
    <row r="82" spans="1:13" x14ac:dyDescent="0.3">
      <c r="A82">
        <v>74</v>
      </c>
      <c r="B82" t="s">
        <v>107</v>
      </c>
      <c r="C82">
        <v>99</v>
      </c>
      <c r="D82">
        <v>3</v>
      </c>
      <c r="E82">
        <v>20</v>
      </c>
      <c r="F82">
        <v>3</v>
      </c>
      <c r="H82">
        <v>74</v>
      </c>
      <c r="I82" t="str">
        <f t="shared" si="5"/>
        <v>CV</v>
      </c>
      <c r="J82">
        <f t="shared" ca="1" si="6"/>
        <v>1</v>
      </c>
      <c r="K82">
        <f t="shared" ca="1" si="7"/>
        <v>2</v>
      </c>
      <c r="L82">
        <f t="shared" ca="1" si="8"/>
        <v>13</v>
      </c>
      <c r="M82">
        <f t="shared" ca="1" si="9"/>
        <v>1</v>
      </c>
    </row>
    <row r="83" spans="1:13" x14ac:dyDescent="0.3">
      <c r="A83">
        <v>75</v>
      </c>
      <c r="B83" t="s">
        <v>108</v>
      </c>
      <c r="C83">
        <v>18</v>
      </c>
      <c r="D83">
        <v>2</v>
      </c>
      <c r="E83">
        <v>2</v>
      </c>
      <c r="F83">
        <v>2</v>
      </c>
      <c r="H83">
        <v>75</v>
      </c>
      <c r="I83" t="str">
        <f t="shared" si="5"/>
        <v>CW</v>
      </c>
      <c r="J83">
        <f t="shared" ca="1" si="6"/>
        <v>5642</v>
      </c>
      <c r="K83">
        <f t="shared" ca="1" si="7"/>
        <v>5</v>
      </c>
      <c r="L83">
        <f t="shared" ca="1" si="8"/>
        <v>14</v>
      </c>
      <c r="M83">
        <f t="shared" ca="1" si="9"/>
        <v>7</v>
      </c>
    </row>
    <row r="84" spans="1:13" x14ac:dyDescent="0.3">
      <c r="A84">
        <v>76</v>
      </c>
      <c r="B84" t="s">
        <v>109</v>
      </c>
      <c r="C84">
        <v>1583</v>
      </c>
      <c r="D84">
        <v>3</v>
      </c>
      <c r="E84">
        <v>8</v>
      </c>
      <c r="F84">
        <v>6</v>
      </c>
      <c r="H84">
        <v>76</v>
      </c>
      <c r="I84" t="str">
        <f t="shared" si="5"/>
        <v>CX</v>
      </c>
      <c r="J84">
        <f t="shared" ca="1" si="6"/>
        <v>19</v>
      </c>
      <c r="K84">
        <f t="shared" ca="1" si="7"/>
        <v>3</v>
      </c>
      <c r="L84">
        <f t="shared" ca="1" si="8"/>
        <v>4</v>
      </c>
      <c r="M84">
        <f t="shared" ca="1" si="9"/>
        <v>2</v>
      </c>
    </row>
    <row r="85" spans="1:13" x14ac:dyDescent="0.3">
      <c r="A85">
        <v>77</v>
      </c>
      <c r="B85" t="s">
        <v>110</v>
      </c>
      <c r="C85">
        <v>8601</v>
      </c>
      <c r="D85">
        <v>3</v>
      </c>
      <c r="E85">
        <v>17</v>
      </c>
      <c r="F85">
        <v>7</v>
      </c>
      <c r="H85">
        <v>77</v>
      </c>
      <c r="I85" t="str">
        <f t="shared" si="5"/>
        <v>CY</v>
      </c>
      <c r="J85">
        <f t="shared" ca="1" si="6"/>
        <v>6361</v>
      </c>
      <c r="K85">
        <f t="shared" ca="1" si="7"/>
        <v>1</v>
      </c>
      <c r="L85">
        <f t="shared" ca="1" si="8"/>
        <v>2</v>
      </c>
      <c r="M85">
        <f t="shared" ca="1" si="9"/>
        <v>7</v>
      </c>
    </row>
    <row r="86" spans="1:13" x14ac:dyDescent="0.3">
      <c r="A86">
        <v>78</v>
      </c>
      <c r="B86" t="s">
        <v>111</v>
      </c>
      <c r="C86">
        <v>60</v>
      </c>
      <c r="D86">
        <v>2</v>
      </c>
      <c r="E86">
        <v>3</v>
      </c>
      <c r="F86">
        <v>3</v>
      </c>
      <c r="H86">
        <v>78</v>
      </c>
      <c r="I86" t="str">
        <f t="shared" si="5"/>
        <v>CZ</v>
      </c>
      <c r="J86">
        <f t="shared" ca="1" si="6"/>
        <v>7976</v>
      </c>
      <c r="K86">
        <f t="shared" ca="1" si="7"/>
        <v>4</v>
      </c>
      <c r="L86">
        <f t="shared" ca="1" si="8"/>
        <v>14</v>
      </c>
      <c r="M86">
        <f t="shared" ca="1" si="9"/>
        <v>7</v>
      </c>
    </row>
    <row r="87" spans="1:13" x14ac:dyDescent="0.3">
      <c r="A87">
        <v>79</v>
      </c>
      <c r="B87" t="s">
        <v>112</v>
      </c>
      <c r="C87">
        <v>618</v>
      </c>
      <c r="D87">
        <v>2</v>
      </c>
      <c r="E87">
        <v>1</v>
      </c>
      <c r="F87">
        <v>5</v>
      </c>
      <c r="H87">
        <v>79</v>
      </c>
      <c r="I87" t="str">
        <f t="shared" si="5"/>
        <v>DA</v>
      </c>
      <c r="J87">
        <f t="shared" ca="1" si="6"/>
        <v>11272</v>
      </c>
      <c r="K87">
        <f t="shared" ca="1" si="7"/>
        <v>4</v>
      </c>
      <c r="L87">
        <f t="shared" ca="1" si="8"/>
        <v>1</v>
      </c>
      <c r="M87">
        <f t="shared" ca="1" si="9"/>
        <v>8</v>
      </c>
    </row>
    <row r="88" spans="1:13" x14ac:dyDescent="0.3">
      <c r="A88">
        <v>80</v>
      </c>
      <c r="B88" t="s">
        <v>113</v>
      </c>
      <c r="C88">
        <v>7612</v>
      </c>
      <c r="D88">
        <v>4</v>
      </c>
      <c r="E88">
        <v>9</v>
      </c>
      <c r="F88">
        <v>7</v>
      </c>
      <c r="H88">
        <v>80</v>
      </c>
      <c r="I88" t="str">
        <f t="shared" si="5"/>
        <v>DB</v>
      </c>
      <c r="J88">
        <f t="shared" ca="1" si="6"/>
        <v>189</v>
      </c>
      <c r="K88">
        <f t="shared" ca="1" si="7"/>
        <v>3</v>
      </c>
      <c r="L88">
        <f t="shared" ca="1" si="8"/>
        <v>1</v>
      </c>
      <c r="M88">
        <f t="shared" ca="1" si="9"/>
        <v>4</v>
      </c>
    </row>
    <row r="89" spans="1:13" x14ac:dyDescent="0.3">
      <c r="A89">
        <v>81</v>
      </c>
      <c r="B89" t="s">
        <v>114</v>
      </c>
      <c r="C89">
        <v>2</v>
      </c>
      <c r="D89">
        <v>4</v>
      </c>
      <c r="E89">
        <v>10</v>
      </c>
      <c r="F89">
        <v>1</v>
      </c>
      <c r="H89">
        <v>81</v>
      </c>
      <c r="I89" t="str">
        <f t="shared" si="5"/>
        <v>DC</v>
      </c>
      <c r="J89">
        <f t="shared" ca="1" si="6"/>
        <v>205</v>
      </c>
      <c r="K89">
        <f t="shared" ca="1" si="7"/>
        <v>3</v>
      </c>
      <c r="L89">
        <f t="shared" ca="1" si="8"/>
        <v>16</v>
      </c>
      <c r="M89">
        <f t="shared" ca="1" si="9"/>
        <v>4</v>
      </c>
    </row>
    <row r="90" spans="1:13" x14ac:dyDescent="0.3">
      <c r="A90">
        <v>82</v>
      </c>
      <c r="B90" t="s">
        <v>115</v>
      </c>
      <c r="C90">
        <v>1</v>
      </c>
      <c r="D90">
        <v>2</v>
      </c>
      <c r="E90">
        <v>3</v>
      </c>
      <c r="F90">
        <v>1</v>
      </c>
      <c r="H90">
        <v>82</v>
      </c>
      <c r="I90" t="str">
        <f t="shared" si="5"/>
        <v>DD</v>
      </c>
      <c r="J90">
        <f t="shared" ca="1" si="6"/>
        <v>6</v>
      </c>
      <c r="K90">
        <f t="shared" ca="1" si="7"/>
        <v>4</v>
      </c>
      <c r="L90">
        <f t="shared" ca="1" si="8"/>
        <v>5</v>
      </c>
      <c r="M90">
        <f t="shared" ca="1" si="9"/>
        <v>1</v>
      </c>
    </row>
    <row r="91" spans="1:13" x14ac:dyDescent="0.3">
      <c r="A91">
        <v>83</v>
      </c>
      <c r="B91" t="s">
        <v>116</v>
      </c>
      <c r="C91">
        <v>36</v>
      </c>
      <c r="D91">
        <v>5</v>
      </c>
      <c r="E91">
        <v>1</v>
      </c>
      <c r="F91">
        <v>2</v>
      </c>
      <c r="H91">
        <v>83</v>
      </c>
      <c r="I91" t="str">
        <f t="shared" si="5"/>
        <v>DE</v>
      </c>
      <c r="J91">
        <f t="shared" ca="1" si="6"/>
        <v>233</v>
      </c>
      <c r="K91">
        <f t="shared" ca="1" si="7"/>
        <v>2</v>
      </c>
      <c r="L91">
        <f t="shared" ca="1" si="8"/>
        <v>5</v>
      </c>
      <c r="M91">
        <f t="shared" ca="1" si="9"/>
        <v>4</v>
      </c>
    </row>
    <row r="92" spans="1:13" x14ac:dyDescent="0.3">
      <c r="A92">
        <v>84</v>
      </c>
      <c r="B92" t="s">
        <v>117</v>
      </c>
      <c r="C92">
        <v>1373</v>
      </c>
      <c r="D92">
        <v>5</v>
      </c>
      <c r="E92">
        <v>12</v>
      </c>
      <c r="F92">
        <v>6</v>
      </c>
      <c r="H92">
        <v>84</v>
      </c>
      <c r="I92" t="str">
        <f t="shared" si="5"/>
        <v>DF</v>
      </c>
      <c r="J92">
        <f t="shared" ca="1" si="6"/>
        <v>864</v>
      </c>
      <c r="K92">
        <f t="shared" ca="1" si="7"/>
        <v>3</v>
      </c>
      <c r="L92">
        <f t="shared" ca="1" si="8"/>
        <v>10</v>
      </c>
      <c r="M92">
        <f t="shared" ca="1" si="9"/>
        <v>5</v>
      </c>
    </row>
    <row r="93" spans="1:13" x14ac:dyDescent="0.3">
      <c r="A93">
        <v>85</v>
      </c>
      <c r="B93" t="s">
        <v>118</v>
      </c>
      <c r="C93">
        <v>5</v>
      </c>
      <c r="D93">
        <v>5</v>
      </c>
      <c r="E93">
        <v>17</v>
      </c>
      <c r="F93">
        <v>1</v>
      </c>
      <c r="H93">
        <v>85</v>
      </c>
      <c r="I93" t="str">
        <f t="shared" si="5"/>
        <v>DG</v>
      </c>
      <c r="J93">
        <f t="shared" ca="1" si="6"/>
        <v>16</v>
      </c>
      <c r="K93">
        <f t="shared" ca="1" si="7"/>
        <v>3</v>
      </c>
      <c r="L93">
        <f t="shared" ca="1" si="8"/>
        <v>1</v>
      </c>
      <c r="M93">
        <f t="shared" ca="1" si="9"/>
        <v>2</v>
      </c>
    </row>
    <row r="94" spans="1:13" x14ac:dyDescent="0.3">
      <c r="A94">
        <v>86</v>
      </c>
      <c r="B94" t="s">
        <v>119</v>
      </c>
      <c r="C94">
        <v>1407</v>
      </c>
      <c r="D94">
        <v>5</v>
      </c>
      <c r="E94">
        <v>19</v>
      </c>
      <c r="F94">
        <v>6</v>
      </c>
      <c r="H94">
        <v>86</v>
      </c>
      <c r="I94" t="str">
        <f t="shared" si="5"/>
        <v>DH</v>
      </c>
      <c r="J94">
        <f t="shared" ca="1" si="6"/>
        <v>20</v>
      </c>
      <c r="K94">
        <f t="shared" ca="1" si="7"/>
        <v>3</v>
      </c>
      <c r="L94">
        <f t="shared" ca="1" si="8"/>
        <v>17</v>
      </c>
      <c r="M94">
        <f t="shared" ca="1" si="9"/>
        <v>2</v>
      </c>
    </row>
    <row r="95" spans="1:13" x14ac:dyDescent="0.3">
      <c r="A95">
        <v>87</v>
      </c>
      <c r="B95" t="s">
        <v>120</v>
      </c>
      <c r="C95">
        <v>1</v>
      </c>
      <c r="D95">
        <v>5</v>
      </c>
      <c r="E95">
        <v>17</v>
      </c>
      <c r="F95">
        <v>1</v>
      </c>
      <c r="H95">
        <v>87</v>
      </c>
      <c r="I95" t="str">
        <f t="shared" si="5"/>
        <v>DI</v>
      </c>
      <c r="J95">
        <f t="shared" ca="1" si="6"/>
        <v>364</v>
      </c>
      <c r="K95">
        <f t="shared" ca="1" si="7"/>
        <v>3</v>
      </c>
      <c r="L95">
        <f t="shared" ca="1" si="8"/>
        <v>1</v>
      </c>
      <c r="M95">
        <f t="shared" ca="1" si="9"/>
        <v>4</v>
      </c>
    </row>
    <row r="96" spans="1:13" x14ac:dyDescent="0.3">
      <c r="A96">
        <v>88</v>
      </c>
      <c r="B96" t="s">
        <v>121</v>
      </c>
      <c r="C96">
        <v>179</v>
      </c>
      <c r="D96">
        <v>5</v>
      </c>
      <c r="E96">
        <v>1</v>
      </c>
      <c r="F96">
        <v>4</v>
      </c>
      <c r="H96">
        <v>88</v>
      </c>
      <c r="I96" t="str">
        <f t="shared" si="5"/>
        <v>DJ</v>
      </c>
      <c r="J96">
        <f t="shared" ca="1" si="6"/>
        <v>2601</v>
      </c>
      <c r="K96">
        <f t="shared" ca="1" si="7"/>
        <v>3</v>
      </c>
      <c r="L96">
        <f t="shared" ca="1" si="8"/>
        <v>1</v>
      </c>
      <c r="M96">
        <f t="shared" ca="1" si="9"/>
        <v>6</v>
      </c>
    </row>
    <row r="97" spans="1:13" x14ac:dyDescent="0.3">
      <c r="A97">
        <v>89</v>
      </c>
      <c r="B97" t="s">
        <v>122</v>
      </c>
      <c r="C97">
        <v>61</v>
      </c>
      <c r="D97">
        <v>4</v>
      </c>
      <c r="E97">
        <v>17</v>
      </c>
      <c r="F97">
        <v>3</v>
      </c>
      <c r="H97">
        <v>89</v>
      </c>
      <c r="I97" t="str">
        <f t="shared" si="5"/>
        <v>DK</v>
      </c>
      <c r="J97">
        <f t="shared" ca="1" si="6"/>
        <v>1</v>
      </c>
      <c r="K97">
        <f t="shared" ca="1" si="7"/>
        <v>5</v>
      </c>
      <c r="L97">
        <f t="shared" ca="1" si="8"/>
        <v>16</v>
      </c>
      <c r="M97">
        <f t="shared" ca="1" si="9"/>
        <v>1</v>
      </c>
    </row>
    <row r="98" spans="1:13" x14ac:dyDescent="0.3">
      <c r="A98">
        <v>90</v>
      </c>
      <c r="B98" t="s">
        <v>123</v>
      </c>
      <c r="C98">
        <v>5</v>
      </c>
      <c r="D98">
        <v>1</v>
      </c>
      <c r="E98">
        <v>10</v>
      </c>
      <c r="F98">
        <v>1</v>
      </c>
      <c r="H98">
        <v>90</v>
      </c>
      <c r="I98" t="str">
        <f t="shared" si="5"/>
        <v>DL</v>
      </c>
      <c r="J98">
        <f t="shared" ca="1" si="6"/>
        <v>451</v>
      </c>
      <c r="K98">
        <f t="shared" ca="1" si="7"/>
        <v>5</v>
      </c>
      <c r="L98">
        <f t="shared" ca="1" si="8"/>
        <v>9</v>
      </c>
      <c r="M98">
        <f t="shared" ca="1" si="9"/>
        <v>4</v>
      </c>
    </row>
    <row r="99" spans="1:13" x14ac:dyDescent="0.3">
      <c r="A99">
        <v>91</v>
      </c>
      <c r="B99" t="s">
        <v>124</v>
      </c>
      <c r="C99">
        <v>5</v>
      </c>
      <c r="D99">
        <v>1</v>
      </c>
      <c r="E99">
        <v>17</v>
      </c>
      <c r="F99">
        <v>1</v>
      </c>
      <c r="H99">
        <v>91</v>
      </c>
      <c r="I99" t="str">
        <f t="shared" si="5"/>
        <v>DM</v>
      </c>
      <c r="J99">
        <f t="shared" ca="1" si="6"/>
        <v>81</v>
      </c>
      <c r="K99">
        <f t="shared" ca="1" si="7"/>
        <v>4</v>
      </c>
      <c r="L99">
        <f t="shared" ca="1" si="8"/>
        <v>17</v>
      </c>
      <c r="M99">
        <f t="shared" ca="1" si="9"/>
        <v>3</v>
      </c>
    </row>
    <row r="100" spans="1:13" x14ac:dyDescent="0.3">
      <c r="A100">
        <v>92</v>
      </c>
      <c r="B100" t="s">
        <v>125</v>
      </c>
      <c r="C100">
        <v>222</v>
      </c>
      <c r="D100">
        <v>2</v>
      </c>
      <c r="E100">
        <v>10</v>
      </c>
      <c r="F100">
        <v>4</v>
      </c>
      <c r="H100">
        <v>92</v>
      </c>
      <c r="I100" t="str">
        <f t="shared" si="5"/>
        <v>DN</v>
      </c>
      <c r="J100">
        <f t="shared" ca="1" si="6"/>
        <v>3449</v>
      </c>
      <c r="K100">
        <f t="shared" ca="1" si="7"/>
        <v>5</v>
      </c>
      <c r="L100">
        <f t="shared" ca="1" si="8"/>
        <v>5</v>
      </c>
      <c r="M100">
        <f t="shared" ca="1" si="9"/>
        <v>6</v>
      </c>
    </row>
    <row r="101" spans="1:13" x14ac:dyDescent="0.3">
      <c r="A101">
        <v>93</v>
      </c>
      <c r="B101" t="s">
        <v>126</v>
      </c>
      <c r="C101">
        <v>11</v>
      </c>
      <c r="D101">
        <v>4</v>
      </c>
      <c r="E101">
        <v>1</v>
      </c>
      <c r="F101">
        <v>2</v>
      </c>
      <c r="H101">
        <v>93</v>
      </c>
      <c r="I101" t="str">
        <f t="shared" si="5"/>
        <v>DO</v>
      </c>
      <c r="J101">
        <f t="shared" ca="1" si="6"/>
        <v>6464</v>
      </c>
      <c r="K101">
        <f t="shared" ca="1" si="7"/>
        <v>3</v>
      </c>
      <c r="L101">
        <f t="shared" ca="1" si="8"/>
        <v>1</v>
      </c>
      <c r="M101">
        <f t="shared" ca="1" si="9"/>
        <v>7</v>
      </c>
    </row>
    <row r="102" spans="1:13" x14ac:dyDescent="0.3">
      <c r="A102">
        <v>94</v>
      </c>
      <c r="B102" t="s">
        <v>127</v>
      </c>
      <c r="C102">
        <v>68</v>
      </c>
      <c r="D102">
        <v>4</v>
      </c>
      <c r="E102">
        <v>15</v>
      </c>
      <c r="F102">
        <v>3</v>
      </c>
      <c r="H102">
        <v>94</v>
      </c>
      <c r="I102" t="str">
        <f t="shared" si="5"/>
        <v>DP</v>
      </c>
      <c r="J102">
        <f t="shared" ca="1" si="6"/>
        <v>13456</v>
      </c>
      <c r="K102">
        <f t="shared" ca="1" si="7"/>
        <v>3</v>
      </c>
      <c r="L102">
        <f t="shared" ca="1" si="8"/>
        <v>15</v>
      </c>
      <c r="M102">
        <f t="shared" ca="1" si="9"/>
        <v>8</v>
      </c>
    </row>
    <row r="103" spans="1:13" x14ac:dyDescent="0.3">
      <c r="A103">
        <v>95</v>
      </c>
      <c r="B103" t="s">
        <v>128</v>
      </c>
      <c r="C103">
        <v>11</v>
      </c>
      <c r="D103">
        <v>4</v>
      </c>
      <c r="E103">
        <v>7</v>
      </c>
      <c r="F103">
        <v>2</v>
      </c>
      <c r="H103">
        <v>95</v>
      </c>
      <c r="I103" t="str">
        <f t="shared" si="5"/>
        <v>DQ</v>
      </c>
      <c r="J103">
        <f t="shared" ca="1" si="6"/>
        <v>52</v>
      </c>
      <c r="K103">
        <f t="shared" ca="1" si="7"/>
        <v>4</v>
      </c>
      <c r="L103">
        <f t="shared" ca="1" si="8"/>
        <v>20</v>
      </c>
      <c r="M103">
        <f t="shared" ca="1" si="9"/>
        <v>3</v>
      </c>
    </row>
    <row r="104" spans="1:13" x14ac:dyDescent="0.3">
      <c r="A104">
        <v>96</v>
      </c>
      <c r="B104" t="s">
        <v>129</v>
      </c>
      <c r="C104">
        <v>392</v>
      </c>
      <c r="D104">
        <v>3</v>
      </c>
      <c r="E104">
        <v>1</v>
      </c>
      <c r="F104">
        <v>4</v>
      </c>
      <c r="H104">
        <v>96</v>
      </c>
      <c r="I104" t="str">
        <f t="shared" si="5"/>
        <v>DR</v>
      </c>
      <c r="J104">
        <f t="shared" ca="1" si="6"/>
        <v>595</v>
      </c>
      <c r="K104">
        <f t="shared" ca="1" si="7"/>
        <v>3</v>
      </c>
      <c r="L104">
        <f t="shared" ca="1" si="8"/>
        <v>3</v>
      </c>
      <c r="M104">
        <f t="shared" ca="1" si="9"/>
        <v>5</v>
      </c>
    </row>
    <row r="105" spans="1:13" x14ac:dyDescent="0.3">
      <c r="A105">
        <v>97</v>
      </c>
      <c r="B105" t="s">
        <v>130</v>
      </c>
      <c r="C105">
        <v>5813</v>
      </c>
      <c r="D105">
        <v>2</v>
      </c>
      <c r="E105">
        <v>18</v>
      </c>
      <c r="F105">
        <v>7</v>
      </c>
      <c r="H105">
        <v>97</v>
      </c>
      <c r="I105" t="str">
        <f t="shared" si="5"/>
        <v>DS</v>
      </c>
      <c r="J105">
        <f t="shared" ca="1" si="6"/>
        <v>7494</v>
      </c>
      <c r="K105">
        <f t="shared" ca="1" si="7"/>
        <v>5</v>
      </c>
      <c r="L105">
        <f t="shared" ca="1" si="8"/>
        <v>1</v>
      </c>
      <c r="M105">
        <f t="shared" ca="1" si="9"/>
        <v>7</v>
      </c>
    </row>
    <row r="106" spans="1:13" x14ac:dyDescent="0.3">
      <c r="A106">
        <v>98</v>
      </c>
      <c r="B106" t="s">
        <v>131</v>
      </c>
      <c r="C106">
        <v>9</v>
      </c>
      <c r="D106">
        <v>3</v>
      </c>
      <c r="E106">
        <v>18</v>
      </c>
      <c r="F106">
        <v>1</v>
      </c>
      <c r="H106">
        <v>98</v>
      </c>
      <c r="I106" t="str">
        <f t="shared" si="5"/>
        <v>DT</v>
      </c>
      <c r="J106">
        <f t="shared" ca="1" si="6"/>
        <v>1</v>
      </c>
      <c r="K106">
        <f t="shared" ca="1" si="7"/>
        <v>5</v>
      </c>
      <c r="L106">
        <f t="shared" ca="1" si="8"/>
        <v>1</v>
      </c>
      <c r="M106">
        <f t="shared" ca="1" si="9"/>
        <v>1</v>
      </c>
    </row>
    <row r="107" spans="1:13" x14ac:dyDescent="0.3">
      <c r="A107">
        <v>99</v>
      </c>
      <c r="B107" t="s">
        <v>132</v>
      </c>
      <c r="C107">
        <v>5270</v>
      </c>
      <c r="D107">
        <v>4</v>
      </c>
      <c r="E107">
        <v>8</v>
      </c>
      <c r="F107">
        <v>7</v>
      </c>
      <c r="H107">
        <v>99</v>
      </c>
      <c r="I107" t="str">
        <f t="shared" si="5"/>
        <v>DU</v>
      </c>
      <c r="J107">
        <f t="shared" ca="1" si="6"/>
        <v>4</v>
      </c>
      <c r="K107">
        <f t="shared" ca="1" si="7"/>
        <v>2</v>
      </c>
      <c r="L107">
        <f t="shared" ca="1" si="8"/>
        <v>1</v>
      </c>
      <c r="M107">
        <f t="shared" ca="1" si="9"/>
        <v>1</v>
      </c>
    </row>
    <row r="108" spans="1:13" x14ac:dyDescent="0.3">
      <c r="A108">
        <v>100</v>
      </c>
      <c r="B108" t="s">
        <v>133</v>
      </c>
      <c r="C108">
        <v>9786</v>
      </c>
      <c r="D108">
        <v>4</v>
      </c>
      <c r="E108">
        <v>3</v>
      </c>
      <c r="F108">
        <v>7</v>
      </c>
      <c r="H108">
        <v>100</v>
      </c>
      <c r="I108" t="str">
        <f t="shared" si="5"/>
        <v>DV</v>
      </c>
      <c r="J108">
        <f t="shared" ca="1" si="6"/>
        <v>9</v>
      </c>
      <c r="K108">
        <f t="shared" ca="1" si="7"/>
        <v>5</v>
      </c>
      <c r="L108">
        <f t="shared" ca="1" si="8"/>
        <v>19</v>
      </c>
      <c r="M108">
        <f t="shared" ca="1" si="9"/>
        <v>1</v>
      </c>
    </row>
    <row r="109" spans="1:13" x14ac:dyDescent="0.3">
      <c r="A109">
        <v>101</v>
      </c>
      <c r="B109" t="s">
        <v>134</v>
      </c>
      <c r="C109">
        <v>1</v>
      </c>
      <c r="D109">
        <v>4</v>
      </c>
      <c r="E109">
        <v>11</v>
      </c>
      <c r="F109">
        <v>1</v>
      </c>
      <c r="H109">
        <v>101</v>
      </c>
      <c r="I109" t="str">
        <f t="shared" si="5"/>
        <v>DW</v>
      </c>
      <c r="J109">
        <f t="shared" ca="1" si="6"/>
        <v>8</v>
      </c>
      <c r="K109">
        <f t="shared" ca="1" si="7"/>
        <v>4</v>
      </c>
      <c r="L109">
        <f t="shared" ca="1" si="8"/>
        <v>2</v>
      </c>
      <c r="M109">
        <f t="shared" ca="1" si="9"/>
        <v>1</v>
      </c>
    </row>
    <row r="110" spans="1:13" x14ac:dyDescent="0.3">
      <c r="A110">
        <v>102</v>
      </c>
      <c r="B110" t="s">
        <v>135</v>
      </c>
      <c r="C110">
        <v>1</v>
      </c>
      <c r="D110">
        <v>2</v>
      </c>
      <c r="E110">
        <v>3</v>
      </c>
      <c r="F110">
        <v>1</v>
      </c>
      <c r="H110">
        <v>102</v>
      </c>
      <c r="I110" t="str">
        <f t="shared" si="5"/>
        <v>DX</v>
      </c>
      <c r="J110">
        <f t="shared" ca="1" si="6"/>
        <v>12</v>
      </c>
      <c r="K110">
        <f t="shared" ca="1" si="7"/>
        <v>3</v>
      </c>
      <c r="L110">
        <f t="shared" ca="1" si="8"/>
        <v>1</v>
      </c>
      <c r="M110">
        <f t="shared" ca="1" si="9"/>
        <v>2</v>
      </c>
    </row>
    <row r="111" spans="1:13" x14ac:dyDescent="0.3">
      <c r="A111">
        <v>103</v>
      </c>
      <c r="B111" t="s">
        <v>136</v>
      </c>
      <c r="C111">
        <v>3</v>
      </c>
      <c r="D111">
        <v>4</v>
      </c>
      <c r="E111">
        <v>2</v>
      </c>
      <c r="F111">
        <v>1</v>
      </c>
      <c r="H111">
        <v>103</v>
      </c>
      <c r="I111" t="str">
        <f t="shared" si="5"/>
        <v>DY</v>
      </c>
      <c r="J111">
        <f t="shared" ca="1" si="6"/>
        <v>7</v>
      </c>
      <c r="K111">
        <f t="shared" ca="1" si="7"/>
        <v>3</v>
      </c>
      <c r="L111">
        <f t="shared" ca="1" si="8"/>
        <v>3</v>
      </c>
      <c r="M111">
        <f t="shared" ca="1" si="9"/>
        <v>1</v>
      </c>
    </row>
    <row r="112" spans="1:13" x14ac:dyDescent="0.3">
      <c r="A112">
        <v>104</v>
      </c>
      <c r="B112" t="s">
        <v>137</v>
      </c>
      <c r="C112">
        <v>538</v>
      </c>
      <c r="D112">
        <v>5</v>
      </c>
      <c r="E112">
        <v>7</v>
      </c>
      <c r="F112">
        <v>5</v>
      </c>
      <c r="H112">
        <v>104</v>
      </c>
      <c r="I112" t="str">
        <f t="shared" si="5"/>
        <v>DZ</v>
      </c>
      <c r="J112">
        <f t="shared" ca="1" si="6"/>
        <v>19</v>
      </c>
      <c r="K112">
        <f t="shared" ca="1" si="7"/>
        <v>4</v>
      </c>
      <c r="L112">
        <f t="shared" ca="1" si="8"/>
        <v>10</v>
      </c>
      <c r="M112">
        <f t="shared" ca="1" si="9"/>
        <v>2</v>
      </c>
    </row>
    <row r="113" spans="1:13" x14ac:dyDescent="0.3">
      <c r="A113">
        <v>105</v>
      </c>
      <c r="B113" t="s">
        <v>138</v>
      </c>
      <c r="C113">
        <v>5</v>
      </c>
      <c r="D113">
        <v>3</v>
      </c>
      <c r="E113">
        <v>5</v>
      </c>
      <c r="F113">
        <v>1</v>
      </c>
      <c r="H113">
        <v>105</v>
      </c>
      <c r="I113" t="str">
        <f t="shared" si="5"/>
        <v>EA</v>
      </c>
      <c r="J113">
        <f t="shared" ca="1" si="6"/>
        <v>6284</v>
      </c>
      <c r="K113">
        <f t="shared" ca="1" si="7"/>
        <v>4</v>
      </c>
      <c r="L113">
        <f t="shared" ca="1" si="8"/>
        <v>1</v>
      </c>
      <c r="M113">
        <f t="shared" ca="1" si="9"/>
        <v>7</v>
      </c>
    </row>
    <row r="114" spans="1:13" x14ac:dyDescent="0.3">
      <c r="A114">
        <v>106</v>
      </c>
      <c r="B114" t="s">
        <v>139</v>
      </c>
      <c r="C114">
        <v>343</v>
      </c>
      <c r="D114">
        <v>3</v>
      </c>
      <c r="E114">
        <v>6</v>
      </c>
      <c r="F114">
        <v>4</v>
      </c>
      <c r="H114">
        <v>106</v>
      </c>
      <c r="I114" t="str">
        <f t="shared" si="5"/>
        <v>EB</v>
      </c>
      <c r="J114">
        <f t="shared" ca="1" si="6"/>
        <v>2284</v>
      </c>
      <c r="K114">
        <f t="shared" ca="1" si="7"/>
        <v>3</v>
      </c>
      <c r="L114">
        <f t="shared" ca="1" si="8"/>
        <v>2</v>
      </c>
      <c r="M114">
        <f t="shared" ca="1" si="9"/>
        <v>6</v>
      </c>
    </row>
    <row r="115" spans="1:13" x14ac:dyDescent="0.3">
      <c r="A115">
        <v>107</v>
      </c>
      <c r="B115" t="s">
        <v>140</v>
      </c>
      <c r="C115">
        <v>286</v>
      </c>
      <c r="D115">
        <v>3</v>
      </c>
      <c r="E115">
        <v>3</v>
      </c>
      <c r="F115">
        <v>4</v>
      </c>
      <c r="H115">
        <v>107</v>
      </c>
      <c r="I115" t="str">
        <f t="shared" si="5"/>
        <v>EC</v>
      </c>
      <c r="J115">
        <f t="shared" ca="1" si="6"/>
        <v>5257</v>
      </c>
      <c r="K115">
        <f t="shared" ca="1" si="7"/>
        <v>2</v>
      </c>
      <c r="L115">
        <f t="shared" ca="1" si="8"/>
        <v>13</v>
      </c>
      <c r="M115">
        <f t="shared" ca="1" si="9"/>
        <v>7</v>
      </c>
    </row>
    <row r="116" spans="1:13" x14ac:dyDescent="0.3">
      <c r="A116">
        <v>108</v>
      </c>
      <c r="B116" t="s">
        <v>141</v>
      </c>
      <c r="C116">
        <v>13</v>
      </c>
      <c r="D116">
        <v>4</v>
      </c>
      <c r="E116">
        <v>12</v>
      </c>
      <c r="F116">
        <v>2</v>
      </c>
      <c r="H116">
        <v>108</v>
      </c>
      <c r="I116" t="str">
        <f t="shared" si="5"/>
        <v>ED</v>
      </c>
      <c r="J116">
        <f t="shared" ca="1" si="6"/>
        <v>20439</v>
      </c>
      <c r="K116">
        <f t="shared" ca="1" si="7"/>
        <v>2</v>
      </c>
      <c r="L116">
        <f t="shared" ca="1" si="8"/>
        <v>6</v>
      </c>
      <c r="M116">
        <f t="shared" ca="1" si="9"/>
        <v>8</v>
      </c>
    </row>
    <row r="117" spans="1:13" x14ac:dyDescent="0.3">
      <c r="A117">
        <v>109</v>
      </c>
      <c r="B117" t="s">
        <v>142</v>
      </c>
      <c r="C117">
        <v>1</v>
      </c>
      <c r="D117">
        <v>3</v>
      </c>
      <c r="E117">
        <v>3</v>
      </c>
      <c r="F117">
        <v>1</v>
      </c>
      <c r="H117">
        <v>109</v>
      </c>
      <c r="I117" t="str">
        <f t="shared" si="5"/>
        <v>EE</v>
      </c>
      <c r="J117">
        <f t="shared" ca="1" si="6"/>
        <v>17881</v>
      </c>
      <c r="K117">
        <f t="shared" ca="1" si="7"/>
        <v>4</v>
      </c>
      <c r="L117">
        <f t="shared" ca="1" si="8"/>
        <v>10</v>
      </c>
      <c r="M117">
        <f t="shared" ca="1" si="9"/>
        <v>8</v>
      </c>
    </row>
    <row r="118" spans="1:13" x14ac:dyDescent="0.3">
      <c r="A118">
        <v>110</v>
      </c>
      <c r="B118" t="s">
        <v>143</v>
      </c>
      <c r="C118">
        <v>12</v>
      </c>
      <c r="D118">
        <v>5</v>
      </c>
      <c r="E118">
        <v>5</v>
      </c>
      <c r="F118">
        <v>2</v>
      </c>
      <c r="H118">
        <v>110</v>
      </c>
      <c r="I118" t="str">
        <f t="shared" si="5"/>
        <v>EF</v>
      </c>
      <c r="J118">
        <f t="shared" ca="1" si="6"/>
        <v>1552</v>
      </c>
      <c r="K118">
        <f t="shared" ca="1" si="7"/>
        <v>3</v>
      </c>
      <c r="L118">
        <f t="shared" ca="1" si="8"/>
        <v>7</v>
      </c>
      <c r="M118">
        <f t="shared" ca="1" si="9"/>
        <v>6</v>
      </c>
    </row>
    <row r="119" spans="1:13" x14ac:dyDescent="0.3">
      <c r="A119">
        <v>111</v>
      </c>
      <c r="B119" t="s">
        <v>144</v>
      </c>
      <c r="C119">
        <v>263</v>
      </c>
      <c r="D119">
        <v>5</v>
      </c>
      <c r="E119">
        <v>6</v>
      </c>
      <c r="F119">
        <v>4</v>
      </c>
      <c r="H119">
        <v>111</v>
      </c>
      <c r="I119" t="str">
        <f t="shared" si="5"/>
        <v>EG</v>
      </c>
      <c r="J119">
        <f t="shared" ca="1" si="6"/>
        <v>578</v>
      </c>
      <c r="K119">
        <f t="shared" ca="1" si="7"/>
        <v>5</v>
      </c>
      <c r="L119">
        <f t="shared" ca="1" si="8"/>
        <v>9</v>
      </c>
      <c r="M119">
        <f t="shared" ca="1" si="9"/>
        <v>5</v>
      </c>
    </row>
    <row r="120" spans="1:13" x14ac:dyDescent="0.3">
      <c r="A120">
        <v>112</v>
      </c>
      <c r="B120" t="s">
        <v>145</v>
      </c>
      <c r="C120">
        <v>4</v>
      </c>
      <c r="D120">
        <v>2</v>
      </c>
      <c r="E120">
        <v>3</v>
      </c>
      <c r="F120">
        <v>1</v>
      </c>
      <c r="H120">
        <v>112</v>
      </c>
      <c r="I120" t="str">
        <f t="shared" si="5"/>
        <v>EH</v>
      </c>
      <c r="J120">
        <f t="shared" ca="1" si="6"/>
        <v>2</v>
      </c>
      <c r="K120">
        <f t="shared" ca="1" si="7"/>
        <v>2</v>
      </c>
      <c r="L120">
        <f t="shared" ca="1" si="8"/>
        <v>15</v>
      </c>
      <c r="M120">
        <f t="shared" ca="1" si="9"/>
        <v>1</v>
      </c>
    </row>
    <row r="121" spans="1:13" x14ac:dyDescent="0.3">
      <c r="A121">
        <v>113</v>
      </c>
      <c r="B121" t="s">
        <v>146</v>
      </c>
      <c r="C121">
        <v>2684</v>
      </c>
      <c r="D121">
        <v>2</v>
      </c>
      <c r="E121">
        <v>1</v>
      </c>
      <c r="F121">
        <v>6</v>
      </c>
      <c r="H121">
        <v>113</v>
      </c>
      <c r="I121" t="str">
        <f t="shared" si="5"/>
        <v>EI</v>
      </c>
      <c r="J121">
        <f t="shared" ca="1" si="6"/>
        <v>8664</v>
      </c>
      <c r="K121">
        <f t="shared" ca="1" si="7"/>
        <v>5</v>
      </c>
      <c r="L121">
        <f t="shared" ca="1" si="8"/>
        <v>11</v>
      </c>
      <c r="M121">
        <f t="shared" ca="1" si="9"/>
        <v>7</v>
      </c>
    </row>
    <row r="122" spans="1:13" x14ac:dyDescent="0.3">
      <c r="A122">
        <v>114</v>
      </c>
      <c r="B122" t="s">
        <v>147</v>
      </c>
      <c r="C122">
        <v>12426</v>
      </c>
      <c r="D122">
        <v>5</v>
      </c>
      <c r="E122">
        <v>19</v>
      </c>
      <c r="F122">
        <v>8</v>
      </c>
      <c r="H122">
        <v>114</v>
      </c>
      <c r="I122" t="str">
        <f t="shared" si="5"/>
        <v>EJ</v>
      </c>
      <c r="J122">
        <f t="shared" ca="1" si="6"/>
        <v>563</v>
      </c>
      <c r="K122">
        <f t="shared" ca="1" si="7"/>
        <v>4</v>
      </c>
      <c r="L122">
        <f t="shared" ca="1" si="8"/>
        <v>8</v>
      </c>
      <c r="M122">
        <f t="shared" ca="1" si="9"/>
        <v>5</v>
      </c>
    </row>
    <row r="123" spans="1:13" x14ac:dyDescent="0.3">
      <c r="A123">
        <v>115</v>
      </c>
      <c r="B123" t="s">
        <v>148</v>
      </c>
      <c r="C123">
        <v>2</v>
      </c>
      <c r="D123">
        <v>4</v>
      </c>
      <c r="E123">
        <v>12</v>
      </c>
      <c r="F123">
        <v>1</v>
      </c>
      <c r="H123">
        <v>115</v>
      </c>
      <c r="I123" t="str">
        <f t="shared" si="5"/>
        <v>EK</v>
      </c>
      <c r="J123">
        <f t="shared" ca="1" si="6"/>
        <v>18</v>
      </c>
      <c r="K123">
        <f t="shared" ca="1" si="7"/>
        <v>1</v>
      </c>
      <c r="L123">
        <f t="shared" ca="1" si="8"/>
        <v>12</v>
      </c>
      <c r="M123">
        <f t="shared" ca="1" si="9"/>
        <v>2</v>
      </c>
    </row>
    <row r="124" spans="1:13" x14ac:dyDescent="0.3">
      <c r="A124">
        <v>116</v>
      </c>
      <c r="B124" t="s">
        <v>149</v>
      </c>
      <c r="C124">
        <v>2559</v>
      </c>
      <c r="D124">
        <v>4</v>
      </c>
      <c r="E124">
        <v>4</v>
      </c>
      <c r="F124">
        <v>6</v>
      </c>
      <c r="H124">
        <v>116</v>
      </c>
      <c r="I124" t="str">
        <f t="shared" si="5"/>
        <v>EL</v>
      </c>
      <c r="J124">
        <f t="shared" ca="1" si="6"/>
        <v>276</v>
      </c>
      <c r="K124">
        <f t="shared" ca="1" si="7"/>
        <v>3</v>
      </c>
      <c r="L124">
        <f t="shared" ca="1" si="8"/>
        <v>2</v>
      </c>
      <c r="M124">
        <f t="shared" ca="1" si="9"/>
        <v>4</v>
      </c>
    </row>
    <row r="125" spans="1:13" x14ac:dyDescent="0.3">
      <c r="A125">
        <v>117</v>
      </c>
      <c r="B125" t="s">
        <v>150</v>
      </c>
      <c r="C125">
        <v>9941</v>
      </c>
      <c r="D125">
        <v>3</v>
      </c>
      <c r="E125">
        <v>12</v>
      </c>
      <c r="F125">
        <v>7</v>
      </c>
      <c r="H125">
        <v>117</v>
      </c>
      <c r="I125" t="str">
        <f t="shared" si="5"/>
        <v>EM</v>
      </c>
      <c r="J125">
        <f t="shared" ca="1" si="6"/>
        <v>20</v>
      </c>
      <c r="K125">
        <f t="shared" ca="1" si="7"/>
        <v>4</v>
      </c>
      <c r="L125">
        <f t="shared" ca="1" si="8"/>
        <v>20</v>
      </c>
      <c r="M125">
        <f t="shared" ca="1" si="9"/>
        <v>2</v>
      </c>
    </row>
    <row r="126" spans="1:13" x14ac:dyDescent="0.3">
      <c r="A126">
        <v>118</v>
      </c>
      <c r="B126" t="s">
        <v>151</v>
      </c>
      <c r="C126">
        <v>14472</v>
      </c>
      <c r="D126">
        <v>5</v>
      </c>
      <c r="E126">
        <v>1</v>
      </c>
      <c r="F126">
        <v>8</v>
      </c>
      <c r="H126">
        <v>118</v>
      </c>
      <c r="I126" t="str">
        <f t="shared" si="5"/>
        <v>EN</v>
      </c>
      <c r="J126">
        <f t="shared" ca="1" si="6"/>
        <v>1</v>
      </c>
      <c r="K126">
        <f t="shared" ca="1" si="7"/>
        <v>1</v>
      </c>
      <c r="L126">
        <f t="shared" ca="1" si="8"/>
        <v>7</v>
      </c>
      <c r="M126">
        <f t="shared" ca="1" si="9"/>
        <v>1</v>
      </c>
    </row>
    <row r="127" spans="1:13" x14ac:dyDescent="0.3">
      <c r="A127">
        <v>119</v>
      </c>
      <c r="B127" t="s">
        <v>152</v>
      </c>
      <c r="C127">
        <v>58</v>
      </c>
      <c r="D127">
        <v>5</v>
      </c>
      <c r="E127">
        <v>2</v>
      </c>
      <c r="F127">
        <v>3</v>
      </c>
      <c r="H127">
        <v>119</v>
      </c>
      <c r="I127" t="str">
        <f t="shared" si="5"/>
        <v>EO</v>
      </c>
      <c r="J127">
        <f t="shared" ca="1" si="6"/>
        <v>1274</v>
      </c>
      <c r="K127">
        <f t="shared" ca="1" si="7"/>
        <v>5</v>
      </c>
      <c r="L127">
        <f t="shared" ca="1" si="8"/>
        <v>12</v>
      </c>
      <c r="M127">
        <f t="shared" ca="1" si="9"/>
        <v>6</v>
      </c>
    </row>
    <row r="128" spans="1:13" x14ac:dyDescent="0.3">
      <c r="A128">
        <v>120</v>
      </c>
      <c r="B128" t="s">
        <v>153</v>
      </c>
      <c r="C128">
        <v>3</v>
      </c>
      <c r="D128">
        <v>1</v>
      </c>
      <c r="E128">
        <v>1</v>
      </c>
      <c r="F128">
        <v>1</v>
      </c>
      <c r="H128">
        <v>120</v>
      </c>
      <c r="I128" t="str">
        <f t="shared" si="5"/>
        <v>EP</v>
      </c>
      <c r="J128">
        <f t="shared" ca="1" si="6"/>
        <v>86</v>
      </c>
      <c r="K128">
        <f t="shared" ca="1" si="7"/>
        <v>5</v>
      </c>
      <c r="L128">
        <f t="shared" ca="1" si="8"/>
        <v>12</v>
      </c>
      <c r="M128">
        <f t="shared" ca="1" si="9"/>
        <v>3</v>
      </c>
    </row>
    <row r="129" spans="1:13" x14ac:dyDescent="0.3">
      <c r="A129">
        <v>121</v>
      </c>
      <c r="B129" t="s">
        <v>154</v>
      </c>
      <c r="C129">
        <v>3</v>
      </c>
      <c r="D129">
        <v>2</v>
      </c>
      <c r="E129">
        <v>10</v>
      </c>
      <c r="F129">
        <v>1</v>
      </c>
      <c r="H129">
        <v>121</v>
      </c>
      <c r="I129" t="str">
        <f t="shared" si="5"/>
        <v>EQ</v>
      </c>
      <c r="J129">
        <f t="shared" ca="1" si="6"/>
        <v>1709</v>
      </c>
      <c r="K129">
        <f t="shared" ca="1" si="7"/>
        <v>4</v>
      </c>
      <c r="L129">
        <f t="shared" ca="1" si="8"/>
        <v>19</v>
      </c>
      <c r="M129">
        <f t="shared" ca="1" si="9"/>
        <v>6</v>
      </c>
    </row>
    <row r="130" spans="1:13" x14ac:dyDescent="0.3">
      <c r="A130">
        <v>122</v>
      </c>
      <c r="B130" t="s">
        <v>155</v>
      </c>
      <c r="C130">
        <v>17</v>
      </c>
      <c r="D130">
        <v>2</v>
      </c>
      <c r="E130">
        <v>12</v>
      </c>
      <c r="F130">
        <v>2</v>
      </c>
      <c r="H130">
        <v>122</v>
      </c>
      <c r="I130" t="str">
        <f t="shared" si="5"/>
        <v>ER</v>
      </c>
      <c r="J130">
        <f t="shared" ca="1" si="6"/>
        <v>523</v>
      </c>
      <c r="K130">
        <f t="shared" ca="1" si="7"/>
        <v>3</v>
      </c>
      <c r="L130">
        <f t="shared" ca="1" si="8"/>
        <v>8</v>
      </c>
      <c r="M130">
        <f t="shared" ca="1" si="9"/>
        <v>5</v>
      </c>
    </row>
    <row r="131" spans="1:13" x14ac:dyDescent="0.3">
      <c r="A131">
        <v>123</v>
      </c>
      <c r="B131" t="s">
        <v>156</v>
      </c>
      <c r="C131">
        <v>2</v>
      </c>
      <c r="D131">
        <v>3</v>
      </c>
      <c r="E131">
        <v>1</v>
      </c>
      <c r="F131">
        <v>1</v>
      </c>
      <c r="H131">
        <v>123</v>
      </c>
      <c r="I131" t="str">
        <f t="shared" si="5"/>
        <v>ES</v>
      </c>
      <c r="J131">
        <f t="shared" ca="1" si="6"/>
        <v>1396</v>
      </c>
      <c r="K131">
        <f t="shared" ca="1" si="7"/>
        <v>3</v>
      </c>
      <c r="L131">
        <f t="shared" ca="1" si="8"/>
        <v>3</v>
      </c>
      <c r="M131">
        <f t="shared" ca="1" si="9"/>
        <v>6</v>
      </c>
    </row>
    <row r="132" spans="1:13" x14ac:dyDescent="0.3">
      <c r="A132">
        <v>124</v>
      </c>
      <c r="B132" t="s">
        <v>157</v>
      </c>
      <c r="C132">
        <v>210</v>
      </c>
      <c r="D132">
        <v>5</v>
      </c>
      <c r="E132">
        <v>19</v>
      </c>
      <c r="F132">
        <v>4</v>
      </c>
      <c r="H132">
        <v>124</v>
      </c>
      <c r="I132" t="str">
        <f t="shared" si="5"/>
        <v>ET</v>
      </c>
      <c r="J132">
        <f t="shared" ca="1" si="6"/>
        <v>4</v>
      </c>
      <c r="K132">
        <f t="shared" ca="1" si="7"/>
        <v>5</v>
      </c>
      <c r="L132">
        <f t="shared" ca="1" si="8"/>
        <v>1</v>
      </c>
      <c r="M132">
        <f t="shared" ca="1" si="9"/>
        <v>1</v>
      </c>
    </row>
    <row r="133" spans="1:13" x14ac:dyDescent="0.3">
      <c r="A133">
        <v>125</v>
      </c>
      <c r="B133" t="s">
        <v>158</v>
      </c>
      <c r="C133">
        <v>3</v>
      </c>
      <c r="D133">
        <v>5</v>
      </c>
      <c r="E133">
        <v>12</v>
      </c>
      <c r="F133">
        <v>1</v>
      </c>
      <c r="H133">
        <v>125</v>
      </c>
      <c r="I133" t="str">
        <f t="shared" si="5"/>
        <v>EU</v>
      </c>
      <c r="J133">
        <f t="shared" ca="1" si="6"/>
        <v>1344</v>
      </c>
      <c r="K133">
        <f t="shared" ca="1" si="7"/>
        <v>4</v>
      </c>
      <c r="L133">
        <f t="shared" ca="1" si="8"/>
        <v>1</v>
      </c>
      <c r="M133">
        <f t="shared" ca="1" si="9"/>
        <v>6</v>
      </c>
    </row>
    <row r="134" spans="1:13" x14ac:dyDescent="0.3">
      <c r="A134">
        <v>126</v>
      </c>
      <c r="B134" t="s">
        <v>159</v>
      </c>
      <c r="C134">
        <v>20</v>
      </c>
      <c r="D134">
        <v>3</v>
      </c>
      <c r="E134">
        <v>1</v>
      </c>
      <c r="F134">
        <v>2</v>
      </c>
      <c r="H134">
        <v>126</v>
      </c>
      <c r="I134" t="str">
        <f t="shared" si="5"/>
        <v>EV</v>
      </c>
      <c r="J134">
        <f t="shared" ca="1" si="6"/>
        <v>1054</v>
      </c>
      <c r="K134">
        <f t="shared" ca="1" si="7"/>
        <v>5</v>
      </c>
      <c r="L134">
        <f t="shared" ca="1" si="8"/>
        <v>1</v>
      </c>
      <c r="M134">
        <f t="shared" ca="1" si="9"/>
        <v>6</v>
      </c>
    </row>
    <row r="135" spans="1:13" x14ac:dyDescent="0.3">
      <c r="A135">
        <v>127</v>
      </c>
      <c r="B135" t="s">
        <v>160</v>
      </c>
      <c r="C135">
        <v>4084</v>
      </c>
      <c r="D135">
        <v>3</v>
      </c>
      <c r="E135">
        <v>1</v>
      </c>
      <c r="F135">
        <v>6</v>
      </c>
      <c r="H135">
        <v>127</v>
      </c>
      <c r="I135" t="str">
        <f t="shared" si="5"/>
        <v>EW</v>
      </c>
      <c r="J135">
        <f t="shared" ca="1" si="6"/>
        <v>2</v>
      </c>
      <c r="K135">
        <f t="shared" ca="1" si="7"/>
        <v>4</v>
      </c>
      <c r="L135">
        <f t="shared" ca="1" si="8"/>
        <v>14</v>
      </c>
      <c r="M135">
        <f t="shared" ca="1" si="9"/>
        <v>1</v>
      </c>
    </row>
    <row r="136" spans="1:13" x14ac:dyDescent="0.3">
      <c r="A136">
        <v>128</v>
      </c>
      <c r="B136" t="s">
        <v>161</v>
      </c>
      <c r="C136">
        <v>180</v>
      </c>
      <c r="D136">
        <v>3</v>
      </c>
      <c r="E136">
        <v>1</v>
      </c>
      <c r="F136">
        <v>4</v>
      </c>
      <c r="H136">
        <v>128</v>
      </c>
      <c r="I136" t="str">
        <f t="shared" si="5"/>
        <v>EX</v>
      </c>
      <c r="J136">
        <f t="shared" ca="1" si="6"/>
        <v>28</v>
      </c>
      <c r="K136">
        <f t="shared" ca="1" si="7"/>
        <v>4</v>
      </c>
      <c r="L136">
        <f t="shared" ca="1" si="8"/>
        <v>3</v>
      </c>
      <c r="M136">
        <f t="shared" ca="1" si="9"/>
        <v>2</v>
      </c>
    </row>
    <row r="137" spans="1:13" x14ac:dyDescent="0.3">
      <c r="A137">
        <v>129</v>
      </c>
      <c r="B137" t="s">
        <v>162</v>
      </c>
      <c r="C137">
        <v>11632</v>
      </c>
      <c r="D137">
        <v>5</v>
      </c>
      <c r="E137">
        <v>5</v>
      </c>
      <c r="F137">
        <v>8</v>
      </c>
      <c r="H137">
        <v>129</v>
      </c>
      <c r="I137" t="str">
        <f t="shared" si="5"/>
        <v>EY</v>
      </c>
      <c r="J137">
        <f t="shared" ca="1" si="6"/>
        <v>1755</v>
      </c>
      <c r="K137">
        <f t="shared" ca="1" si="7"/>
        <v>4</v>
      </c>
      <c r="L137">
        <f t="shared" ca="1" si="8"/>
        <v>9</v>
      </c>
      <c r="M137">
        <f t="shared" ca="1" si="9"/>
        <v>6</v>
      </c>
    </row>
    <row r="138" spans="1:13" x14ac:dyDescent="0.3">
      <c r="A138">
        <v>130</v>
      </c>
      <c r="B138" t="s">
        <v>163</v>
      </c>
      <c r="C138">
        <v>7</v>
      </c>
      <c r="D138">
        <v>4</v>
      </c>
      <c r="E138">
        <v>1</v>
      </c>
      <c r="F138">
        <v>1</v>
      </c>
      <c r="H138">
        <v>130</v>
      </c>
      <c r="I138" t="str">
        <f t="shared" ref="I138:I201" si="10">CHAR(65+FLOOR((H138-1)/26,1))&amp;CHAR(65+MOD(H138-1,26))</f>
        <v>EZ</v>
      </c>
      <c r="J138">
        <f t="shared" ref="J138:J201" ca="1" si="11">FLOOR(EXP(RAND()*10),1)</f>
        <v>82</v>
      </c>
      <c r="K138">
        <f t="shared" ref="K138:K201" ca="1" si="12">_xlfn.CEILING.MATH((RAND()^(1/2))*5,1)</f>
        <v>5</v>
      </c>
      <c r="L138">
        <f t="shared" ref="L138:L201" ca="1" si="13">_xlfn.CEILING.MATH((RAND()^2)*20,1)</f>
        <v>5</v>
      </c>
      <c r="M138">
        <f t="shared" ref="M138:M201" ca="1" si="14">MATCH(J138,$O$10:$O$17,1)</f>
        <v>3</v>
      </c>
    </row>
    <row r="139" spans="1:13" x14ac:dyDescent="0.3">
      <c r="A139">
        <v>131</v>
      </c>
      <c r="B139" t="s">
        <v>164</v>
      </c>
      <c r="C139">
        <v>25</v>
      </c>
      <c r="D139">
        <v>5</v>
      </c>
      <c r="E139">
        <v>10</v>
      </c>
      <c r="F139">
        <v>2</v>
      </c>
      <c r="H139">
        <v>131</v>
      </c>
      <c r="I139" t="str">
        <f t="shared" si="10"/>
        <v>FA</v>
      </c>
      <c r="J139">
        <f t="shared" ca="1" si="11"/>
        <v>7</v>
      </c>
      <c r="K139">
        <f t="shared" ca="1" si="12"/>
        <v>4</v>
      </c>
      <c r="L139">
        <f t="shared" ca="1" si="13"/>
        <v>10</v>
      </c>
      <c r="M139">
        <f t="shared" ca="1" si="14"/>
        <v>1</v>
      </c>
    </row>
    <row r="140" spans="1:13" x14ac:dyDescent="0.3">
      <c r="A140">
        <v>132</v>
      </c>
      <c r="B140" t="s">
        <v>165</v>
      </c>
      <c r="C140">
        <v>5213</v>
      </c>
      <c r="D140">
        <v>5</v>
      </c>
      <c r="E140">
        <v>1</v>
      </c>
      <c r="F140">
        <v>7</v>
      </c>
      <c r="H140">
        <v>132</v>
      </c>
      <c r="I140" t="str">
        <f t="shared" si="10"/>
        <v>FB</v>
      </c>
      <c r="J140">
        <f t="shared" ca="1" si="11"/>
        <v>72</v>
      </c>
      <c r="K140">
        <f t="shared" ca="1" si="12"/>
        <v>2</v>
      </c>
      <c r="L140">
        <f t="shared" ca="1" si="13"/>
        <v>4</v>
      </c>
      <c r="M140">
        <f t="shared" ca="1" si="14"/>
        <v>3</v>
      </c>
    </row>
    <row r="141" spans="1:13" x14ac:dyDescent="0.3">
      <c r="A141">
        <v>133</v>
      </c>
      <c r="B141" t="s">
        <v>166</v>
      </c>
      <c r="C141">
        <v>14841</v>
      </c>
      <c r="D141">
        <v>5</v>
      </c>
      <c r="E141">
        <v>4</v>
      </c>
      <c r="F141">
        <v>8</v>
      </c>
      <c r="H141">
        <v>133</v>
      </c>
      <c r="I141" t="str">
        <f t="shared" si="10"/>
        <v>FC</v>
      </c>
      <c r="J141">
        <f t="shared" ca="1" si="11"/>
        <v>5289</v>
      </c>
      <c r="K141">
        <f t="shared" ca="1" si="12"/>
        <v>5</v>
      </c>
      <c r="L141">
        <f t="shared" ca="1" si="13"/>
        <v>7</v>
      </c>
      <c r="M141">
        <f t="shared" ca="1" si="14"/>
        <v>7</v>
      </c>
    </row>
    <row r="142" spans="1:13" x14ac:dyDescent="0.3">
      <c r="A142">
        <v>134</v>
      </c>
      <c r="B142" t="s">
        <v>167</v>
      </c>
      <c r="C142">
        <v>16</v>
      </c>
      <c r="D142">
        <v>4</v>
      </c>
      <c r="E142">
        <v>3</v>
      </c>
      <c r="F142">
        <v>2</v>
      </c>
      <c r="H142">
        <v>134</v>
      </c>
      <c r="I142" t="str">
        <f t="shared" si="10"/>
        <v>FD</v>
      </c>
      <c r="J142">
        <f t="shared" ca="1" si="11"/>
        <v>5621</v>
      </c>
      <c r="K142">
        <f t="shared" ca="1" si="12"/>
        <v>5</v>
      </c>
      <c r="L142">
        <f t="shared" ca="1" si="13"/>
        <v>9</v>
      </c>
      <c r="M142">
        <f t="shared" ca="1" si="14"/>
        <v>7</v>
      </c>
    </row>
    <row r="143" spans="1:13" x14ac:dyDescent="0.3">
      <c r="A143">
        <v>135</v>
      </c>
      <c r="B143" t="s">
        <v>168</v>
      </c>
      <c r="C143">
        <v>1</v>
      </c>
      <c r="D143">
        <v>5</v>
      </c>
      <c r="E143">
        <v>1</v>
      </c>
      <c r="F143">
        <v>1</v>
      </c>
      <c r="H143">
        <v>135</v>
      </c>
      <c r="I143" t="str">
        <f t="shared" si="10"/>
        <v>FE</v>
      </c>
      <c r="J143">
        <f t="shared" ca="1" si="11"/>
        <v>1396</v>
      </c>
      <c r="K143">
        <f t="shared" ca="1" si="12"/>
        <v>5</v>
      </c>
      <c r="L143">
        <f t="shared" ca="1" si="13"/>
        <v>18</v>
      </c>
      <c r="M143">
        <f t="shared" ca="1" si="14"/>
        <v>6</v>
      </c>
    </row>
    <row r="144" spans="1:13" x14ac:dyDescent="0.3">
      <c r="A144">
        <v>136</v>
      </c>
      <c r="B144" t="s">
        <v>169</v>
      </c>
      <c r="C144">
        <v>2</v>
      </c>
      <c r="D144">
        <v>5</v>
      </c>
      <c r="E144">
        <v>1</v>
      </c>
      <c r="F144">
        <v>1</v>
      </c>
      <c r="H144">
        <v>136</v>
      </c>
      <c r="I144" t="str">
        <f t="shared" si="10"/>
        <v>FF</v>
      </c>
      <c r="J144">
        <f t="shared" ca="1" si="11"/>
        <v>361</v>
      </c>
      <c r="K144">
        <f t="shared" ca="1" si="12"/>
        <v>5</v>
      </c>
      <c r="L144">
        <f t="shared" ca="1" si="13"/>
        <v>15</v>
      </c>
      <c r="M144">
        <f t="shared" ca="1" si="14"/>
        <v>4</v>
      </c>
    </row>
    <row r="145" spans="1:13" x14ac:dyDescent="0.3">
      <c r="A145">
        <v>137</v>
      </c>
      <c r="B145" t="s">
        <v>170</v>
      </c>
      <c r="C145">
        <v>5906</v>
      </c>
      <c r="D145">
        <v>5</v>
      </c>
      <c r="E145">
        <v>16</v>
      </c>
      <c r="F145">
        <v>7</v>
      </c>
      <c r="H145">
        <v>137</v>
      </c>
      <c r="I145" t="str">
        <f t="shared" si="10"/>
        <v>FG</v>
      </c>
      <c r="J145">
        <f t="shared" ca="1" si="11"/>
        <v>148</v>
      </c>
      <c r="K145">
        <f t="shared" ca="1" si="12"/>
        <v>5</v>
      </c>
      <c r="L145">
        <f t="shared" ca="1" si="13"/>
        <v>1</v>
      </c>
      <c r="M145">
        <f t="shared" ca="1" si="14"/>
        <v>4</v>
      </c>
    </row>
    <row r="146" spans="1:13" x14ac:dyDescent="0.3">
      <c r="A146">
        <v>138</v>
      </c>
      <c r="B146" t="s">
        <v>171</v>
      </c>
      <c r="C146">
        <v>2557</v>
      </c>
      <c r="D146">
        <v>2</v>
      </c>
      <c r="E146">
        <v>2</v>
      </c>
      <c r="F146">
        <v>6</v>
      </c>
      <c r="H146">
        <v>138</v>
      </c>
      <c r="I146" t="str">
        <f t="shared" si="10"/>
        <v>FH</v>
      </c>
      <c r="J146">
        <f t="shared" ca="1" si="11"/>
        <v>262</v>
      </c>
      <c r="K146">
        <f t="shared" ca="1" si="12"/>
        <v>4</v>
      </c>
      <c r="L146">
        <f t="shared" ca="1" si="13"/>
        <v>6</v>
      </c>
      <c r="M146">
        <f t="shared" ca="1" si="14"/>
        <v>4</v>
      </c>
    </row>
    <row r="147" spans="1:13" x14ac:dyDescent="0.3">
      <c r="A147">
        <v>139</v>
      </c>
      <c r="B147" t="s">
        <v>172</v>
      </c>
      <c r="C147">
        <v>10</v>
      </c>
      <c r="D147">
        <v>5</v>
      </c>
      <c r="E147">
        <v>7</v>
      </c>
      <c r="F147">
        <v>1</v>
      </c>
      <c r="H147">
        <v>139</v>
      </c>
      <c r="I147" t="str">
        <f t="shared" si="10"/>
        <v>FI</v>
      </c>
      <c r="J147">
        <f t="shared" ca="1" si="11"/>
        <v>4825</v>
      </c>
      <c r="K147">
        <f t="shared" ca="1" si="12"/>
        <v>4</v>
      </c>
      <c r="L147">
        <f t="shared" ca="1" si="13"/>
        <v>4</v>
      </c>
      <c r="M147">
        <f t="shared" ca="1" si="14"/>
        <v>6</v>
      </c>
    </row>
    <row r="148" spans="1:13" x14ac:dyDescent="0.3">
      <c r="A148">
        <v>140</v>
      </c>
      <c r="B148" t="s">
        <v>173</v>
      </c>
      <c r="C148">
        <v>25</v>
      </c>
      <c r="D148">
        <v>5</v>
      </c>
      <c r="E148">
        <v>11</v>
      </c>
      <c r="F148">
        <v>2</v>
      </c>
      <c r="H148">
        <v>140</v>
      </c>
      <c r="I148" t="str">
        <f t="shared" si="10"/>
        <v>FJ</v>
      </c>
      <c r="J148">
        <f t="shared" ca="1" si="11"/>
        <v>17</v>
      </c>
      <c r="K148">
        <f t="shared" ca="1" si="12"/>
        <v>4</v>
      </c>
      <c r="L148">
        <f t="shared" ca="1" si="13"/>
        <v>1</v>
      </c>
      <c r="M148">
        <f t="shared" ca="1" si="14"/>
        <v>2</v>
      </c>
    </row>
    <row r="149" spans="1:13" x14ac:dyDescent="0.3">
      <c r="A149">
        <v>141</v>
      </c>
      <c r="B149" t="s">
        <v>174</v>
      </c>
      <c r="C149">
        <v>1</v>
      </c>
      <c r="D149">
        <v>5</v>
      </c>
      <c r="E149">
        <v>12</v>
      </c>
      <c r="F149">
        <v>1</v>
      </c>
      <c r="H149">
        <v>141</v>
      </c>
      <c r="I149" t="str">
        <f t="shared" si="10"/>
        <v>FK</v>
      </c>
      <c r="J149">
        <f t="shared" ca="1" si="11"/>
        <v>13050</v>
      </c>
      <c r="K149">
        <f t="shared" ca="1" si="12"/>
        <v>5</v>
      </c>
      <c r="L149">
        <f t="shared" ca="1" si="13"/>
        <v>1</v>
      </c>
      <c r="M149">
        <f t="shared" ca="1" si="14"/>
        <v>8</v>
      </c>
    </row>
    <row r="150" spans="1:13" x14ac:dyDescent="0.3">
      <c r="A150">
        <v>142</v>
      </c>
      <c r="B150" t="s">
        <v>175</v>
      </c>
      <c r="C150">
        <v>49</v>
      </c>
      <c r="D150">
        <v>5</v>
      </c>
      <c r="E150">
        <v>20</v>
      </c>
      <c r="F150">
        <v>2</v>
      </c>
      <c r="H150">
        <v>142</v>
      </c>
      <c r="I150" t="str">
        <f t="shared" si="10"/>
        <v>FL</v>
      </c>
      <c r="J150">
        <f t="shared" ca="1" si="11"/>
        <v>279</v>
      </c>
      <c r="K150">
        <f t="shared" ca="1" si="12"/>
        <v>4</v>
      </c>
      <c r="L150">
        <f t="shared" ca="1" si="13"/>
        <v>1</v>
      </c>
      <c r="M150">
        <f t="shared" ca="1" si="14"/>
        <v>4</v>
      </c>
    </row>
    <row r="151" spans="1:13" x14ac:dyDescent="0.3">
      <c r="A151">
        <v>143</v>
      </c>
      <c r="B151" t="s">
        <v>176</v>
      </c>
      <c r="C151">
        <v>287</v>
      </c>
      <c r="D151">
        <v>4</v>
      </c>
      <c r="E151">
        <v>13</v>
      </c>
      <c r="F151">
        <v>4</v>
      </c>
      <c r="H151">
        <v>143</v>
      </c>
      <c r="I151" t="str">
        <f t="shared" si="10"/>
        <v>FM</v>
      </c>
      <c r="J151">
        <f t="shared" ca="1" si="11"/>
        <v>124</v>
      </c>
      <c r="K151">
        <f t="shared" ca="1" si="12"/>
        <v>4</v>
      </c>
      <c r="L151">
        <f t="shared" ca="1" si="13"/>
        <v>6</v>
      </c>
      <c r="M151">
        <f t="shared" ca="1" si="14"/>
        <v>4</v>
      </c>
    </row>
    <row r="152" spans="1:13" x14ac:dyDescent="0.3">
      <c r="A152">
        <v>144</v>
      </c>
      <c r="B152" t="s">
        <v>177</v>
      </c>
      <c r="C152">
        <v>1289</v>
      </c>
      <c r="D152">
        <v>5</v>
      </c>
      <c r="E152">
        <v>1</v>
      </c>
      <c r="F152">
        <v>6</v>
      </c>
      <c r="H152">
        <v>144</v>
      </c>
      <c r="I152" t="str">
        <f t="shared" si="10"/>
        <v>FN</v>
      </c>
      <c r="J152">
        <f t="shared" ca="1" si="11"/>
        <v>131</v>
      </c>
      <c r="K152">
        <f t="shared" ca="1" si="12"/>
        <v>5</v>
      </c>
      <c r="L152">
        <f t="shared" ca="1" si="13"/>
        <v>3</v>
      </c>
      <c r="M152">
        <f t="shared" ca="1" si="14"/>
        <v>4</v>
      </c>
    </row>
    <row r="153" spans="1:13" x14ac:dyDescent="0.3">
      <c r="A153">
        <v>145</v>
      </c>
      <c r="B153" t="s">
        <v>178</v>
      </c>
      <c r="C153">
        <v>163</v>
      </c>
      <c r="D153">
        <v>5</v>
      </c>
      <c r="E153">
        <v>18</v>
      </c>
      <c r="F153">
        <v>4</v>
      </c>
      <c r="H153">
        <v>145</v>
      </c>
      <c r="I153" t="str">
        <f t="shared" si="10"/>
        <v>FO</v>
      </c>
      <c r="J153">
        <f t="shared" ca="1" si="11"/>
        <v>9</v>
      </c>
      <c r="K153">
        <f t="shared" ca="1" si="12"/>
        <v>5</v>
      </c>
      <c r="L153">
        <f t="shared" ca="1" si="13"/>
        <v>7</v>
      </c>
      <c r="M153">
        <f t="shared" ca="1" si="14"/>
        <v>1</v>
      </c>
    </row>
    <row r="154" spans="1:13" x14ac:dyDescent="0.3">
      <c r="A154">
        <v>146</v>
      </c>
      <c r="B154" t="s">
        <v>179</v>
      </c>
      <c r="C154">
        <v>7</v>
      </c>
      <c r="D154">
        <v>5</v>
      </c>
      <c r="E154">
        <v>1</v>
      </c>
      <c r="F154">
        <v>1</v>
      </c>
      <c r="H154">
        <v>146</v>
      </c>
      <c r="I154" t="str">
        <f t="shared" si="10"/>
        <v>FP</v>
      </c>
      <c r="J154">
        <f t="shared" ca="1" si="11"/>
        <v>1918</v>
      </c>
      <c r="K154">
        <f t="shared" ca="1" si="12"/>
        <v>5</v>
      </c>
      <c r="L154">
        <f t="shared" ca="1" si="13"/>
        <v>19</v>
      </c>
      <c r="M154">
        <f t="shared" ca="1" si="14"/>
        <v>6</v>
      </c>
    </row>
    <row r="155" spans="1:13" x14ac:dyDescent="0.3">
      <c r="A155">
        <v>147</v>
      </c>
      <c r="B155" t="s">
        <v>180</v>
      </c>
      <c r="C155">
        <v>22</v>
      </c>
      <c r="D155">
        <v>3</v>
      </c>
      <c r="E155">
        <v>1</v>
      </c>
      <c r="F155">
        <v>2</v>
      </c>
      <c r="H155">
        <v>147</v>
      </c>
      <c r="I155" t="str">
        <f t="shared" si="10"/>
        <v>FQ</v>
      </c>
      <c r="J155">
        <f t="shared" ca="1" si="11"/>
        <v>2361</v>
      </c>
      <c r="K155">
        <f t="shared" ca="1" si="12"/>
        <v>4</v>
      </c>
      <c r="L155">
        <f t="shared" ca="1" si="13"/>
        <v>20</v>
      </c>
      <c r="M155">
        <f t="shared" ca="1" si="14"/>
        <v>6</v>
      </c>
    </row>
    <row r="156" spans="1:13" x14ac:dyDescent="0.3">
      <c r="A156">
        <v>148</v>
      </c>
      <c r="B156" t="s">
        <v>181</v>
      </c>
      <c r="C156">
        <v>683</v>
      </c>
      <c r="D156">
        <v>5</v>
      </c>
      <c r="E156">
        <v>3</v>
      </c>
      <c r="F156">
        <v>5</v>
      </c>
      <c r="H156">
        <v>148</v>
      </c>
      <c r="I156" t="str">
        <f t="shared" si="10"/>
        <v>FR</v>
      </c>
      <c r="J156">
        <f t="shared" ca="1" si="11"/>
        <v>57</v>
      </c>
      <c r="K156">
        <f t="shared" ca="1" si="12"/>
        <v>1</v>
      </c>
      <c r="L156">
        <f t="shared" ca="1" si="13"/>
        <v>8</v>
      </c>
      <c r="M156">
        <f t="shared" ca="1" si="14"/>
        <v>3</v>
      </c>
    </row>
    <row r="157" spans="1:13" x14ac:dyDescent="0.3">
      <c r="A157">
        <v>149</v>
      </c>
      <c r="B157" t="s">
        <v>182</v>
      </c>
      <c r="C157">
        <v>3245</v>
      </c>
      <c r="D157">
        <v>4</v>
      </c>
      <c r="E157">
        <v>16</v>
      </c>
      <c r="F157">
        <v>6</v>
      </c>
      <c r="H157">
        <v>149</v>
      </c>
      <c r="I157" t="str">
        <f t="shared" si="10"/>
        <v>FS</v>
      </c>
      <c r="J157">
        <f t="shared" ca="1" si="11"/>
        <v>2</v>
      </c>
      <c r="K157">
        <f t="shared" ca="1" si="12"/>
        <v>5</v>
      </c>
      <c r="L157">
        <f t="shared" ca="1" si="13"/>
        <v>7</v>
      </c>
      <c r="M157">
        <f t="shared" ca="1" si="14"/>
        <v>1</v>
      </c>
    </row>
    <row r="158" spans="1:13" x14ac:dyDescent="0.3">
      <c r="A158">
        <v>150</v>
      </c>
      <c r="B158" t="s">
        <v>183</v>
      </c>
      <c r="C158">
        <v>1254</v>
      </c>
      <c r="D158">
        <v>4</v>
      </c>
      <c r="E158">
        <v>1</v>
      </c>
      <c r="F158">
        <v>6</v>
      </c>
      <c r="H158">
        <v>150</v>
      </c>
      <c r="I158" t="str">
        <f t="shared" si="10"/>
        <v>FT</v>
      </c>
      <c r="J158">
        <f t="shared" ca="1" si="11"/>
        <v>306</v>
      </c>
      <c r="K158">
        <f t="shared" ca="1" si="12"/>
        <v>3</v>
      </c>
      <c r="L158">
        <f t="shared" ca="1" si="13"/>
        <v>10</v>
      </c>
      <c r="M158">
        <f t="shared" ca="1" si="14"/>
        <v>4</v>
      </c>
    </row>
    <row r="159" spans="1:13" x14ac:dyDescent="0.3">
      <c r="A159">
        <v>151</v>
      </c>
      <c r="B159" t="s">
        <v>184</v>
      </c>
      <c r="C159">
        <v>2954</v>
      </c>
      <c r="D159">
        <v>5</v>
      </c>
      <c r="E159">
        <v>14</v>
      </c>
      <c r="F159">
        <v>6</v>
      </c>
      <c r="H159">
        <v>151</v>
      </c>
      <c r="I159" t="str">
        <f t="shared" si="10"/>
        <v>FU</v>
      </c>
      <c r="J159">
        <f t="shared" ca="1" si="11"/>
        <v>222</v>
      </c>
      <c r="K159">
        <f t="shared" ca="1" si="12"/>
        <v>2</v>
      </c>
      <c r="L159">
        <f t="shared" ca="1" si="13"/>
        <v>1</v>
      </c>
      <c r="M159">
        <f t="shared" ca="1" si="14"/>
        <v>4</v>
      </c>
    </row>
    <row r="160" spans="1:13" x14ac:dyDescent="0.3">
      <c r="A160">
        <v>152</v>
      </c>
      <c r="B160" t="s">
        <v>185</v>
      </c>
      <c r="C160">
        <v>307</v>
      </c>
      <c r="D160">
        <v>2</v>
      </c>
      <c r="E160">
        <v>1</v>
      </c>
      <c r="F160">
        <v>4</v>
      </c>
      <c r="H160">
        <v>152</v>
      </c>
      <c r="I160" t="str">
        <f t="shared" si="10"/>
        <v>FV</v>
      </c>
      <c r="J160">
        <f t="shared" ca="1" si="11"/>
        <v>29</v>
      </c>
      <c r="K160">
        <f t="shared" ca="1" si="12"/>
        <v>4</v>
      </c>
      <c r="L160">
        <f t="shared" ca="1" si="13"/>
        <v>17</v>
      </c>
      <c r="M160">
        <f t="shared" ca="1" si="14"/>
        <v>2</v>
      </c>
    </row>
    <row r="161" spans="1:13" x14ac:dyDescent="0.3">
      <c r="A161">
        <v>153</v>
      </c>
      <c r="B161" t="s">
        <v>186</v>
      </c>
      <c r="C161">
        <v>10122</v>
      </c>
      <c r="D161">
        <v>5</v>
      </c>
      <c r="E161">
        <v>8</v>
      </c>
      <c r="F161">
        <v>8</v>
      </c>
      <c r="H161">
        <v>153</v>
      </c>
      <c r="I161" t="str">
        <f t="shared" si="10"/>
        <v>FW</v>
      </c>
      <c r="J161">
        <f t="shared" ca="1" si="11"/>
        <v>964</v>
      </c>
      <c r="K161">
        <f t="shared" ca="1" si="12"/>
        <v>4</v>
      </c>
      <c r="L161">
        <f t="shared" ca="1" si="13"/>
        <v>7</v>
      </c>
      <c r="M161">
        <f t="shared" ca="1" si="14"/>
        <v>5</v>
      </c>
    </row>
    <row r="162" spans="1:13" x14ac:dyDescent="0.3">
      <c r="A162">
        <v>154</v>
      </c>
      <c r="B162" t="s">
        <v>187</v>
      </c>
      <c r="C162">
        <v>72</v>
      </c>
      <c r="D162">
        <v>5</v>
      </c>
      <c r="E162">
        <v>3</v>
      </c>
      <c r="F162">
        <v>3</v>
      </c>
      <c r="H162">
        <v>154</v>
      </c>
      <c r="I162" t="str">
        <f t="shared" si="10"/>
        <v>FX</v>
      </c>
      <c r="J162">
        <f t="shared" ca="1" si="11"/>
        <v>49</v>
      </c>
      <c r="K162">
        <f t="shared" ca="1" si="12"/>
        <v>5</v>
      </c>
      <c r="L162">
        <f t="shared" ca="1" si="13"/>
        <v>5</v>
      </c>
      <c r="M162">
        <f t="shared" ca="1" si="14"/>
        <v>2</v>
      </c>
    </row>
    <row r="163" spans="1:13" x14ac:dyDescent="0.3">
      <c r="A163">
        <v>155</v>
      </c>
      <c r="B163" t="s">
        <v>188</v>
      </c>
      <c r="C163">
        <v>14</v>
      </c>
      <c r="D163">
        <v>4</v>
      </c>
      <c r="E163">
        <v>1</v>
      </c>
      <c r="F163">
        <v>2</v>
      </c>
      <c r="H163">
        <v>155</v>
      </c>
      <c r="I163" t="str">
        <f t="shared" si="10"/>
        <v>FY</v>
      </c>
      <c r="J163">
        <f t="shared" ca="1" si="11"/>
        <v>2</v>
      </c>
      <c r="K163">
        <f t="shared" ca="1" si="12"/>
        <v>4</v>
      </c>
      <c r="L163">
        <f t="shared" ca="1" si="13"/>
        <v>9</v>
      </c>
      <c r="M163">
        <f t="shared" ca="1" si="14"/>
        <v>1</v>
      </c>
    </row>
    <row r="164" spans="1:13" x14ac:dyDescent="0.3">
      <c r="A164">
        <v>156</v>
      </c>
      <c r="B164" t="s">
        <v>189</v>
      </c>
      <c r="C164">
        <v>1</v>
      </c>
      <c r="D164">
        <v>4</v>
      </c>
      <c r="E164">
        <v>2</v>
      </c>
      <c r="F164">
        <v>1</v>
      </c>
      <c r="H164">
        <v>156</v>
      </c>
      <c r="I164" t="str">
        <f t="shared" si="10"/>
        <v>FZ</v>
      </c>
      <c r="J164">
        <f t="shared" ca="1" si="11"/>
        <v>1713</v>
      </c>
      <c r="K164">
        <f t="shared" ca="1" si="12"/>
        <v>5</v>
      </c>
      <c r="L164">
        <f t="shared" ca="1" si="13"/>
        <v>5</v>
      </c>
      <c r="M164">
        <f t="shared" ca="1" si="14"/>
        <v>6</v>
      </c>
    </row>
    <row r="165" spans="1:13" x14ac:dyDescent="0.3">
      <c r="A165">
        <v>157</v>
      </c>
      <c r="B165" t="s">
        <v>190</v>
      </c>
      <c r="C165">
        <v>122</v>
      </c>
      <c r="D165">
        <v>5</v>
      </c>
      <c r="E165">
        <v>7</v>
      </c>
      <c r="F165">
        <v>4</v>
      </c>
      <c r="H165">
        <v>157</v>
      </c>
      <c r="I165" t="str">
        <f t="shared" si="10"/>
        <v>GA</v>
      </c>
      <c r="J165">
        <f t="shared" ca="1" si="11"/>
        <v>1</v>
      </c>
      <c r="K165">
        <f t="shared" ca="1" si="12"/>
        <v>4</v>
      </c>
      <c r="L165">
        <f t="shared" ca="1" si="13"/>
        <v>9</v>
      </c>
      <c r="M165">
        <f t="shared" ca="1" si="14"/>
        <v>1</v>
      </c>
    </row>
    <row r="166" spans="1:13" x14ac:dyDescent="0.3">
      <c r="A166">
        <v>158</v>
      </c>
      <c r="B166" t="s">
        <v>191</v>
      </c>
      <c r="C166">
        <v>8</v>
      </c>
      <c r="D166">
        <v>4</v>
      </c>
      <c r="E166">
        <v>3</v>
      </c>
      <c r="F166">
        <v>1</v>
      </c>
      <c r="H166">
        <v>158</v>
      </c>
      <c r="I166" t="str">
        <f t="shared" si="10"/>
        <v>GB</v>
      </c>
      <c r="J166">
        <f t="shared" ca="1" si="11"/>
        <v>739</v>
      </c>
      <c r="K166">
        <f t="shared" ca="1" si="12"/>
        <v>5</v>
      </c>
      <c r="L166">
        <f t="shared" ca="1" si="13"/>
        <v>2</v>
      </c>
      <c r="M166">
        <f t="shared" ca="1" si="14"/>
        <v>5</v>
      </c>
    </row>
    <row r="167" spans="1:13" x14ac:dyDescent="0.3">
      <c r="A167">
        <v>159</v>
      </c>
      <c r="B167" t="s">
        <v>192</v>
      </c>
      <c r="C167">
        <v>20640</v>
      </c>
      <c r="D167">
        <v>5</v>
      </c>
      <c r="E167">
        <v>13</v>
      </c>
      <c r="F167">
        <v>8</v>
      </c>
      <c r="H167">
        <v>159</v>
      </c>
      <c r="I167" t="str">
        <f t="shared" si="10"/>
        <v>GC</v>
      </c>
      <c r="J167">
        <f t="shared" ca="1" si="11"/>
        <v>5</v>
      </c>
      <c r="K167">
        <f t="shared" ca="1" si="12"/>
        <v>4</v>
      </c>
      <c r="L167">
        <f t="shared" ca="1" si="13"/>
        <v>3</v>
      </c>
      <c r="M167">
        <f t="shared" ca="1" si="14"/>
        <v>1</v>
      </c>
    </row>
    <row r="168" spans="1:13" x14ac:dyDescent="0.3">
      <c r="A168">
        <v>160</v>
      </c>
      <c r="B168" t="s">
        <v>193</v>
      </c>
      <c r="C168">
        <v>3</v>
      </c>
      <c r="D168">
        <v>4</v>
      </c>
      <c r="E168">
        <v>6</v>
      </c>
      <c r="F168">
        <v>1</v>
      </c>
      <c r="H168">
        <v>160</v>
      </c>
      <c r="I168" t="str">
        <f t="shared" si="10"/>
        <v>GD</v>
      </c>
      <c r="J168">
        <f t="shared" ca="1" si="11"/>
        <v>1385</v>
      </c>
      <c r="K168">
        <f t="shared" ca="1" si="12"/>
        <v>4</v>
      </c>
      <c r="L168">
        <f t="shared" ca="1" si="13"/>
        <v>14</v>
      </c>
      <c r="M168">
        <f t="shared" ca="1" si="14"/>
        <v>6</v>
      </c>
    </row>
    <row r="169" spans="1:13" x14ac:dyDescent="0.3">
      <c r="A169">
        <v>161</v>
      </c>
      <c r="B169" t="s">
        <v>194</v>
      </c>
      <c r="C169">
        <v>4</v>
      </c>
      <c r="D169">
        <v>2</v>
      </c>
      <c r="E169">
        <v>4</v>
      </c>
      <c r="F169">
        <v>1</v>
      </c>
      <c r="H169">
        <v>161</v>
      </c>
      <c r="I169" t="str">
        <f t="shared" si="10"/>
        <v>GE</v>
      </c>
      <c r="J169">
        <f t="shared" ca="1" si="11"/>
        <v>43</v>
      </c>
      <c r="K169">
        <f t="shared" ca="1" si="12"/>
        <v>5</v>
      </c>
      <c r="L169">
        <f t="shared" ca="1" si="13"/>
        <v>14</v>
      </c>
      <c r="M169">
        <f t="shared" ca="1" si="14"/>
        <v>2</v>
      </c>
    </row>
    <row r="170" spans="1:13" x14ac:dyDescent="0.3">
      <c r="A170">
        <v>162</v>
      </c>
      <c r="B170" t="s">
        <v>195</v>
      </c>
      <c r="C170">
        <v>74</v>
      </c>
      <c r="D170">
        <v>3</v>
      </c>
      <c r="E170">
        <v>8</v>
      </c>
      <c r="F170">
        <v>3</v>
      </c>
      <c r="H170">
        <v>162</v>
      </c>
      <c r="I170" t="str">
        <f t="shared" si="10"/>
        <v>GF</v>
      </c>
      <c r="J170">
        <f t="shared" ca="1" si="11"/>
        <v>28</v>
      </c>
      <c r="K170">
        <f t="shared" ca="1" si="12"/>
        <v>3</v>
      </c>
      <c r="L170">
        <f t="shared" ca="1" si="13"/>
        <v>5</v>
      </c>
      <c r="M170">
        <f t="shared" ca="1" si="14"/>
        <v>2</v>
      </c>
    </row>
    <row r="171" spans="1:13" x14ac:dyDescent="0.3">
      <c r="A171">
        <v>163</v>
      </c>
      <c r="B171" t="s">
        <v>196</v>
      </c>
      <c r="C171">
        <v>22</v>
      </c>
      <c r="D171">
        <v>2</v>
      </c>
      <c r="E171">
        <v>9</v>
      </c>
      <c r="F171">
        <v>2</v>
      </c>
      <c r="H171">
        <v>163</v>
      </c>
      <c r="I171" t="str">
        <f t="shared" si="10"/>
        <v>GG</v>
      </c>
      <c r="J171">
        <f t="shared" ca="1" si="11"/>
        <v>2289</v>
      </c>
      <c r="K171">
        <f t="shared" ca="1" si="12"/>
        <v>4</v>
      </c>
      <c r="L171">
        <f t="shared" ca="1" si="13"/>
        <v>12</v>
      </c>
      <c r="M171">
        <f t="shared" ca="1" si="14"/>
        <v>6</v>
      </c>
    </row>
    <row r="172" spans="1:13" x14ac:dyDescent="0.3">
      <c r="A172">
        <v>164</v>
      </c>
      <c r="B172" t="s">
        <v>197</v>
      </c>
      <c r="C172">
        <v>116</v>
      </c>
      <c r="D172">
        <v>5</v>
      </c>
      <c r="E172">
        <v>4</v>
      </c>
      <c r="F172">
        <v>4</v>
      </c>
      <c r="H172">
        <v>164</v>
      </c>
      <c r="I172" t="str">
        <f t="shared" si="10"/>
        <v>GH</v>
      </c>
      <c r="J172">
        <f t="shared" ca="1" si="11"/>
        <v>2283</v>
      </c>
      <c r="K172">
        <f t="shared" ca="1" si="12"/>
        <v>5</v>
      </c>
      <c r="L172">
        <f t="shared" ca="1" si="13"/>
        <v>8</v>
      </c>
      <c r="M172">
        <f t="shared" ca="1" si="14"/>
        <v>6</v>
      </c>
    </row>
    <row r="173" spans="1:13" x14ac:dyDescent="0.3">
      <c r="A173">
        <v>165</v>
      </c>
      <c r="B173" t="s">
        <v>198</v>
      </c>
      <c r="C173">
        <v>65</v>
      </c>
      <c r="D173">
        <v>5</v>
      </c>
      <c r="E173">
        <v>13</v>
      </c>
      <c r="F173">
        <v>3</v>
      </c>
      <c r="H173">
        <v>165</v>
      </c>
      <c r="I173" t="str">
        <f t="shared" si="10"/>
        <v>GI</v>
      </c>
      <c r="J173">
        <f t="shared" ca="1" si="11"/>
        <v>703</v>
      </c>
      <c r="K173">
        <f t="shared" ca="1" si="12"/>
        <v>4</v>
      </c>
      <c r="L173">
        <f t="shared" ca="1" si="13"/>
        <v>7</v>
      </c>
      <c r="M173">
        <f t="shared" ca="1" si="14"/>
        <v>5</v>
      </c>
    </row>
    <row r="174" spans="1:13" x14ac:dyDescent="0.3">
      <c r="A174">
        <v>166</v>
      </c>
      <c r="B174" t="s">
        <v>199</v>
      </c>
      <c r="C174">
        <v>2</v>
      </c>
      <c r="D174">
        <v>5</v>
      </c>
      <c r="E174">
        <v>19</v>
      </c>
      <c r="F174">
        <v>1</v>
      </c>
      <c r="H174">
        <v>166</v>
      </c>
      <c r="I174" t="str">
        <f t="shared" si="10"/>
        <v>GJ</v>
      </c>
      <c r="J174">
        <f t="shared" ca="1" si="11"/>
        <v>652</v>
      </c>
      <c r="K174">
        <f t="shared" ca="1" si="12"/>
        <v>4</v>
      </c>
      <c r="L174">
        <f t="shared" ca="1" si="13"/>
        <v>3</v>
      </c>
      <c r="M174">
        <f t="shared" ca="1" si="14"/>
        <v>5</v>
      </c>
    </row>
    <row r="175" spans="1:13" x14ac:dyDescent="0.3">
      <c r="A175">
        <v>167</v>
      </c>
      <c r="B175" t="s">
        <v>200</v>
      </c>
      <c r="C175">
        <v>2</v>
      </c>
      <c r="D175">
        <v>4</v>
      </c>
      <c r="E175">
        <v>1</v>
      </c>
      <c r="F175">
        <v>1</v>
      </c>
      <c r="H175">
        <v>167</v>
      </c>
      <c r="I175" t="str">
        <f t="shared" si="10"/>
        <v>GK</v>
      </c>
      <c r="J175">
        <f t="shared" ca="1" si="11"/>
        <v>13056</v>
      </c>
      <c r="K175">
        <f t="shared" ca="1" si="12"/>
        <v>4</v>
      </c>
      <c r="L175">
        <f t="shared" ca="1" si="13"/>
        <v>2</v>
      </c>
      <c r="M175">
        <f t="shared" ca="1" si="14"/>
        <v>8</v>
      </c>
    </row>
    <row r="176" spans="1:13" x14ac:dyDescent="0.3">
      <c r="A176">
        <v>168</v>
      </c>
      <c r="B176" t="s">
        <v>201</v>
      </c>
      <c r="C176">
        <v>24</v>
      </c>
      <c r="D176">
        <v>5</v>
      </c>
      <c r="E176">
        <v>3</v>
      </c>
      <c r="F176">
        <v>2</v>
      </c>
      <c r="H176">
        <v>168</v>
      </c>
      <c r="I176" t="str">
        <f t="shared" si="10"/>
        <v>GL</v>
      </c>
      <c r="J176">
        <f t="shared" ca="1" si="11"/>
        <v>295</v>
      </c>
      <c r="K176">
        <f t="shared" ca="1" si="12"/>
        <v>2</v>
      </c>
      <c r="L176">
        <f t="shared" ca="1" si="13"/>
        <v>4</v>
      </c>
      <c r="M176">
        <f t="shared" ca="1" si="14"/>
        <v>4</v>
      </c>
    </row>
    <row r="177" spans="1:13" x14ac:dyDescent="0.3">
      <c r="A177">
        <v>169</v>
      </c>
      <c r="B177" t="s">
        <v>202</v>
      </c>
      <c r="C177">
        <v>15</v>
      </c>
      <c r="D177">
        <v>4</v>
      </c>
      <c r="E177">
        <v>1</v>
      </c>
      <c r="F177">
        <v>2</v>
      </c>
      <c r="H177">
        <v>169</v>
      </c>
      <c r="I177" t="str">
        <f t="shared" si="10"/>
        <v>GM</v>
      </c>
      <c r="J177">
        <f t="shared" ca="1" si="11"/>
        <v>5</v>
      </c>
      <c r="K177">
        <f t="shared" ca="1" si="12"/>
        <v>5</v>
      </c>
      <c r="L177">
        <f t="shared" ca="1" si="13"/>
        <v>1</v>
      </c>
      <c r="M177">
        <f t="shared" ca="1" si="14"/>
        <v>1</v>
      </c>
    </row>
    <row r="178" spans="1:13" x14ac:dyDescent="0.3">
      <c r="A178">
        <v>170</v>
      </c>
      <c r="B178" t="s">
        <v>203</v>
      </c>
      <c r="C178">
        <v>5</v>
      </c>
      <c r="D178">
        <v>1</v>
      </c>
      <c r="E178">
        <v>17</v>
      </c>
      <c r="F178">
        <v>1</v>
      </c>
      <c r="H178">
        <v>170</v>
      </c>
      <c r="I178" t="str">
        <f t="shared" si="10"/>
        <v>GN</v>
      </c>
      <c r="J178">
        <f t="shared" ca="1" si="11"/>
        <v>1741</v>
      </c>
      <c r="K178">
        <f t="shared" ca="1" si="12"/>
        <v>4</v>
      </c>
      <c r="L178">
        <f t="shared" ca="1" si="13"/>
        <v>2</v>
      </c>
      <c r="M178">
        <f t="shared" ca="1" si="14"/>
        <v>6</v>
      </c>
    </row>
    <row r="179" spans="1:13" x14ac:dyDescent="0.3">
      <c r="A179">
        <v>171</v>
      </c>
      <c r="B179" t="s">
        <v>204</v>
      </c>
      <c r="C179">
        <v>9416</v>
      </c>
      <c r="D179">
        <v>4</v>
      </c>
      <c r="E179">
        <v>16</v>
      </c>
      <c r="F179">
        <v>7</v>
      </c>
      <c r="H179">
        <v>171</v>
      </c>
      <c r="I179" t="str">
        <f t="shared" si="10"/>
        <v>GO</v>
      </c>
      <c r="J179">
        <f t="shared" ca="1" si="11"/>
        <v>76</v>
      </c>
      <c r="K179">
        <f t="shared" ca="1" si="12"/>
        <v>4</v>
      </c>
      <c r="L179">
        <f t="shared" ca="1" si="13"/>
        <v>15</v>
      </c>
      <c r="M179">
        <f t="shared" ca="1" si="14"/>
        <v>3</v>
      </c>
    </row>
    <row r="180" spans="1:13" x14ac:dyDescent="0.3">
      <c r="A180">
        <v>172</v>
      </c>
      <c r="B180" t="s">
        <v>205</v>
      </c>
      <c r="C180">
        <v>15516</v>
      </c>
      <c r="D180">
        <v>4</v>
      </c>
      <c r="E180">
        <v>2</v>
      </c>
      <c r="F180">
        <v>8</v>
      </c>
      <c r="H180">
        <v>172</v>
      </c>
      <c r="I180" t="str">
        <f t="shared" si="10"/>
        <v>GP</v>
      </c>
      <c r="J180">
        <f t="shared" ca="1" si="11"/>
        <v>2609</v>
      </c>
      <c r="K180">
        <f t="shared" ca="1" si="12"/>
        <v>4</v>
      </c>
      <c r="L180">
        <f t="shared" ca="1" si="13"/>
        <v>14</v>
      </c>
      <c r="M180">
        <f t="shared" ca="1" si="14"/>
        <v>6</v>
      </c>
    </row>
    <row r="181" spans="1:13" x14ac:dyDescent="0.3">
      <c r="A181">
        <v>173</v>
      </c>
      <c r="B181" t="s">
        <v>206</v>
      </c>
      <c r="C181">
        <v>10510</v>
      </c>
      <c r="D181">
        <v>5</v>
      </c>
      <c r="E181">
        <v>1</v>
      </c>
      <c r="F181">
        <v>8</v>
      </c>
      <c r="H181">
        <v>173</v>
      </c>
      <c r="I181" t="str">
        <f t="shared" si="10"/>
        <v>GQ</v>
      </c>
      <c r="J181">
        <f t="shared" ca="1" si="11"/>
        <v>82</v>
      </c>
      <c r="K181">
        <f t="shared" ca="1" si="12"/>
        <v>5</v>
      </c>
      <c r="L181">
        <f t="shared" ca="1" si="13"/>
        <v>1</v>
      </c>
      <c r="M181">
        <f t="shared" ca="1" si="14"/>
        <v>3</v>
      </c>
    </row>
    <row r="182" spans="1:13" x14ac:dyDescent="0.3">
      <c r="A182">
        <v>174</v>
      </c>
      <c r="B182" t="s">
        <v>207</v>
      </c>
      <c r="C182">
        <v>127</v>
      </c>
      <c r="D182">
        <v>3</v>
      </c>
      <c r="E182">
        <v>20</v>
      </c>
      <c r="F182">
        <v>4</v>
      </c>
      <c r="H182">
        <v>174</v>
      </c>
      <c r="I182" t="str">
        <f t="shared" si="10"/>
        <v>GR</v>
      </c>
      <c r="J182">
        <f t="shared" ca="1" si="11"/>
        <v>595</v>
      </c>
      <c r="K182">
        <f t="shared" ca="1" si="12"/>
        <v>3</v>
      </c>
      <c r="L182">
        <f t="shared" ca="1" si="13"/>
        <v>12</v>
      </c>
      <c r="M182">
        <f t="shared" ca="1" si="14"/>
        <v>5</v>
      </c>
    </row>
    <row r="183" spans="1:13" x14ac:dyDescent="0.3">
      <c r="A183">
        <v>175</v>
      </c>
      <c r="B183" t="s">
        <v>208</v>
      </c>
      <c r="C183">
        <v>18</v>
      </c>
      <c r="D183">
        <v>4</v>
      </c>
      <c r="E183">
        <v>4</v>
      </c>
      <c r="F183">
        <v>2</v>
      </c>
      <c r="H183">
        <v>175</v>
      </c>
      <c r="I183" t="str">
        <f t="shared" si="10"/>
        <v>GS</v>
      </c>
      <c r="J183">
        <f t="shared" ca="1" si="11"/>
        <v>5</v>
      </c>
      <c r="K183">
        <f t="shared" ca="1" si="12"/>
        <v>4</v>
      </c>
      <c r="L183">
        <f t="shared" ca="1" si="13"/>
        <v>1</v>
      </c>
      <c r="M183">
        <f t="shared" ca="1" si="14"/>
        <v>1</v>
      </c>
    </row>
    <row r="184" spans="1:13" x14ac:dyDescent="0.3">
      <c r="A184">
        <v>176</v>
      </c>
      <c r="B184" t="s">
        <v>209</v>
      </c>
      <c r="C184">
        <v>976</v>
      </c>
      <c r="D184">
        <v>2</v>
      </c>
      <c r="E184">
        <v>1</v>
      </c>
      <c r="F184">
        <v>5</v>
      </c>
      <c r="H184">
        <v>176</v>
      </c>
      <c r="I184" t="str">
        <f t="shared" si="10"/>
        <v>GT</v>
      </c>
      <c r="J184">
        <f t="shared" ca="1" si="11"/>
        <v>2206</v>
      </c>
      <c r="K184">
        <f t="shared" ca="1" si="12"/>
        <v>5</v>
      </c>
      <c r="L184">
        <f t="shared" ca="1" si="13"/>
        <v>15</v>
      </c>
      <c r="M184">
        <f t="shared" ca="1" si="14"/>
        <v>6</v>
      </c>
    </row>
    <row r="185" spans="1:13" x14ac:dyDescent="0.3">
      <c r="A185">
        <v>177</v>
      </c>
      <c r="B185" t="s">
        <v>210</v>
      </c>
      <c r="C185">
        <v>17964</v>
      </c>
      <c r="D185">
        <v>3</v>
      </c>
      <c r="E185">
        <v>11</v>
      </c>
      <c r="F185">
        <v>8</v>
      </c>
      <c r="H185">
        <v>177</v>
      </c>
      <c r="I185" t="str">
        <f t="shared" si="10"/>
        <v>GU</v>
      </c>
      <c r="J185">
        <f t="shared" ca="1" si="11"/>
        <v>1922</v>
      </c>
      <c r="K185">
        <f t="shared" ca="1" si="12"/>
        <v>5</v>
      </c>
      <c r="L185">
        <f t="shared" ca="1" si="13"/>
        <v>1</v>
      </c>
      <c r="M185">
        <f t="shared" ca="1" si="14"/>
        <v>6</v>
      </c>
    </row>
    <row r="186" spans="1:13" x14ac:dyDescent="0.3">
      <c r="A186">
        <v>178</v>
      </c>
      <c r="B186" t="s">
        <v>211</v>
      </c>
      <c r="C186">
        <v>1962</v>
      </c>
      <c r="D186">
        <v>5</v>
      </c>
      <c r="E186">
        <v>6</v>
      </c>
      <c r="F186">
        <v>6</v>
      </c>
      <c r="H186">
        <v>178</v>
      </c>
      <c r="I186" t="str">
        <f t="shared" si="10"/>
        <v>GV</v>
      </c>
      <c r="J186">
        <f t="shared" ca="1" si="11"/>
        <v>61</v>
      </c>
      <c r="K186">
        <f t="shared" ca="1" si="12"/>
        <v>5</v>
      </c>
      <c r="L186">
        <f t="shared" ca="1" si="13"/>
        <v>2</v>
      </c>
      <c r="M186">
        <f t="shared" ca="1" si="14"/>
        <v>3</v>
      </c>
    </row>
    <row r="187" spans="1:13" x14ac:dyDescent="0.3">
      <c r="A187">
        <v>179</v>
      </c>
      <c r="B187" t="s">
        <v>212</v>
      </c>
      <c r="C187">
        <v>5840</v>
      </c>
      <c r="D187">
        <v>5</v>
      </c>
      <c r="E187">
        <v>1</v>
      </c>
      <c r="F187">
        <v>7</v>
      </c>
      <c r="H187">
        <v>179</v>
      </c>
      <c r="I187" t="str">
        <f t="shared" si="10"/>
        <v>GW</v>
      </c>
      <c r="J187">
        <f t="shared" ca="1" si="11"/>
        <v>197</v>
      </c>
      <c r="K187">
        <f t="shared" ca="1" si="12"/>
        <v>4</v>
      </c>
      <c r="L187">
        <f t="shared" ca="1" si="13"/>
        <v>7</v>
      </c>
      <c r="M187">
        <f t="shared" ca="1" si="14"/>
        <v>4</v>
      </c>
    </row>
    <row r="188" spans="1:13" x14ac:dyDescent="0.3">
      <c r="A188">
        <v>180</v>
      </c>
      <c r="B188" t="s">
        <v>213</v>
      </c>
      <c r="C188">
        <v>2840</v>
      </c>
      <c r="D188">
        <v>2</v>
      </c>
      <c r="E188">
        <v>1</v>
      </c>
      <c r="F188">
        <v>6</v>
      </c>
      <c r="H188">
        <v>180</v>
      </c>
      <c r="I188" t="str">
        <f t="shared" si="10"/>
        <v>GX</v>
      </c>
      <c r="J188">
        <f t="shared" ca="1" si="11"/>
        <v>52</v>
      </c>
      <c r="K188">
        <f t="shared" ca="1" si="12"/>
        <v>5</v>
      </c>
      <c r="L188">
        <f t="shared" ca="1" si="13"/>
        <v>5</v>
      </c>
      <c r="M188">
        <f t="shared" ca="1" si="14"/>
        <v>3</v>
      </c>
    </row>
    <row r="189" spans="1:13" x14ac:dyDescent="0.3">
      <c r="A189">
        <v>181</v>
      </c>
      <c r="B189" t="s">
        <v>214</v>
      </c>
      <c r="C189">
        <v>12552</v>
      </c>
      <c r="D189">
        <v>5</v>
      </c>
      <c r="E189">
        <v>1</v>
      </c>
      <c r="F189">
        <v>8</v>
      </c>
      <c r="H189">
        <v>181</v>
      </c>
      <c r="I189" t="str">
        <f t="shared" si="10"/>
        <v>GY</v>
      </c>
      <c r="J189">
        <f t="shared" ca="1" si="11"/>
        <v>168</v>
      </c>
      <c r="K189">
        <f t="shared" ca="1" si="12"/>
        <v>4</v>
      </c>
      <c r="L189">
        <f t="shared" ca="1" si="13"/>
        <v>4</v>
      </c>
      <c r="M189">
        <f t="shared" ca="1" si="14"/>
        <v>4</v>
      </c>
    </row>
    <row r="190" spans="1:13" x14ac:dyDescent="0.3">
      <c r="A190">
        <v>182</v>
      </c>
      <c r="B190" t="s">
        <v>215</v>
      </c>
      <c r="C190">
        <v>1</v>
      </c>
      <c r="D190">
        <v>5</v>
      </c>
      <c r="E190">
        <v>1</v>
      </c>
      <c r="F190">
        <v>1</v>
      </c>
      <c r="H190">
        <v>182</v>
      </c>
      <c r="I190" t="str">
        <f t="shared" si="10"/>
        <v>GZ</v>
      </c>
      <c r="J190">
        <f t="shared" ca="1" si="11"/>
        <v>18</v>
      </c>
      <c r="K190">
        <f t="shared" ca="1" si="12"/>
        <v>4</v>
      </c>
      <c r="L190">
        <f t="shared" ca="1" si="13"/>
        <v>12</v>
      </c>
      <c r="M190">
        <f t="shared" ca="1" si="14"/>
        <v>2</v>
      </c>
    </row>
    <row r="191" spans="1:13" x14ac:dyDescent="0.3">
      <c r="A191">
        <v>183</v>
      </c>
      <c r="B191" t="s">
        <v>216</v>
      </c>
      <c r="C191">
        <v>13907</v>
      </c>
      <c r="D191">
        <v>5</v>
      </c>
      <c r="E191">
        <v>1</v>
      </c>
      <c r="F191">
        <v>8</v>
      </c>
      <c r="H191">
        <v>183</v>
      </c>
      <c r="I191" t="str">
        <f t="shared" si="10"/>
        <v>HA</v>
      </c>
      <c r="J191">
        <f t="shared" ca="1" si="11"/>
        <v>11757</v>
      </c>
      <c r="K191">
        <f t="shared" ca="1" si="12"/>
        <v>4</v>
      </c>
      <c r="L191">
        <f t="shared" ca="1" si="13"/>
        <v>10</v>
      </c>
      <c r="M191">
        <f t="shared" ca="1" si="14"/>
        <v>8</v>
      </c>
    </row>
    <row r="192" spans="1:13" x14ac:dyDescent="0.3">
      <c r="A192">
        <v>184</v>
      </c>
      <c r="B192" t="s">
        <v>217</v>
      </c>
      <c r="C192">
        <v>265</v>
      </c>
      <c r="D192">
        <v>3</v>
      </c>
      <c r="E192">
        <v>10</v>
      </c>
      <c r="F192">
        <v>4</v>
      </c>
      <c r="H192">
        <v>184</v>
      </c>
      <c r="I192" t="str">
        <f t="shared" si="10"/>
        <v>HB</v>
      </c>
      <c r="J192">
        <f t="shared" ca="1" si="11"/>
        <v>3</v>
      </c>
      <c r="K192">
        <f t="shared" ca="1" si="12"/>
        <v>3</v>
      </c>
      <c r="L192">
        <f t="shared" ca="1" si="13"/>
        <v>6</v>
      </c>
      <c r="M192">
        <f t="shared" ca="1" si="14"/>
        <v>1</v>
      </c>
    </row>
    <row r="193" spans="1:13" x14ac:dyDescent="0.3">
      <c r="A193">
        <v>185</v>
      </c>
      <c r="B193" t="s">
        <v>218</v>
      </c>
      <c r="C193">
        <v>91</v>
      </c>
      <c r="D193">
        <v>4</v>
      </c>
      <c r="E193">
        <v>20</v>
      </c>
      <c r="F193">
        <v>3</v>
      </c>
      <c r="H193">
        <v>185</v>
      </c>
      <c r="I193" t="str">
        <f t="shared" si="10"/>
        <v>HC</v>
      </c>
      <c r="J193">
        <f t="shared" ca="1" si="11"/>
        <v>1</v>
      </c>
      <c r="K193">
        <f t="shared" ca="1" si="12"/>
        <v>3</v>
      </c>
      <c r="L193">
        <f t="shared" ca="1" si="13"/>
        <v>1</v>
      </c>
      <c r="M193">
        <f t="shared" ca="1" si="14"/>
        <v>1</v>
      </c>
    </row>
    <row r="194" spans="1:13" x14ac:dyDescent="0.3">
      <c r="A194">
        <v>186</v>
      </c>
      <c r="B194" t="s">
        <v>219</v>
      </c>
      <c r="C194">
        <v>42</v>
      </c>
      <c r="D194">
        <v>1</v>
      </c>
      <c r="E194">
        <v>6</v>
      </c>
      <c r="F194">
        <v>2</v>
      </c>
      <c r="H194">
        <v>186</v>
      </c>
      <c r="I194" t="str">
        <f t="shared" si="10"/>
        <v>HD</v>
      </c>
      <c r="J194">
        <f t="shared" ca="1" si="11"/>
        <v>216</v>
      </c>
      <c r="K194">
        <f t="shared" ca="1" si="12"/>
        <v>3</v>
      </c>
      <c r="L194">
        <f t="shared" ca="1" si="13"/>
        <v>2</v>
      </c>
      <c r="M194">
        <f t="shared" ca="1" si="14"/>
        <v>4</v>
      </c>
    </row>
    <row r="195" spans="1:13" x14ac:dyDescent="0.3">
      <c r="A195">
        <v>187</v>
      </c>
      <c r="B195" t="s">
        <v>220</v>
      </c>
      <c r="C195">
        <v>9648</v>
      </c>
      <c r="D195">
        <v>2</v>
      </c>
      <c r="E195">
        <v>6</v>
      </c>
      <c r="F195">
        <v>7</v>
      </c>
      <c r="H195">
        <v>187</v>
      </c>
      <c r="I195" t="str">
        <f t="shared" si="10"/>
        <v>HE</v>
      </c>
      <c r="J195">
        <f t="shared" ca="1" si="11"/>
        <v>5</v>
      </c>
      <c r="K195">
        <f t="shared" ca="1" si="12"/>
        <v>3</v>
      </c>
      <c r="L195">
        <f t="shared" ca="1" si="13"/>
        <v>17</v>
      </c>
      <c r="M195">
        <f t="shared" ca="1" si="14"/>
        <v>1</v>
      </c>
    </row>
    <row r="196" spans="1:13" x14ac:dyDescent="0.3">
      <c r="A196">
        <v>188</v>
      </c>
      <c r="B196" t="s">
        <v>221</v>
      </c>
      <c r="C196">
        <v>4997</v>
      </c>
      <c r="D196">
        <v>5</v>
      </c>
      <c r="E196">
        <v>1</v>
      </c>
      <c r="F196">
        <v>6</v>
      </c>
      <c r="H196">
        <v>188</v>
      </c>
      <c r="I196" t="str">
        <f t="shared" si="10"/>
        <v>HF</v>
      </c>
      <c r="J196">
        <f t="shared" ca="1" si="11"/>
        <v>4010</v>
      </c>
      <c r="K196">
        <f t="shared" ca="1" si="12"/>
        <v>3</v>
      </c>
      <c r="L196">
        <f t="shared" ca="1" si="13"/>
        <v>3</v>
      </c>
      <c r="M196">
        <f t="shared" ca="1" si="14"/>
        <v>6</v>
      </c>
    </row>
    <row r="197" spans="1:13" x14ac:dyDescent="0.3">
      <c r="A197">
        <v>189</v>
      </c>
      <c r="B197" t="s">
        <v>222</v>
      </c>
      <c r="C197">
        <v>3654</v>
      </c>
      <c r="D197">
        <v>5</v>
      </c>
      <c r="E197">
        <v>3</v>
      </c>
      <c r="F197">
        <v>6</v>
      </c>
      <c r="H197">
        <v>189</v>
      </c>
      <c r="I197" t="str">
        <f t="shared" si="10"/>
        <v>HG</v>
      </c>
      <c r="J197">
        <f t="shared" ca="1" si="11"/>
        <v>1763</v>
      </c>
      <c r="K197">
        <f t="shared" ca="1" si="12"/>
        <v>4</v>
      </c>
      <c r="L197">
        <f t="shared" ca="1" si="13"/>
        <v>19</v>
      </c>
      <c r="M197">
        <f t="shared" ca="1" si="14"/>
        <v>6</v>
      </c>
    </row>
    <row r="198" spans="1:13" x14ac:dyDescent="0.3">
      <c r="A198">
        <v>190</v>
      </c>
      <c r="B198" t="s">
        <v>223</v>
      </c>
      <c r="C198">
        <v>131</v>
      </c>
      <c r="D198">
        <v>5</v>
      </c>
      <c r="E198">
        <v>6</v>
      </c>
      <c r="F198">
        <v>4</v>
      </c>
      <c r="H198">
        <v>190</v>
      </c>
      <c r="I198" t="str">
        <f t="shared" si="10"/>
        <v>HH</v>
      </c>
      <c r="J198">
        <f t="shared" ca="1" si="11"/>
        <v>31</v>
      </c>
      <c r="K198">
        <f t="shared" ca="1" si="12"/>
        <v>3</v>
      </c>
      <c r="L198">
        <f t="shared" ca="1" si="13"/>
        <v>6</v>
      </c>
      <c r="M198">
        <f t="shared" ca="1" si="14"/>
        <v>2</v>
      </c>
    </row>
    <row r="199" spans="1:13" x14ac:dyDescent="0.3">
      <c r="A199">
        <v>191</v>
      </c>
      <c r="B199" t="s">
        <v>224</v>
      </c>
      <c r="C199">
        <v>11017</v>
      </c>
      <c r="D199">
        <v>4</v>
      </c>
      <c r="E199">
        <v>7</v>
      </c>
      <c r="F199">
        <v>8</v>
      </c>
      <c r="H199">
        <v>191</v>
      </c>
      <c r="I199" t="str">
        <f t="shared" si="10"/>
        <v>HI</v>
      </c>
      <c r="J199">
        <f t="shared" ca="1" si="11"/>
        <v>2430</v>
      </c>
      <c r="K199">
        <f t="shared" ca="1" si="12"/>
        <v>5</v>
      </c>
      <c r="L199">
        <f t="shared" ca="1" si="13"/>
        <v>18</v>
      </c>
      <c r="M199">
        <f t="shared" ca="1" si="14"/>
        <v>6</v>
      </c>
    </row>
    <row r="200" spans="1:13" x14ac:dyDescent="0.3">
      <c r="A200">
        <v>192</v>
      </c>
      <c r="B200" t="s">
        <v>225</v>
      </c>
      <c r="C200">
        <v>52</v>
      </c>
      <c r="D200">
        <v>2</v>
      </c>
      <c r="E200">
        <v>1</v>
      </c>
      <c r="F200">
        <v>3</v>
      </c>
      <c r="H200">
        <v>192</v>
      </c>
      <c r="I200" t="str">
        <f t="shared" si="10"/>
        <v>HJ</v>
      </c>
      <c r="J200">
        <f t="shared" ca="1" si="11"/>
        <v>18</v>
      </c>
      <c r="K200">
        <f t="shared" ca="1" si="12"/>
        <v>3</v>
      </c>
      <c r="L200">
        <f t="shared" ca="1" si="13"/>
        <v>17</v>
      </c>
      <c r="M200">
        <f t="shared" ca="1" si="14"/>
        <v>2</v>
      </c>
    </row>
    <row r="201" spans="1:13" x14ac:dyDescent="0.3">
      <c r="A201">
        <v>193</v>
      </c>
      <c r="B201" t="s">
        <v>226</v>
      </c>
      <c r="C201">
        <v>570</v>
      </c>
      <c r="D201">
        <v>4</v>
      </c>
      <c r="E201">
        <v>2</v>
      </c>
      <c r="F201">
        <v>5</v>
      </c>
      <c r="H201">
        <v>193</v>
      </c>
      <c r="I201" t="str">
        <f t="shared" si="10"/>
        <v>HK</v>
      </c>
      <c r="J201">
        <f t="shared" ca="1" si="11"/>
        <v>23</v>
      </c>
      <c r="K201">
        <f t="shared" ca="1" si="12"/>
        <v>5</v>
      </c>
      <c r="L201">
        <f t="shared" ca="1" si="13"/>
        <v>2</v>
      </c>
      <c r="M201">
        <f t="shared" ca="1" si="14"/>
        <v>2</v>
      </c>
    </row>
    <row r="202" spans="1:13" x14ac:dyDescent="0.3">
      <c r="A202">
        <v>194</v>
      </c>
      <c r="B202" t="s">
        <v>227</v>
      </c>
      <c r="C202">
        <v>2072</v>
      </c>
      <c r="D202">
        <v>5</v>
      </c>
      <c r="E202">
        <v>4</v>
      </c>
      <c r="F202">
        <v>6</v>
      </c>
      <c r="H202">
        <v>194</v>
      </c>
      <c r="I202" t="str">
        <f t="shared" ref="I202:I258" si="15">CHAR(65+FLOOR((H202-1)/26,1))&amp;CHAR(65+MOD(H202-1,26))</f>
        <v>HL</v>
      </c>
      <c r="J202">
        <f t="shared" ref="J202:J258" ca="1" si="16">FLOOR(EXP(RAND()*10),1)</f>
        <v>813</v>
      </c>
      <c r="K202">
        <f t="shared" ref="K202:K258" ca="1" si="17">_xlfn.CEILING.MATH((RAND()^(1/2))*5,1)</f>
        <v>4</v>
      </c>
      <c r="L202">
        <f t="shared" ref="L202:L258" ca="1" si="18">_xlfn.CEILING.MATH((RAND()^2)*20,1)</f>
        <v>1</v>
      </c>
      <c r="M202">
        <f t="shared" ref="M202:M258" ca="1" si="19">MATCH(J202,$O$10:$O$17,1)</f>
        <v>5</v>
      </c>
    </row>
    <row r="203" spans="1:13" x14ac:dyDescent="0.3">
      <c r="A203">
        <v>195</v>
      </c>
      <c r="B203" t="s">
        <v>228</v>
      </c>
      <c r="C203">
        <v>6200</v>
      </c>
      <c r="D203">
        <v>5</v>
      </c>
      <c r="E203">
        <v>8</v>
      </c>
      <c r="F203">
        <v>7</v>
      </c>
      <c r="H203">
        <v>195</v>
      </c>
      <c r="I203" t="str">
        <f t="shared" si="15"/>
        <v>HM</v>
      </c>
      <c r="J203">
        <f t="shared" ca="1" si="16"/>
        <v>1862</v>
      </c>
      <c r="K203">
        <f t="shared" ca="1" si="17"/>
        <v>3</v>
      </c>
      <c r="L203">
        <f t="shared" ca="1" si="18"/>
        <v>1</v>
      </c>
      <c r="M203">
        <f t="shared" ca="1" si="19"/>
        <v>6</v>
      </c>
    </row>
    <row r="204" spans="1:13" x14ac:dyDescent="0.3">
      <c r="A204">
        <v>196</v>
      </c>
      <c r="B204" t="s">
        <v>229</v>
      </c>
      <c r="C204">
        <v>2</v>
      </c>
      <c r="D204">
        <v>1</v>
      </c>
      <c r="E204">
        <v>4</v>
      </c>
      <c r="F204">
        <v>1</v>
      </c>
      <c r="H204">
        <v>196</v>
      </c>
      <c r="I204" t="str">
        <f t="shared" si="15"/>
        <v>HN</v>
      </c>
      <c r="J204">
        <f t="shared" ca="1" si="16"/>
        <v>291</v>
      </c>
      <c r="K204">
        <f t="shared" ca="1" si="17"/>
        <v>5</v>
      </c>
      <c r="L204">
        <f t="shared" ca="1" si="18"/>
        <v>20</v>
      </c>
      <c r="M204">
        <f t="shared" ca="1" si="19"/>
        <v>4</v>
      </c>
    </row>
    <row r="205" spans="1:13" x14ac:dyDescent="0.3">
      <c r="A205">
        <v>197</v>
      </c>
      <c r="B205" t="s">
        <v>230</v>
      </c>
      <c r="C205">
        <v>5209</v>
      </c>
      <c r="D205">
        <v>5</v>
      </c>
      <c r="E205">
        <v>5</v>
      </c>
      <c r="F205">
        <v>7</v>
      </c>
      <c r="H205">
        <v>197</v>
      </c>
      <c r="I205" t="str">
        <f t="shared" si="15"/>
        <v>HO</v>
      </c>
      <c r="J205">
        <f t="shared" ca="1" si="16"/>
        <v>4</v>
      </c>
      <c r="K205">
        <f t="shared" ca="1" si="17"/>
        <v>3</v>
      </c>
      <c r="L205">
        <f t="shared" ca="1" si="18"/>
        <v>1</v>
      </c>
      <c r="M205">
        <f t="shared" ca="1" si="19"/>
        <v>1</v>
      </c>
    </row>
    <row r="206" spans="1:13" x14ac:dyDescent="0.3">
      <c r="A206">
        <v>198</v>
      </c>
      <c r="B206" t="s">
        <v>231</v>
      </c>
      <c r="C206">
        <v>66</v>
      </c>
      <c r="D206">
        <v>5</v>
      </c>
      <c r="E206">
        <v>1</v>
      </c>
      <c r="F206">
        <v>3</v>
      </c>
      <c r="H206">
        <v>198</v>
      </c>
      <c r="I206" t="str">
        <f t="shared" si="15"/>
        <v>HP</v>
      </c>
      <c r="J206">
        <f t="shared" ca="1" si="16"/>
        <v>332</v>
      </c>
      <c r="K206">
        <f t="shared" ca="1" si="17"/>
        <v>5</v>
      </c>
      <c r="L206">
        <f t="shared" ca="1" si="18"/>
        <v>6</v>
      </c>
      <c r="M206">
        <f t="shared" ca="1" si="19"/>
        <v>4</v>
      </c>
    </row>
    <row r="207" spans="1:13" x14ac:dyDescent="0.3">
      <c r="A207">
        <v>199</v>
      </c>
      <c r="B207" t="s">
        <v>232</v>
      </c>
      <c r="C207">
        <v>29</v>
      </c>
      <c r="D207">
        <v>5</v>
      </c>
      <c r="E207">
        <v>1</v>
      </c>
      <c r="F207">
        <v>2</v>
      </c>
      <c r="H207">
        <v>199</v>
      </c>
      <c r="I207" t="str">
        <f t="shared" si="15"/>
        <v>HQ</v>
      </c>
      <c r="J207">
        <f t="shared" ca="1" si="16"/>
        <v>1046</v>
      </c>
      <c r="K207">
        <f t="shared" ca="1" si="17"/>
        <v>5</v>
      </c>
      <c r="L207">
        <f t="shared" ca="1" si="18"/>
        <v>9</v>
      </c>
      <c r="M207">
        <f t="shared" ca="1" si="19"/>
        <v>6</v>
      </c>
    </row>
    <row r="208" spans="1:13" x14ac:dyDescent="0.3">
      <c r="A208">
        <v>200</v>
      </c>
      <c r="B208" t="s">
        <v>233</v>
      </c>
      <c r="C208">
        <v>73</v>
      </c>
      <c r="D208">
        <v>4</v>
      </c>
      <c r="E208">
        <v>2</v>
      </c>
      <c r="F208">
        <v>3</v>
      </c>
      <c r="H208">
        <v>200</v>
      </c>
      <c r="I208" t="str">
        <f t="shared" si="15"/>
        <v>HR</v>
      </c>
      <c r="J208">
        <f t="shared" ca="1" si="16"/>
        <v>2</v>
      </c>
      <c r="K208">
        <f t="shared" ca="1" si="17"/>
        <v>4</v>
      </c>
      <c r="L208">
        <f t="shared" ca="1" si="18"/>
        <v>13</v>
      </c>
      <c r="M208">
        <f t="shared" ca="1" si="19"/>
        <v>1</v>
      </c>
    </row>
    <row r="209" spans="1:13" x14ac:dyDescent="0.3">
      <c r="A209">
        <v>201</v>
      </c>
      <c r="B209" t="s">
        <v>234</v>
      </c>
      <c r="C209">
        <v>4029</v>
      </c>
      <c r="D209">
        <v>5</v>
      </c>
      <c r="E209">
        <v>15</v>
      </c>
      <c r="F209">
        <v>6</v>
      </c>
      <c r="H209">
        <v>201</v>
      </c>
      <c r="I209" t="str">
        <f t="shared" si="15"/>
        <v>HS</v>
      </c>
      <c r="J209">
        <f t="shared" ca="1" si="16"/>
        <v>19</v>
      </c>
      <c r="K209">
        <f t="shared" ca="1" si="17"/>
        <v>4</v>
      </c>
      <c r="L209">
        <f t="shared" ca="1" si="18"/>
        <v>11</v>
      </c>
      <c r="M209">
        <f t="shared" ca="1" si="19"/>
        <v>2</v>
      </c>
    </row>
    <row r="210" spans="1:13" x14ac:dyDescent="0.3">
      <c r="A210">
        <v>202</v>
      </c>
      <c r="B210" t="s">
        <v>235</v>
      </c>
      <c r="C210">
        <v>3089</v>
      </c>
      <c r="D210">
        <v>5</v>
      </c>
      <c r="E210">
        <v>1</v>
      </c>
      <c r="F210">
        <v>6</v>
      </c>
      <c r="H210">
        <v>202</v>
      </c>
      <c r="I210" t="str">
        <f t="shared" si="15"/>
        <v>HT</v>
      </c>
      <c r="J210">
        <f t="shared" ca="1" si="16"/>
        <v>5</v>
      </c>
      <c r="K210">
        <f t="shared" ca="1" si="17"/>
        <v>3</v>
      </c>
      <c r="L210">
        <f t="shared" ca="1" si="18"/>
        <v>3</v>
      </c>
      <c r="M210">
        <f t="shared" ca="1" si="19"/>
        <v>1</v>
      </c>
    </row>
    <row r="211" spans="1:13" x14ac:dyDescent="0.3">
      <c r="A211">
        <v>203</v>
      </c>
      <c r="B211" t="s">
        <v>236</v>
      </c>
      <c r="C211">
        <v>334</v>
      </c>
      <c r="D211">
        <v>4</v>
      </c>
      <c r="E211">
        <v>11</v>
      </c>
      <c r="F211">
        <v>4</v>
      </c>
      <c r="H211">
        <v>203</v>
      </c>
      <c r="I211" t="str">
        <f t="shared" si="15"/>
        <v>HU</v>
      </c>
      <c r="J211">
        <f t="shared" ca="1" si="16"/>
        <v>2</v>
      </c>
      <c r="K211">
        <f t="shared" ca="1" si="17"/>
        <v>3</v>
      </c>
      <c r="L211">
        <f t="shared" ca="1" si="18"/>
        <v>18</v>
      </c>
      <c r="M211">
        <f t="shared" ca="1" si="19"/>
        <v>1</v>
      </c>
    </row>
    <row r="212" spans="1:13" x14ac:dyDescent="0.3">
      <c r="A212">
        <v>204</v>
      </c>
      <c r="B212" t="s">
        <v>237</v>
      </c>
      <c r="C212">
        <v>512</v>
      </c>
      <c r="D212">
        <v>4</v>
      </c>
      <c r="E212">
        <v>1</v>
      </c>
      <c r="F212">
        <v>5</v>
      </c>
      <c r="H212">
        <v>204</v>
      </c>
      <c r="I212" t="str">
        <f t="shared" si="15"/>
        <v>HV</v>
      </c>
      <c r="J212">
        <f t="shared" ca="1" si="16"/>
        <v>3108</v>
      </c>
      <c r="K212">
        <f t="shared" ca="1" si="17"/>
        <v>4</v>
      </c>
      <c r="L212">
        <f t="shared" ca="1" si="18"/>
        <v>1</v>
      </c>
      <c r="M212">
        <f t="shared" ca="1" si="19"/>
        <v>6</v>
      </c>
    </row>
    <row r="213" spans="1:13" x14ac:dyDescent="0.3">
      <c r="A213">
        <v>205</v>
      </c>
      <c r="B213" t="s">
        <v>238</v>
      </c>
      <c r="C213">
        <v>1</v>
      </c>
      <c r="D213">
        <v>3</v>
      </c>
      <c r="E213">
        <v>19</v>
      </c>
      <c r="F213">
        <v>1</v>
      </c>
      <c r="H213">
        <v>205</v>
      </c>
      <c r="I213" t="str">
        <f t="shared" si="15"/>
        <v>HW</v>
      </c>
      <c r="J213">
        <f t="shared" ca="1" si="16"/>
        <v>1711</v>
      </c>
      <c r="K213">
        <f t="shared" ca="1" si="17"/>
        <v>2</v>
      </c>
      <c r="L213">
        <f t="shared" ca="1" si="18"/>
        <v>1</v>
      </c>
      <c r="M213">
        <f t="shared" ca="1" si="19"/>
        <v>6</v>
      </c>
    </row>
    <row r="214" spans="1:13" x14ac:dyDescent="0.3">
      <c r="A214">
        <v>206</v>
      </c>
      <c r="B214" t="s">
        <v>239</v>
      </c>
      <c r="C214">
        <v>287</v>
      </c>
      <c r="D214">
        <v>2</v>
      </c>
      <c r="E214">
        <v>1</v>
      </c>
      <c r="F214">
        <v>4</v>
      </c>
      <c r="H214">
        <v>206</v>
      </c>
      <c r="I214" t="str">
        <f t="shared" si="15"/>
        <v>HX</v>
      </c>
      <c r="J214">
        <f t="shared" ca="1" si="16"/>
        <v>52</v>
      </c>
      <c r="K214">
        <f t="shared" ca="1" si="17"/>
        <v>4</v>
      </c>
      <c r="L214">
        <f t="shared" ca="1" si="18"/>
        <v>13</v>
      </c>
      <c r="M214">
        <f t="shared" ca="1" si="19"/>
        <v>3</v>
      </c>
    </row>
    <row r="215" spans="1:13" x14ac:dyDescent="0.3">
      <c r="A215">
        <v>207</v>
      </c>
      <c r="B215" t="s">
        <v>240</v>
      </c>
      <c r="C215">
        <v>1202</v>
      </c>
      <c r="D215">
        <v>4</v>
      </c>
      <c r="E215">
        <v>7</v>
      </c>
      <c r="F215">
        <v>6</v>
      </c>
      <c r="H215">
        <v>207</v>
      </c>
      <c r="I215" t="str">
        <f t="shared" si="15"/>
        <v>HY</v>
      </c>
      <c r="J215">
        <f t="shared" ca="1" si="16"/>
        <v>21</v>
      </c>
      <c r="K215">
        <f t="shared" ca="1" si="17"/>
        <v>4</v>
      </c>
      <c r="L215">
        <f t="shared" ca="1" si="18"/>
        <v>11</v>
      </c>
      <c r="M215">
        <f t="shared" ca="1" si="19"/>
        <v>2</v>
      </c>
    </row>
    <row r="216" spans="1:13" x14ac:dyDescent="0.3">
      <c r="A216">
        <v>208</v>
      </c>
      <c r="B216" t="s">
        <v>241</v>
      </c>
      <c r="C216">
        <v>7</v>
      </c>
      <c r="D216">
        <v>5</v>
      </c>
      <c r="E216">
        <v>6</v>
      </c>
      <c r="F216">
        <v>1</v>
      </c>
      <c r="H216">
        <v>208</v>
      </c>
      <c r="I216" t="str">
        <f t="shared" si="15"/>
        <v>HZ</v>
      </c>
      <c r="J216">
        <f t="shared" ca="1" si="16"/>
        <v>896</v>
      </c>
      <c r="K216">
        <f t="shared" ca="1" si="17"/>
        <v>4</v>
      </c>
      <c r="L216">
        <f t="shared" ca="1" si="18"/>
        <v>6</v>
      </c>
      <c r="M216">
        <f t="shared" ca="1" si="19"/>
        <v>5</v>
      </c>
    </row>
    <row r="217" spans="1:13" x14ac:dyDescent="0.3">
      <c r="A217">
        <v>209</v>
      </c>
      <c r="B217" t="s">
        <v>242</v>
      </c>
      <c r="C217">
        <v>5</v>
      </c>
      <c r="D217">
        <v>1</v>
      </c>
      <c r="E217">
        <v>4</v>
      </c>
      <c r="F217">
        <v>1</v>
      </c>
      <c r="H217">
        <v>209</v>
      </c>
      <c r="I217" t="str">
        <f t="shared" si="15"/>
        <v>IA</v>
      </c>
      <c r="J217">
        <f t="shared" ca="1" si="16"/>
        <v>16452</v>
      </c>
      <c r="K217">
        <f t="shared" ca="1" si="17"/>
        <v>2</v>
      </c>
      <c r="L217">
        <f t="shared" ca="1" si="18"/>
        <v>9</v>
      </c>
      <c r="M217">
        <f t="shared" ca="1" si="19"/>
        <v>8</v>
      </c>
    </row>
    <row r="218" spans="1:13" x14ac:dyDescent="0.3">
      <c r="A218">
        <v>210</v>
      </c>
      <c r="B218" t="s">
        <v>243</v>
      </c>
      <c r="C218">
        <v>186</v>
      </c>
      <c r="D218">
        <v>3</v>
      </c>
      <c r="E218">
        <v>1</v>
      </c>
      <c r="F218">
        <v>4</v>
      </c>
      <c r="H218">
        <v>210</v>
      </c>
      <c r="I218" t="str">
        <f t="shared" si="15"/>
        <v>IB</v>
      </c>
      <c r="J218">
        <f t="shared" ca="1" si="16"/>
        <v>53</v>
      </c>
      <c r="K218">
        <f t="shared" ca="1" si="17"/>
        <v>4</v>
      </c>
      <c r="L218">
        <f t="shared" ca="1" si="18"/>
        <v>2</v>
      </c>
      <c r="M218">
        <f t="shared" ca="1" si="19"/>
        <v>3</v>
      </c>
    </row>
    <row r="219" spans="1:13" x14ac:dyDescent="0.3">
      <c r="A219">
        <v>211</v>
      </c>
      <c r="B219" t="s">
        <v>244</v>
      </c>
      <c r="C219">
        <v>4</v>
      </c>
      <c r="D219">
        <v>3</v>
      </c>
      <c r="E219">
        <v>9</v>
      </c>
      <c r="F219">
        <v>1</v>
      </c>
      <c r="H219">
        <v>211</v>
      </c>
      <c r="I219" t="str">
        <f t="shared" si="15"/>
        <v>IC</v>
      </c>
      <c r="J219">
        <f t="shared" ca="1" si="16"/>
        <v>138</v>
      </c>
      <c r="K219">
        <f t="shared" ca="1" si="17"/>
        <v>4</v>
      </c>
      <c r="L219">
        <f t="shared" ca="1" si="18"/>
        <v>4</v>
      </c>
      <c r="M219">
        <f t="shared" ca="1" si="19"/>
        <v>4</v>
      </c>
    </row>
    <row r="220" spans="1:13" x14ac:dyDescent="0.3">
      <c r="A220">
        <v>212</v>
      </c>
      <c r="B220" t="s">
        <v>245</v>
      </c>
      <c r="C220">
        <v>1</v>
      </c>
      <c r="D220">
        <v>1</v>
      </c>
      <c r="E220">
        <v>5</v>
      </c>
      <c r="F220">
        <v>1</v>
      </c>
      <c r="H220">
        <v>212</v>
      </c>
      <c r="I220" t="str">
        <f t="shared" si="15"/>
        <v>ID</v>
      </c>
      <c r="J220">
        <f t="shared" ca="1" si="16"/>
        <v>1112</v>
      </c>
      <c r="K220">
        <f t="shared" ca="1" si="17"/>
        <v>4</v>
      </c>
      <c r="L220">
        <f t="shared" ca="1" si="18"/>
        <v>12</v>
      </c>
      <c r="M220">
        <f t="shared" ca="1" si="19"/>
        <v>6</v>
      </c>
    </row>
    <row r="221" spans="1:13" x14ac:dyDescent="0.3">
      <c r="A221">
        <v>213</v>
      </c>
      <c r="B221" t="s">
        <v>246</v>
      </c>
      <c r="C221">
        <v>57</v>
      </c>
      <c r="D221">
        <v>5</v>
      </c>
      <c r="E221">
        <v>17</v>
      </c>
      <c r="F221">
        <v>3</v>
      </c>
      <c r="H221">
        <v>213</v>
      </c>
      <c r="I221" t="str">
        <f t="shared" si="15"/>
        <v>IE</v>
      </c>
      <c r="J221">
        <f t="shared" ca="1" si="16"/>
        <v>600</v>
      </c>
      <c r="K221">
        <f t="shared" ca="1" si="17"/>
        <v>5</v>
      </c>
      <c r="L221">
        <f t="shared" ca="1" si="18"/>
        <v>1</v>
      </c>
      <c r="M221">
        <f t="shared" ca="1" si="19"/>
        <v>5</v>
      </c>
    </row>
    <row r="222" spans="1:13" x14ac:dyDescent="0.3">
      <c r="A222">
        <v>214</v>
      </c>
      <c r="B222" t="s">
        <v>247</v>
      </c>
      <c r="C222">
        <v>20</v>
      </c>
      <c r="D222">
        <v>5</v>
      </c>
      <c r="E222">
        <v>1</v>
      </c>
      <c r="F222">
        <v>2</v>
      </c>
      <c r="H222">
        <v>214</v>
      </c>
      <c r="I222" t="str">
        <f t="shared" si="15"/>
        <v>IF</v>
      </c>
      <c r="J222">
        <f t="shared" ca="1" si="16"/>
        <v>22</v>
      </c>
      <c r="K222">
        <f t="shared" ca="1" si="17"/>
        <v>4</v>
      </c>
      <c r="L222">
        <f t="shared" ca="1" si="18"/>
        <v>4</v>
      </c>
      <c r="M222">
        <f t="shared" ca="1" si="19"/>
        <v>2</v>
      </c>
    </row>
    <row r="223" spans="1:13" x14ac:dyDescent="0.3">
      <c r="A223">
        <v>215</v>
      </c>
      <c r="B223" t="s">
        <v>248</v>
      </c>
      <c r="C223">
        <v>326</v>
      </c>
      <c r="D223">
        <v>1</v>
      </c>
      <c r="E223">
        <v>3</v>
      </c>
      <c r="F223">
        <v>4</v>
      </c>
      <c r="H223">
        <v>215</v>
      </c>
      <c r="I223" t="str">
        <f t="shared" si="15"/>
        <v>IG</v>
      </c>
      <c r="J223">
        <f t="shared" ca="1" si="16"/>
        <v>4049</v>
      </c>
      <c r="K223">
        <f t="shared" ca="1" si="17"/>
        <v>3</v>
      </c>
      <c r="L223">
        <f t="shared" ca="1" si="18"/>
        <v>7</v>
      </c>
      <c r="M223">
        <f t="shared" ca="1" si="19"/>
        <v>6</v>
      </c>
    </row>
    <row r="224" spans="1:13" x14ac:dyDescent="0.3">
      <c r="A224">
        <v>216</v>
      </c>
      <c r="B224" t="s">
        <v>249</v>
      </c>
      <c r="C224">
        <v>1</v>
      </c>
      <c r="D224">
        <v>5</v>
      </c>
      <c r="E224">
        <v>20</v>
      </c>
      <c r="F224">
        <v>1</v>
      </c>
      <c r="H224">
        <v>216</v>
      </c>
      <c r="I224" t="str">
        <f t="shared" si="15"/>
        <v>IH</v>
      </c>
      <c r="J224">
        <f t="shared" ca="1" si="16"/>
        <v>3918</v>
      </c>
      <c r="K224">
        <f t="shared" ca="1" si="17"/>
        <v>2</v>
      </c>
      <c r="L224">
        <f t="shared" ca="1" si="18"/>
        <v>1</v>
      </c>
      <c r="M224">
        <f t="shared" ca="1" si="19"/>
        <v>6</v>
      </c>
    </row>
    <row r="225" spans="1:13" x14ac:dyDescent="0.3">
      <c r="A225">
        <v>217</v>
      </c>
      <c r="B225" t="s">
        <v>250</v>
      </c>
      <c r="C225">
        <v>21673</v>
      </c>
      <c r="D225">
        <v>1</v>
      </c>
      <c r="E225">
        <v>12</v>
      </c>
      <c r="F225">
        <v>8</v>
      </c>
      <c r="H225">
        <v>217</v>
      </c>
      <c r="I225" t="str">
        <f t="shared" si="15"/>
        <v>II</v>
      </c>
      <c r="J225">
        <f t="shared" ca="1" si="16"/>
        <v>6</v>
      </c>
      <c r="K225">
        <f t="shared" ca="1" si="17"/>
        <v>5</v>
      </c>
      <c r="L225">
        <f t="shared" ca="1" si="18"/>
        <v>2</v>
      </c>
      <c r="M225">
        <f t="shared" ca="1" si="19"/>
        <v>1</v>
      </c>
    </row>
    <row r="226" spans="1:13" x14ac:dyDescent="0.3">
      <c r="A226">
        <v>218</v>
      </c>
      <c r="B226" t="s">
        <v>251</v>
      </c>
      <c r="C226">
        <v>3</v>
      </c>
      <c r="D226">
        <v>1</v>
      </c>
      <c r="E226">
        <v>1</v>
      </c>
      <c r="F226">
        <v>1</v>
      </c>
      <c r="H226">
        <v>218</v>
      </c>
      <c r="I226" t="str">
        <f t="shared" si="15"/>
        <v>IJ</v>
      </c>
      <c r="J226">
        <f t="shared" ca="1" si="16"/>
        <v>744</v>
      </c>
      <c r="K226">
        <f t="shared" ca="1" si="17"/>
        <v>3</v>
      </c>
      <c r="L226">
        <f t="shared" ca="1" si="18"/>
        <v>3</v>
      </c>
      <c r="M226">
        <f t="shared" ca="1" si="19"/>
        <v>5</v>
      </c>
    </row>
    <row r="227" spans="1:13" x14ac:dyDescent="0.3">
      <c r="A227">
        <v>219</v>
      </c>
      <c r="B227" t="s">
        <v>252</v>
      </c>
      <c r="C227">
        <v>1</v>
      </c>
      <c r="D227">
        <v>5</v>
      </c>
      <c r="E227">
        <v>5</v>
      </c>
      <c r="F227">
        <v>1</v>
      </c>
      <c r="H227">
        <v>219</v>
      </c>
      <c r="I227" t="str">
        <f t="shared" si="15"/>
        <v>IK</v>
      </c>
      <c r="J227">
        <f t="shared" ca="1" si="16"/>
        <v>4</v>
      </c>
      <c r="K227">
        <f t="shared" ca="1" si="17"/>
        <v>4</v>
      </c>
      <c r="L227">
        <f t="shared" ca="1" si="18"/>
        <v>7</v>
      </c>
      <c r="M227">
        <f t="shared" ca="1" si="19"/>
        <v>1</v>
      </c>
    </row>
    <row r="228" spans="1:13" x14ac:dyDescent="0.3">
      <c r="A228">
        <v>220</v>
      </c>
      <c r="B228" t="s">
        <v>253</v>
      </c>
      <c r="C228">
        <v>3</v>
      </c>
      <c r="D228">
        <v>5</v>
      </c>
      <c r="E228">
        <v>3</v>
      </c>
      <c r="F228">
        <v>1</v>
      </c>
      <c r="H228">
        <v>220</v>
      </c>
      <c r="I228" t="str">
        <f t="shared" si="15"/>
        <v>IL</v>
      </c>
      <c r="J228">
        <f t="shared" ca="1" si="16"/>
        <v>2496</v>
      </c>
      <c r="K228">
        <f t="shared" ca="1" si="17"/>
        <v>3</v>
      </c>
      <c r="L228">
        <f t="shared" ca="1" si="18"/>
        <v>2</v>
      </c>
      <c r="M228">
        <f t="shared" ca="1" si="19"/>
        <v>6</v>
      </c>
    </row>
    <row r="229" spans="1:13" x14ac:dyDescent="0.3">
      <c r="A229">
        <v>221</v>
      </c>
      <c r="B229" t="s">
        <v>254</v>
      </c>
      <c r="C229">
        <v>20494</v>
      </c>
      <c r="D229">
        <v>5</v>
      </c>
      <c r="E229">
        <v>2</v>
      </c>
      <c r="F229">
        <v>8</v>
      </c>
      <c r="H229">
        <v>221</v>
      </c>
      <c r="I229" t="str">
        <f t="shared" si="15"/>
        <v>IM</v>
      </c>
      <c r="J229">
        <f t="shared" ca="1" si="16"/>
        <v>1</v>
      </c>
      <c r="K229">
        <f t="shared" ca="1" si="17"/>
        <v>2</v>
      </c>
      <c r="L229">
        <f t="shared" ca="1" si="18"/>
        <v>15</v>
      </c>
      <c r="M229">
        <f t="shared" ca="1" si="19"/>
        <v>1</v>
      </c>
    </row>
    <row r="230" spans="1:13" x14ac:dyDescent="0.3">
      <c r="A230">
        <v>222</v>
      </c>
      <c r="B230" t="s">
        <v>255</v>
      </c>
      <c r="C230">
        <v>1320</v>
      </c>
      <c r="D230">
        <v>3</v>
      </c>
      <c r="E230">
        <v>11</v>
      </c>
      <c r="F230">
        <v>6</v>
      </c>
      <c r="H230">
        <v>222</v>
      </c>
      <c r="I230" t="str">
        <f t="shared" si="15"/>
        <v>IN</v>
      </c>
      <c r="J230">
        <f t="shared" ca="1" si="16"/>
        <v>814</v>
      </c>
      <c r="K230">
        <f t="shared" ca="1" si="17"/>
        <v>4</v>
      </c>
      <c r="L230">
        <f t="shared" ca="1" si="18"/>
        <v>3</v>
      </c>
      <c r="M230">
        <f t="shared" ca="1" si="19"/>
        <v>5</v>
      </c>
    </row>
    <row r="231" spans="1:13" x14ac:dyDescent="0.3">
      <c r="A231">
        <v>223</v>
      </c>
      <c r="B231" t="s">
        <v>256</v>
      </c>
      <c r="C231">
        <v>45</v>
      </c>
      <c r="D231">
        <v>4</v>
      </c>
      <c r="E231">
        <v>20</v>
      </c>
      <c r="F231">
        <v>2</v>
      </c>
      <c r="H231">
        <v>223</v>
      </c>
      <c r="I231" t="str">
        <f t="shared" si="15"/>
        <v>IO</v>
      </c>
      <c r="J231">
        <f t="shared" ca="1" si="16"/>
        <v>3</v>
      </c>
      <c r="K231">
        <f t="shared" ca="1" si="17"/>
        <v>3</v>
      </c>
      <c r="L231">
        <f t="shared" ca="1" si="18"/>
        <v>7</v>
      </c>
      <c r="M231">
        <f t="shared" ca="1" si="19"/>
        <v>1</v>
      </c>
    </row>
    <row r="232" spans="1:13" x14ac:dyDescent="0.3">
      <c r="A232">
        <v>224</v>
      </c>
      <c r="B232" t="s">
        <v>257</v>
      </c>
      <c r="C232">
        <v>713</v>
      </c>
      <c r="D232">
        <v>5</v>
      </c>
      <c r="E232">
        <v>13</v>
      </c>
      <c r="F232">
        <v>5</v>
      </c>
      <c r="H232">
        <v>224</v>
      </c>
      <c r="I232" t="str">
        <f t="shared" si="15"/>
        <v>IP</v>
      </c>
      <c r="J232">
        <f t="shared" ca="1" si="16"/>
        <v>2</v>
      </c>
      <c r="K232">
        <f t="shared" ca="1" si="17"/>
        <v>4</v>
      </c>
      <c r="L232">
        <f t="shared" ca="1" si="18"/>
        <v>2</v>
      </c>
      <c r="M232">
        <f t="shared" ca="1" si="19"/>
        <v>1</v>
      </c>
    </row>
    <row r="233" spans="1:13" x14ac:dyDescent="0.3">
      <c r="A233">
        <v>225</v>
      </c>
      <c r="B233" t="s">
        <v>258</v>
      </c>
      <c r="C233">
        <v>9050</v>
      </c>
      <c r="D233">
        <v>2</v>
      </c>
      <c r="E233">
        <v>1</v>
      </c>
      <c r="F233">
        <v>7</v>
      </c>
      <c r="H233">
        <v>225</v>
      </c>
      <c r="I233" t="str">
        <f t="shared" si="15"/>
        <v>IQ</v>
      </c>
      <c r="J233">
        <f t="shared" ca="1" si="16"/>
        <v>4097</v>
      </c>
      <c r="K233">
        <f t="shared" ca="1" si="17"/>
        <v>5</v>
      </c>
      <c r="L233">
        <f t="shared" ca="1" si="18"/>
        <v>9</v>
      </c>
      <c r="M233">
        <f t="shared" ca="1" si="19"/>
        <v>6</v>
      </c>
    </row>
    <row r="234" spans="1:13" x14ac:dyDescent="0.3">
      <c r="A234">
        <v>226</v>
      </c>
      <c r="B234" t="s">
        <v>259</v>
      </c>
      <c r="C234">
        <v>5</v>
      </c>
      <c r="D234">
        <v>4</v>
      </c>
      <c r="E234">
        <v>10</v>
      </c>
      <c r="F234">
        <v>1</v>
      </c>
      <c r="H234">
        <v>226</v>
      </c>
      <c r="I234" t="str">
        <f t="shared" si="15"/>
        <v>IR</v>
      </c>
      <c r="J234">
        <f t="shared" ca="1" si="16"/>
        <v>2077</v>
      </c>
      <c r="K234">
        <f t="shared" ca="1" si="17"/>
        <v>5</v>
      </c>
      <c r="L234">
        <f t="shared" ca="1" si="18"/>
        <v>2</v>
      </c>
      <c r="M234">
        <f t="shared" ca="1" si="19"/>
        <v>6</v>
      </c>
    </row>
    <row r="235" spans="1:13" x14ac:dyDescent="0.3">
      <c r="A235">
        <v>227</v>
      </c>
      <c r="B235" t="s">
        <v>260</v>
      </c>
      <c r="C235">
        <v>1</v>
      </c>
      <c r="D235">
        <v>3</v>
      </c>
      <c r="E235">
        <v>1</v>
      </c>
      <c r="F235">
        <v>1</v>
      </c>
      <c r="H235">
        <v>227</v>
      </c>
      <c r="I235" t="str">
        <f t="shared" si="15"/>
        <v>IS</v>
      </c>
      <c r="J235">
        <f t="shared" ca="1" si="16"/>
        <v>373</v>
      </c>
      <c r="K235">
        <f t="shared" ca="1" si="17"/>
        <v>1</v>
      </c>
      <c r="L235">
        <f t="shared" ca="1" si="18"/>
        <v>9</v>
      </c>
      <c r="M235">
        <f t="shared" ca="1" si="19"/>
        <v>4</v>
      </c>
    </row>
    <row r="236" spans="1:13" x14ac:dyDescent="0.3">
      <c r="A236">
        <v>228</v>
      </c>
      <c r="B236" t="s">
        <v>261</v>
      </c>
      <c r="C236">
        <v>896</v>
      </c>
      <c r="D236">
        <v>3</v>
      </c>
      <c r="E236">
        <v>19</v>
      </c>
      <c r="F236">
        <v>5</v>
      </c>
      <c r="H236">
        <v>228</v>
      </c>
      <c r="I236" t="str">
        <f t="shared" si="15"/>
        <v>IT</v>
      </c>
      <c r="J236">
        <f t="shared" ca="1" si="16"/>
        <v>4</v>
      </c>
      <c r="K236">
        <f t="shared" ca="1" si="17"/>
        <v>2</v>
      </c>
      <c r="L236">
        <f t="shared" ca="1" si="18"/>
        <v>12</v>
      </c>
      <c r="M236">
        <f t="shared" ca="1" si="19"/>
        <v>1</v>
      </c>
    </row>
    <row r="237" spans="1:13" x14ac:dyDescent="0.3">
      <c r="A237">
        <v>229</v>
      </c>
      <c r="B237" t="s">
        <v>262</v>
      </c>
      <c r="C237">
        <v>73</v>
      </c>
      <c r="D237">
        <v>4</v>
      </c>
      <c r="E237">
        <v>1</v>
      </c>
      <c r="F237">
        <v>3</v>
      </c>
      <c r="H237">
        <v>229</v>
      </c>
      <c r="I237" t="str">
        <f t="shared" si="15"/>
        <v>IU</v>
      </c>
      <c r="J237">
        <f t="shared" ca="1" si="16"/>
        <v>321</v>
      </c>
      <c r="K237">
        <f t="shared" ca="1" si="17"/>
        <v>5</v>
      </c>
      <c r="L237">
        <f t="shared" ca="1" si="18"/>
        <v>20</v>
      </c>
      <c r="M237">
        <f t="shared" ca="1" si="19"/>
        <v>4</v>
      </c>
    </row>
    <row r="238" spans="1:13" x14ac:dyDescent="0.3">
      <c r="A238">
        <v>230</v>
      </c>
      <c r="B238" t="s">
        <v>263</v>
      </c>
      <c r="C238">
        <v>8155</v>
      </c>
      <c r="D238">
        <v>3</v>
      </c>
      <c r="E238">
        <v>13</v>
      </c>
      <c r="F238">
        <v>7</v>
      </c>
      <c r="H238">
        <v>230</v>
      </c>
      <c r="I238" t="str">
        <f t="shared" si="15"/>
        <v>IV</v>
      </c>
      <c r="J238">
        <f t="shared" ca="1" si="16"/>
        <v>2</v>
      </c>
      <c r="K238">
        <f t="shared" ca="1" si="17"/>
        <v>4</v>
      </c>
      <c r="L238">
        <f t="shared" ca="1" si="18"/>
        <v>11</v>
      </c>
      <c r="M238">
        <f t="shared" ca="1" si="19"/>
        <v>1</v>
      </c>
    </row>
    <row r="239" spans="1:13" x14ac:dyDescent="0.3">
      <c r="A239">
        <v>231</v>
      </c>
      <c r="B239" t="s">
        <v>264</v>
      </c>
      <c r="C239">
        <v>10</v>
      </c>
      <c r="D239">
        <v>5</v>
      </c>
      <c r="E239">
        <v>7</v>
      </c>
      <c r="F239">
        <v>1</v>
      </c>
      <c r="H239">
        <v>231</v>
      </c>
      <c r="I239" t="str">
        <f t="shared" si="15"/>
        <v>IW</v>
      </c>
      <c r="J239">
        <f t="shared" ca="1" si="16"/>
        <v>16750</v>
      </c>
      <c r="K239">
        <f t="shared" ca="1" si="17"/>
        <v>2</v>
      </c>
      <c r="L239">
        <f t="shared" ca="1" si="18"/>
        <v>6</v>
      </c>
      <c r="M239">
        <f t="shared" ca="1" si="19"/>
        <v>8</v>
      </c>
    </row>
    <row r="240" spans="1:13" x14ac:dyDescent="0.3">
      <c r="A240">
        <v>232</v>
      </c>
      <c r="B240" t="s">
        <v>265</v>
      </c>
      <c r="C240">
        <v>16525</v>
      </c>
      <c r="D240">
        <v>4</v>
      </c>
      <c r="E240">
        <v>2</v>
      </c>
      <c r="F240">
        <v>8</v>
      </c>
      <c r="H240">
        <v>232</v>
      </c>
      <c r="I240" t="str">
        <f t="shared" si="15"/>
        <v>IX</v>
      </c>
      <c r="J240">
        <f t="shared" ca="1" si="16"/>
        <v>214</v>
      </c>
      <c r="K240">
        <f t="shared" ca="1" si="17"/>
        <v>5</v>
      </c>
      <c r="L240">
        <f t="shared" ca="1" si="18"/>
        <v>8</v>
      </c>
      <c r="M240">
        <f t="shared" ca="1" si="19"/>
        <v>4</v>
      </c>
    </row>
    <row r="241" spans="1:13" x14ac:dyDescent="0.3">
      <c r="A241">
        <v>233</v>
      </c>
      <c r="B241" t="s">
        <v>266</v>
      </c>
      <c r="C241">
        <v>2</v>
      </c>
      <c r="D241">
        <v>3</v>
      </c>
      <c r="E241">
        <v>1</v>
      </c>
      <c r="F241">
        <v>1</v>
      </c>
      <c r="H241">
        <v>233</v>
      </c>
      <c r="I241" t="str">
        <f t="shared" si="15"/>
        <v>IY</v>
      </c>
      <c r="J241">
        <f t="shared" ca="1" si="16"/>
        <v>7</v>
      </c>
      <c r="K241">
        <f t="shared" ca="1" si="17"/>
        <v>5</v>
      </c>
      <c r="L241">
        <f t="shared" ca="1" si="18"/>
        <v>8</v>
      </c>
      <c r="M241">
        <f t="shared" ca="1" si="19"/>
        <v>1</v>
      </c>
    </row>
    <row r="242" spans="1:13" x14ac:dyDescent="0.3">
      <c r="A242">
        <v>234</v>
      </c>
      <c r="B242" t="s">
        <v>267</v>
      </c>
      <c r="C242">
        <v>5115</v>
      </c>
      <c r="D242">
        <v>4</v>
      </c>
      <c r="E242">
        <v>5</v>
      </c>
      <c r="F242">
        <v>7</v>
      </c>
      <c r="H242">
        <v>234</v>
      </c>
      <c r="I242" t="str">
        <f t="shared" si="15"/>
        <v>IZ</v>
      </c>
      <c r="J242">
        <f t="shared" ca="1" si="16"/>
        <v>1</v>
      </c>
      <c r="K242">
        <f t="shared" ca="1" si="17"/>
        <v>2</v>
      </c>
      <c r="L242">
        <f t="shared" ca="1" si="18"/>
        <v>18</v>
      </c>
      <c r="M242">
        <f t="shared" ca="1" si="19"/>
        <v>1</v>
      </c>
    </row>
    <row r="243" spans="1:13" x14ac:dyDescent="0.3">
      <c r="A243">
        <v>235</v>
      </c>
      <c r="B243" t="s">
        <v>268</v>
      </c>
      <c r="C243">
        <v>15485</v>
      </c>
      <c r="D243">
        <v>1</v>
      </c>
      <c r="E243">
        <v>14</v>
      </c>
      <c r="F243">
        <v>8</v>
      </c>
      <c r="H243">
        <v>235</v>
      </c>
      <c r="I243" t="str">
        <f t="shared" si="15"/>
        <v>JA</v>
      </c>
      <c r="J243">
        <f t="shared" ca="1" si="16"/>
        <v>6</v>
      </c>
      <c r="K243">
        <f t="shared" ca="1" si="17"/>
        <v>5</v>
      </c>
      <c r="L243">
        <f t="shared" ca="1" si="18"/>
        <v>1</v>
      </c>
      <c r="M243">
        <f t="shared" ca="1" si="19"/>
        <v>1</v>
      </c>
    </row>
    <row r="244" spans="1:13" x14ac:dyDescent="0.3">
      <c r="A244">
        <v>236</v>
      </c>
      <c r="B244" t="s">
        <v>269</v>
      </c>
      <c r="C244">
        <v>1</v>
      </c>
      <c r="D244">
        <v>3</v>
      </c>
      <c r="E244">
        <v>4</v>
      </c>
      <c r="F244">
        <v>1</v>
      </c>
      <c r="H244">
        <v>236</v>
      </c>
      <c r="I244" t="str">
        <f t="shared" si="15"/>
        <v>JB</v>
      </c>
      <c r="J244">
        <f t="shared" ca="1" si="16"/>
        <v>2</v>
      </c>
      <c r="K244">
        <f t="shared" ca="1" si="17"/>
        <v>4</v>
      </c>
      <c r="L244">
        <f t="shared" ca="1" si="18"/>
        <v>8</v>
      </c>
      <c r="M244">
        <f t="shared" ca="1" si="19"/>
        <v>1</v>
      </c>
    </row>
    <row r="245" spans="1:13" x14ac:dyDescent="0.3">
      <c r="A245">
        <v>237</v>
      </c>
      <c r="B245" t="s">
        <v>270</v>
      </c>
      <c r="C245">
        <v>81</v>
      </c>
      <c r="D245">
        <v>5</v>
      </c>
      <c r="E245">
        <v>1</v>
      </c>
      <c r="F245">
        <v>3</v>
      </c>
      <c r="H245">
        <v>237</v>
      </c>
      <c r="I245" t="str">
        <f t="shared" si="15"/>
        <v>JC</v>
      </c>
      <c r="J245">
        <f t="shared" ca="1" si="16"/>
        <v>174</v>
      </c>
      <c r="K245">
        <f t="shared" ca="1" si="17"/>
        <v>5</v>
      </c>
      <c r="L245">
        <f t="shared" ca="1" si="18"/>
        <v>1</v>
      </c>
      <c r="M245">
        <f t="shared" ca="1" si="19"/>
        <v>4</v>
      </c>
    </row>
    <row r="246" spans="1:13" x14ac:dyDescent="0.3">
      <c r="A246">
        <v>238</v>
      </c>
      <c r="B246" t="s">
        <v>271</v>
      </c>
      <c r="C246">
        <v>1</v>
      </c>
      <c r="D246">
        <v>2</v>
      </c>
      <c r="E246">
        <v>4</v>
      </c>
      <c r="F246">
        <v>1</v>
      </c>
      <c r="H246">
        <v>238</v>
      </c>
      <c r="I246" t="str">
        <f t="shared" si="15"/>
        <v>JD</v>
      </c>
      <c r="J246">
        <f t="shared" ca="1" si="16"/>
        <v>2</v>
      </c>
      <c r="K246">
        <f t="shared" ca="1" si="17"/>
        <v>5</v>
      </c>
      <c r="L246">
        <f t="shared" ca="1" si="18"/>
        <v>1</v>
      </c>
      <c r="M246">
        <f t="shared" ca="1" si="19"/>
        <v>1</v>
      </c>
    </row>
    <row r="247" spans="1:13" x14ac:dyDescent="0.3">
      <c r="A247">
        <v>239</v>
      </c>
      <c r="B247" t="s">
        <v>272</v>
      </c>
      <c r="C247">
        <v>244</v>
      </c>
      <c r="D247">
        <v>5</v>
      </c>
      <c r="E247">
        <v>1</v>
      </c>
      <c r="F247">
        <v>4</v>
      </c>
      <c r="H247">
        <v>239</v>
      </c>
      <c r="I247" t="str">
        <f t="shared" si="15"/>
        <v>JE</v>
      </c>
      <c r="J247">
        <f t="shared" ca="1" si="16"/>
        <v>45</v>
      </c>
      <c r="K247">
        <f t="shared" ca="1" si="17"/>
        <v>2</v>
      </c>
      <c r="L247">
        <f t="shared" ca="1" si="18"/>
        <v>15</v>
      </c>
      <c r="M247">
        <f t="shared" ca="1" si="19"/>
        <v>2</v>
      </c>
    </row>
    <row r="248" spans="1:13" x14ac:dyDescent="0.3">
      <c r="A248">
        <v>240</v>
      </c>
      <c r="B248" t="s">
        <v>273</v>
      </c>
      <c r="C248">
        <v>8622</v>
      </c>
      <c r="D248">
        <v>3</v>
      </c>
      <c r="E248">
        <v>18</v>
      </c>
      <c r="F248">
        <v>7</v>
      </c>
      <c r="H248">
        <v>240</v>
      </c>
      <c r="I248" t="str">
        <f t="shared" si="15"/>
        <v>JF</v>
      </c>
      <c r="J248">
        <f t="shared" ca="1" si="16"/>
        <v>3</v>
      </c>
      <c r="K248">
        <f t="shared" ca="1" si="17"/>
        <v>5</v>
      </c>
      <c r="L248">
        <f t="shared" ca="1" si="18"/>
        <v>7</v>
      </c>
      <c r="M248">
        <f t="shared" ca="1" si="19"/>
        <v>1</v>
      </c>
    </row>
    <row r="249" spans="1:13" x14ac:dyDescent="0.3">
      <c r="A249">
        <v>241</v>
      </c>
      <c r="B249" t="s">
        <v>274</v>
      </c>
      <c r="C249">
        <v>339</v>
      </c>
      <c r="D249">
        <v>3</v>
      </c>
      <c r="E249">
        <v>1</v>
      </c>
      <c r="F249">
        <v>4</v>
      </c>
      <c r="H249">
        <v>241</v>
      </c>
      <c r="I249" t="str">
        <f t="shared" si="15"/>
        <v>JG</v>
      </c>
      <c r="J249">
        <f t="shared" ca="1" si="16"/>
        <v>3</v>
      </c>
      <c r="K249">
        <f t="shared" ca="1" si="17"/>
        <v>3</v>
      </c>
      <c r="L249">
        <f t="shared" ca="1" si="18"/>
        <v>19</v>
      </c>
      <c r="M249">
        <f t="shared" ca="1" si="19"/>
        <v>1</v>
      </c>
    </row>
    <row r="250" spans="1:13" x14ac:dyDescent="0.3">
      <c r="A250">
        <v>242</v>
      </c>
      <c r="B250" t="s">
        <v>275</v>
      </c>
      <c r="C250">
        <v>2774</v>
      </c>
      <c r="D250">
        <v>4</v>
      </c>
      <c r="E250">
        <v>4</v>
      </c>
      <c r="F250">
        <v>6</v>
      </c>
      <c r="H250">
        <v>242</v>
      </c>
      <c r="I250" t="str">
        <f t="shared" si="15"/>
        <v>JH</v>
      </c>
      <c r="J250">
        <f t="shared" ca="1" si="16"/>
        <v>2420</v>
      </c>
      <c r="K250">
        <f t="shared" ca="1" si="17"/>
        <v>5</v>
      </c>
      <c r="L250">
        <f t="shared" ca="1" si="18"/>
        <v>6</v>
      </c>
      <c r="M250">
        <f t="shared" ca="1" si="19"/>
        <v>6</v>
      </c>
    </row>
    <row r="251" spans="1:13" x14ac:dyDescent="0.3">
      <c r="A251">
        <v>243</v>
      </c>
      <c r="B251" t="s">
        <v>276</v>
      </c>
      <c r="C251">
        <v>152</v>
      </c>
      <c r="D251">
        <v>3</v>
      </c>
      <c r="E251">
        <v>3</v>
      </c>
      <c r="F251">
        <v>4</v>
      </c>
      <c r="H251">
        <v>243</v>
      </c>
      <c r="I251" t="str">
        <f t="shared" si="15"/>
        <v>JI</v>
      </c>
      <c r="J251">
        <f t="shared" ca="1" si="16"/>
        <v>24</v>
      </c>
      <c r="K251">
        <f t="shared" ca="1" si="17"/>
        <v>3</v>
      </c>
      <c r="L251">
        <f t="shared" ca="1" si="18"/>
        <v>20</v>
      </c>
      <c r="M251">
        <f t="shared" ca="1" si="19"/>
        <v>2</v>
      </c>
    </row>
    <row r="252" spans="1:13" x14ac:dyDescent="0.3">
      <c r="A252">
        <v>244</v>
      </c>
      <c r="B252" t="s">
        <v>277</v>
      </c>
      <c r="C252">
        <v>630</v>
      </c>
      <c r="D252">
        <v>4</v>
      </c>
      <c r="E252">
        <v>1</v>
      </c>
      <c r="F252">
        <v>5</v>
      </c>
      <c r="H252">
        <v>244</v>
      </c>
      <c r="I252" t="str">
        <f t="shared" si="15"/>
        <v>JJ</v>
      </c>
      <c r="J252">
        <f t="shared" ca="1" si="16"/>
        <v>476</v>
      </c>
      <c r="K252">
        <f t="shared" ca="1" si="17"/>
        <v>4</v>
      </c>
      <c r="L252">
        <f t="shared" ca="1" si="18"/>
        <v>5</v>
      </c>
      <c r="M252">
        <f t="shared" ca="1" si="19"/>
        <v>4</v>
      </c>
    </row>
    <row r="253" spans="1:13" x14ac:dyDescent="0.3">
      <c r="A253">
        <v>245</v>
      </c>
      <c r="B253" t="s">
        <v>278</v>
      </c>
      <c r="C253">
        <v>1</v>
      </c>
      <c r="D253">
        <v>4</v>
      </c>
      <c r="E253">
        <v>15</v>
      </c>
      <c r="F253">
        <v>1</v>
      </c>
      <c r="H253">
        <v>245</v>
      </c>
      <c r="I253" t="str">
        <f t="shared" si="15"/>
        <v>JK</v>
      </c>
      <c r="J253">
        <f t="shared" ca="1" si="16"/>
        <v>2213</v>
      </c>
      <c r="K253">
        <f t="shared" ca="1" si="17"/>
        <v>5</v>
      </c>
      <c r="L253">
        <f t="shared" ca="1" si="18"/>
        <v>18</v>
      </c>
      <c r="M253">
        <f t="shared" ca="1" si="19"/>
        <v>6</v>
      </c>
    </row>
    <row r="254" spans="1:13" x14ac:dyDescent="0.3">
      <c r="A254">
        <v>246</v>
      </c>
      <c r="B254" t="s">
        <v>279</v>
      </c>
      <c r="C254">
        <v>2309</v>
      </c>
      <c r="D254">
        <v>4</v>
      </c>
      <c r="E254">
        <v>4</v>
      </c>
      <c r="F254">
        <v>6</v>
      </c>
      <c r="H254">
        <v>246</v>
      </c>
      <c r="I254" t="str">
        <f t="shared" si="15"/>
        <v>JL</v>
      </c>
      <c r="J254">
        <f t="shared" ca="1" si="16"/>
        <v>857</v>
      </c>
      <c r="K254">
        <f t="shared" ca="1" si="17"/>
        <v>5</v>
      </c>
      <c r="L254">
        <f t="shared" ca="1" si="18"/>
        <v>1</v>
      </c>
      <c r="M254">
        <f t="shared" ca="1" si="19"/>
        <v>5</v>
      </c>
    </row>
    <row r="255" spans="1:13" x14ac:dyDescent="0.3">
      <c r="A255">
        <v>247</v>
      </c>
      <c r="B255" t="s">
        <v>280</v>
      </c>
      <c r="C255">
        <v>7914</v>
      </c>
      <c r="D255">
        <v>3</v>
      </c>
      <c r="E255">
        <v>19</v>
      </c>
      <c r="F255">
        <v>7</v>
      </c>
      <c r="H255">
        <v>247</v>
      </c>
      <c r="I255" t="str">
        <f t="shared" si="15"/>
        <v>JM</v>
      </c>
      <c r="J255">
        <f t="shared" ca="1" si="16"/>
        <v>14357</v>
      </c>
      <c r="K255">
        <f t="shared" ca="1" si="17"/>
        <v>1</v>
      </c>
      <c r="L255">
        <f t="shared" ca="1" si="18"/>
        <v>5</v>
      </c>
      <c r="M255">
        <f t="shared" ca="1" si="19"/>
        <v>8</v>
      </c>
    </row>
    <row r="256" spans="1:13" x14ac:dyDescent="0.3">
      <c r="A256">
        <v>248</v>
      </c>
      <c r="B256" t="s">
        <v>281</v>
      </c>
      <c r="C256">
        <v>5</v>
      </c>
      <c r="D256">
        <v>4</v>
      </c>
      <c r="E256">
        <v>1</v>
      </c>
      <c r="F256">
        <v>1</v>
      </c>
      <c r="H256">
        <v>248</v>
      </c>
      <c r="I256" t="str">
        <f t="shared" si="15"/>
        <v>JN</v>
      </c>
      <c r="J256">
        <f t="shared" ca="1" si="16"/>
        <v>8505</v>
      </c>
      <c r="K256">
        <f t="shared" ca="1" si="17"/>
        <v>4</v>
      </c>
      <c r="L256">
        <f t="shared" ca="1" si="18"/>
        <v>9</v>
      </c>
      <c r="M256">
        <f t="shared" ca="1" si="19"/>
        <v>7</v>
      </c>
    </row>
    <row r="257" spans="1:13" x14ac:dyDescent="0.3">
      <c r="A257">
        <v>249</v>
      </c>
      <c r="B257" t="s">
        <v>282</v>
      </c>
      <c r="C257">
        <v>24</v>
      </c>
      <c r="D257">
        <v>3</v>
      </c>
      <c r="E257">
        <v>1</v>
      </c>
      <c r="F257">
        <v>2</v>
      </c>
      <c r="H257">
        <v>249</v>
      </c>
      <c r="I257" t="str">
        <f t="shared" si="15"/>
        <v>JO</v>
      </c>
      <c r="J257">
        <f t="shared" ca="1" si="16"/>
        <v>21335</v>
      </c>
      <c r="K257">
        <f t="shared" ca="1" si="17"/>
        <v>5</v>
      </c>
      <c r="L257">
        <f t="shared" ca="1" si="18"/>
        <v>4</v>
      </c>
      <c r="M257">
        <f t="shared" ca="1" si="19"/>
        <v>8</v>
      </c>
    </row>
    <row r="258" spans="1:13" x14ac:dyDescent="0.3">
      <c r="A258">
        <v>250</v>
      </c>
      <c r="B258" t="s">
        <v>283</v>
      </c>
      <c r="C258">
        <v>21906</v>
      </c>
      <c r="D258">
        <v>4</v>
      </c>
      <c r="E258">
        <v>10</v>
      </c>
      <c r="F258">
        <v>8</v>
      </c>
      <c r="H258">
        <v>250</v>
      </c>
      <c r="I258" t="str">
        <f t="shared" si="15"/>
        <v>JP</v>
      </c>
      <c r="J258">
        <f t="shared" ca="1" si="16"/>
        <v>16</v>
      </c>
      <c r="K258">
        <f t="shared" ca="1" si="17"/>
        <v>3</v>
      </c>
      <c r="L258">
        <f t="shared" ca="1" si="18"/>
        <v>2</v>
      </c>
      <c r="M258">
        <f t="shared" ca="1" si="19"/>
        <v>2</v>
      </c>
    </row>
  </sheetData>
  <mergeCells count="3">
    <mergeCell ref="O8:P8"/>
    <mergeCell ref="A7:F7"/>
    <mergeCell ref="H7:M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3:D56"/>
  <sheetViews>
    <sheetView workbookViewId="0">
      <selection activeCell="A4" sqref="A4:B4"/>
      <pivotSelection pane="bottomRight" showHeader="1" extendable="1" axis="axisRow" max="6" activeRow="3" previousRow="3" click="1" r:id="rId5">
        <pivotArea dataOnly="0" fieldPosition="0">
          <references count="1">
            <reference field="3" count="1">
              <x v="0"/>
            </reference>
          </references>
        </pivotArea>
      </pivotSelection>
    </sheetView>
  </sheetViews>
  <sheetFormatPr defaultRowHeight="14.4" x14ac:dyDescent="0.3"/>
  <cols>
    <col min="1" max="1" width="11.33203125" customWidth="1"/>
    <col min="2" max="2" width="19.109375" customWidth="1"/>
    <col min="3" max="3" width="11.33203125" customWidth="1"/>
    <col min="4" max="5" width="13.109375" customWidth="1"/>
    <col min="6" max="6" width="18.44140625" bestFit="1" customWidth="1"/>
  </cols>
  <sheetData>
    <row r="3" spans="1:4" x14ac:dyDescent="0.3">
      <c r="A3" s="3" t="s">
        <v>2</v>
      </c>
      <c r="B3" t="s">
        <v>8</v>
      </c>
      <c r="C3" s="3" t="s">
        <v>2</v>
      </c>
      <c r="D3" t="s">
        <v>33</v>
      </c>
    </row>
    <row r="4" spans="1:4" x14ac:dyDescent="0.3">
      <c r="A4" s="47">
        <v>1</v>
      </c>
      <c r="B4" s="4">
        <v>54070</v>
      </c>
      <c r="C4" s="47">
        <v>1</v>
      </c>
      <c r="D4" s="4">
        <v>16</v>
      </c>
    </row>
    <row r="5" spans="1:4" x14ac:dyDescent="0.3">
      <c r="A5" s="47">
        <v>2</v>
      </c>
      <c r="B5" s="4">
        <v>60284</v>
      </c>
      <c r="C5" s="47">
        <v>2</v>
      </c>
      <c r="D5" s="4">
        <v>31</v>
      </c>
    </row>
    <row r="6" spans="1:4" x14ac:dyDescent="0.3">
      <c r="A6" s="47">
        <v>3</v>
      </c>
      <c r="B6" s="4">
        <v>114758</v>
      </c>
      <c r="C6" s="47">
        <v>3</v>
      </c>
      <c r="D6" s="4">
        <v>45</v>
      </c>
    </row>
    <row r="7" spans="1:4" x14ac:dyDescent="0.3">
      <c r="A7" s="47">
        <v>4</v>
      </c>
      <c r="B7" s="4">
        <v>219249</v>
      </c>
      <c r="C7" s="47">
        <v>4</v>
      </c>
      <c r="D7" s="4">
        <v>72</v>
      </c>
    </row>
    <row r="8" spans="1:4" x14ac:dyDescent="0.3">
      <c r="A8" s="47">
        <v>5</v>
      </c>
      <c r="B8" s="4">
        <v>284672</v>
      </c>
      <c r="C8" s="47">
        <v>5</v>
      </c>
      <c r="D8" s="4">
        <v>86</v>
      </c>
    </row>
    <row r="9" spans="1:4" x14ac:dyDescent="0.3">
      <c r="A9" s="47" t="s">
        <v>7</v>
      </c>
      <c r="B9" s="4">
        <v>733033</v>
      </c>
      <c r="C9" s="47" t="s">
        <v>7</v>
      </c>
      <c r="D9" s="4">
        <v>250</v>
      </c>
    </row>
    <row r="20" spans="1:4" x14ac:dyDescent="0.3">
      <c r="A20" s="3" t="s">
        <v>9</v>
      </c>
      <c r="B20" t="s">
        <v>8</v>
      </c>
      <c r="C20" s="3" t="s">
        <v>9</v>
      </c>
      <c r="D20" t="s">
        <v>33</v>
      </c>
    </row>
    <row r="21" spans="1:4" x14ac:dyDescent="0.3">
      <c r="A21" s="47">
        <v>1</v>
      </c>
      <c r="B21" s="4">
        <v>248</v>
      </c>
      <c r="C21" s="47">
        <v>1</v>
      </c>
      <c r="D21" s="4">
        <v>71</v>
      </c>
    </row>
    <row r="22" spans="1:4" x14ac:dyDescent="0.3">
      <c r="A22" s="47">
        <v>2</v>
      </c>
      <c r="B22" s="4">
        <v>678</v>
      </c>
      <c r="C22" s="47">
        <v>2</v>
      </c>
      <c r="D22" s="4">
        <v>28</v>
      </c>
    </row>
    <row r="23" spans="1:4" x14ac:dyDescent="0.3">
      <c r="A23" s="47">
        <v>3</v>
      </c>
      <c r="B23" s="4">
        <v>1280</v>
      </c>
      <c r="C23" s="47">
        <v>3</v>
      </c>
      <c r="D23" s="4">
        <v>18</v>
      </c>
    </row>
    <row r="24" spans="1:4" x14ac:dyDescent="0.3">
      <c r="A24" s="47">
        <v>4</v>
      </c>
      <c r="B24" s="4">
        <v>7157</v>
      </c>
      <c r="C24" s="47">
        <v>4</v>
      </c>
      <c r="D24" s="4">
        <v>29</v>
      </c>
    </row>
    <row r="25" spans="1:4" x14ac:dyDescent="0.3">
      <c r="A25" s="47">
        <v>5</v>
      </c>
      <c r="B25" s="4">
        <v>11077</v>
      </c>
      <c r="C25" s="47">
        <v>5</v>
      </c>
      <c r="D25" s="4">
        <v>16</v>
      </c>
    </row>
    <row r="26" spans="1:4" x14ac:dyDescent="0.3">
      <c r="A26" s="47">
        <v>6</v>
      </c>
      <c r="B26" s="4">
        <v>90372</v>
      </c>
      <c r="C26" s="47">
        <v>6</v>
      </c>
      <c r="D26" s="4">
        <v>35</v>
      </c>
    </row>
    <row r="27" spans="1:4" x14ac:dyDescent="0.3">
      <c r="A27" s="47">
        <v>7</v>
      </c>
      <c r="B27" s="4">
        <v>191757</v>
      </c>
      <c r="C27" s="47">
        <v>7</v>
      </c>
      <c r="D27" s="4">
        <v>26</v>
      </c>
    </row>
    <row r="28" spans="1:4" x14ac:dyDescent="0.3">
      <c r="A28" s="47">
        <v>8</v>
      </c>
      <c r="B28" s="4">
        <v>430464</v>
      </c>
      <c r="C28" s="47">
        <v>8</v>
      </c>
      <c r="D28" s="4">
        <v>27</v>
      </c>
    </row>
    <row r="29" spans="1:4" x14ac:dyDescent="0.3">
      <c r="A29" s="47" t="s">
        <v>7</v>
      </c>
      <c r="B29" s="4">
        <v>733033</v>
      </c>
      <c r="C29" s="47" t="s">
        <v>7</v>
      </c>
      <c r="D29" s="4">
        <v>250</v>
      </c>
    </row>
    <row r="35" spans="1:4" x14ac:dyDescent="0.3">
      <c r="A35" s="3" t="s">
        <v>3</v>
      </c>
      <c r="B35" t="s">
        <v>8</v>
      </c>
      <c r="C35" s="3" t="s">
        <v>3</v>
      </c>
      <c r="D35" t="s">
        <v>33</v>
      </c>
    </row>
    <row r="36" spans="1:4" x14ac:dyDescent="0.3">
      <c r="A36" s="47">
        <v>1</v>
      </c>
      <c r="B36" s="4">
        <v>154137</v>
      </c>
      <c r="C36" s="47">
        <v>1</v>
      </c>
      <c r="D36" s="4">
        <v>70</v>
      </c>
    </row>
    <row r="37" spans="1:4" x14ac:dyDescent="0.3">
      <c r="A37" s="47">
        <v>2</v>
      </c>
      <c r="B37" s="4">
        <v>64458</v>
      </c>
      <c r="C37" s="47">
        <v>2</v>
      </c>
      <c r="D37" s="4">
        <v>16</v>
      </c>
    </row>
    <row r="38" spans="1:4" x14ac:dyDescent="0.3">
      <c r="A38" s="47">
        <v>3</v>
      </c>
      <c r="B38" s="4">
        <v>58191</v>
      </c>
      <c r="C38" s="47">
        <v>3</v>
      </c>
      <c r="D38" s="4">
        <v>23</v>
      </c>
    </row>
    <row r="39" spans="1:4" x14ac:dyDescent="0.3">
      <c r="A39" s="47">
        <v>4</v>
      </c>
      <c r="B39" s="4">
        <v>55989</v>
      </c>
      <c r="C39" s="47">
        <v>4</v>
      </c>
      <c r="D39" s="4">
        <v>16</v>
      </c>
    </row>
    <row r="40" spans="1:4" x14ac:dyDescent="0.3">
      <c r="A40" s="47">
        <v>5</v>
      </c>
      <c r="B40" s="4">
        <v>25367</v>
      </c>
      <c r="C40" s="47">
        <v>5</v>
      </c>
      <c r="D40" s="4">
        <v>10</v>
      </c>
    </row>
    <row r="41" spans="1:4" x14ac:dyDescent="0.3">
      <c r="A41" s="47">
        <v>6</v>
      </c>
      <c r="B41" s="4">
        <v>14152</v>
      </c>
      <c r="C41" s="47">
        <v>6</v>
      </c>
      <c r="D41" s="4">
        <v>11</v>
      </c>
    </row>
    <row r="42" spans="1:4" x14ac:dyDescent="0.3">
      <c r="A42" s="47">
        <v>7</v>
      </c>
      <c r="B42" s="4">
        <v>18554</v>
      </c>
      <c r="C42" s="47">
        <v>7</v>
      </c>
      <c r="D42" s="4">
        <v>10</v>
      </c>
    </row>
    <row r="43" spans="1:4" x14ac:dyDescent="0.3">
      <c r="A43" s="47">
        <v>8</v>
      </c>
      <c r="B43" s="4">
        <v>47871</v>
      </c>
      <c r="C43" s="47">
        <v>8</v>
      </c>
      <c r="D43" s="4">
        <v>7</v>
      </c>
    </row>
    <row r="44" spans="1:4" x14ac:dyDescent="0.3">
      <c r="A44" s="47">
        <v>9</v>
      </c>
      <c r="B44" s="4">
        <v>7640</v>
      </c>
      <c r="C44" s="47">
        <v>9</v>
      </c>
      <c r="D44" s="4">
        <v>4</v>
      </c>
    </row>
    <row r="45" spans="1:4" x14ac:dyDescent="0.3">
      <c r="A45" s="47">
        <v>10</v>
      </c>
      <c r="B45" s="4">
        <v>22480</v>
      </c>
      <c r="C45" s="47">
        <v>10</v>
      </c>
      <c r="D45" s="4">
        <v>11</v>
      </c>
    </row>
    <row r="46" spans="1:4" x14ac:dyDescent="0.3">
      <c r="A46" s="47">
        <v>11</v>
      </c>
      <c r="B46" s="4">
        <v>32954</v>
      </c>
      <c r="C46" s="47">
        <v>11</v>
      </c>
      <c r="D46" s="4">
        <v>12</v>
      </c>
    </row>
    <row r="47" spans="1:4" x14ac:dyDescent="0.3">
      <c r="A47" s="47">
        <v>12</v>
      </c>
      <c r="B47" s="4">
        <v>33785</v>
      </c>
      <c r="C47" s="47">
        <v>12</v>
      </c>
      <c r="D47" s="4">
        <v>10</v>
      </c>
    </row>
    <row r="48" spans="1:4" x14ac:dyDescent="0.3">
      <c r="A48" s="47">
        <v>13</v>
      </c>
      <c r="B48" s="4">
        <v>35042</v>
      </c>
      <c r="C48" s="47">
        <v>13</v>
      </c>
      <c r="D48" s="4">
        <v>7</v>
      </c>
    </row>
    <row r="49" spans="1:4" x14ac:dyDescent="0.3">
      <c r="A49" s="47">
        <v>14</v>
      </c>
      <c r="B49" s="4">
        <v>26851</v>
      </c>
      <c r="C49" s="47">
        <v>14</v>
      </c>
      <c r="D49" s="4">
        <v>4</v>
      </c>
    </row>
    <row r="50" spans="1:4" x14ac:dyDescent="0.3">
      <c r="A50" s="47">
        <v>15</v>
      </c>
      <c r="B50" s="4">
        <v>4098</v>
      </c>
      <c r="C50" s="47">
        <v>15</v>
      </c>
      <c r="D50" s="4">
        <v>3</v>
      </c>
    </row>
    <row r="51" spans="1:4" x14ac:dyDescent="0.3">
      <c r="A51" s="47">
        <v>16</v>
      </c>
      <c r="B51" s="4">
        <v>54711</v>
      </c>
      <c r="C51" s="47">
        <v>16</v>
      </c>
      <c r="D51" s="4">
        <v>5</v>
      </c>
    </row>
    <row r="52" spans="1:4" x14ac:dyDescent="0.3">
      <c r="A52" s="47">
        <v>17</v>
      </c>
      <c r="B52" s="4">
        <v>25463</v>
      </c>
      <c r="C52" s="47">
        <v>17</v>
      </c>
      <c r="D52" s="4">
        <v>10</v>
      </c>
    </row>
    <row r="53" spans="1:4" x14ac:dyDescent="0.3">
      <c r="A53" s="47">
        <v>18</v>
      </c>
      <c r="B53" s="4">
        <v>24897</v>
      </c>
      <c r="C53" s="47">
        <v>18</v>
      </c>
      <c r="D53" s="4">
        <v>6</v>
      </c>
    </row>
    <row r="54" spans="1:4" x14ac:dyDescent="0.3">
      <c r="A54" s="47">
        <v>19</v>
      </c>
      <c r="B54" s="4">
        <v>22856</v>
      </c>
      <c r="C54" s="47">
        <v>19</v>
      </c>
      <c r="D54" s="4">
        <v>7</v>
      </c>
    </row>
    <row r="55" spans="1:4" x14ac:dyDescent="0.3">
      <c r="A55" s="47">
        <v>20</v>
      </c>
      <c r="B55" s="4">
        <v>3537</v>
      </c>
      <c r="C55" s="47">
        <v>20</v>
      </c>
      <c r="D55" s="4">
        <v>8</v>
      </c>
    </row>
    <row r="56" spans="1:4" x14ac:dyDescent="0.3">
      <c r="A56" s="47" t="s">
        <v>7</v>
      </c>
      <c r="B56" s="4">
        <v>733033</v>
      </c>
      <c r="C56" s="47" t="s">
        <v>7</v>
      </c>
      <c r="D56" s="4">
        <v>250</v>
      </c>
    </row>
  </sheetData>
  <pageMargins left="0.7" right="0.7" top="0.75" bottom="0.75" header="0.3" footer="0.3"/>
  <pageSetup orientation="portrait" r:id="rId7"/>
  <drawing r:id="rId8"/>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3:R98"/>
  <sheetViews>
    <sheetView workbookViewId="0">
      <selection activeCell="G11" sqref="G11"/>
    </sheetView>
  </sheetViews>
  <sheetFormatPr defaultRowHeight="14.4" x14ac:dyDescent="0.3"/>
  <cols>
    <col min="1" max="1" width="11.33203125" customWidth="1"/>
    <col min="2" max="3" width="22.88671875" customWidth="1"/>
    <col min="4" max="4" width="13.44140625" bestFit="1" customWidth="1"/>
    <col min="5" max="6" width="18.6640625" bestFit="1" customWidth="1"/>
    <col min="7" max="8" width="15.44140625" bestFit="1" customWidth="1"/>
    <col min="9" max="9" width="11.33203125" customWidth="1"/>
    <col min="10" max="10" width="11.33203125" bestFit="1" customWidth="1"/>
    <col min="11" max="11" width="22.44140625" bestFit="1" customWidth="1"/>
    <col min="12" max="12" width="18.6640625" bestFit="1" customWidth="1"/>
    <col min="13" max="13" width="7.5546875" bestFit="1" customWidth="1"/>
    <col min="14" max="14" width="15.44140625" bestFit="1" customWidth="1"/>
  </cols>
  <sheetData>
    <row r="13" spans="1:7" ht="15" thickBot="1" x14ac:dyDescent="0.35"/>
    <row r="14" spans="1:7" x14ac:dyDescent="0.3">
      <c r="A14" s="72" t="s">
        <v>10</v>
      </c>
      <c r="B14" s="73"/>
      <c r="C14" s="30">
        <v>1</v>
      </c>
      <c r="D14" s="8"/>
      <c r="E14" s="8"/>
      <c r="F14" s="8"/>
      <c r="G14" s="9"/>
    </row>
    <row r="15" spans="1:7" x14ac:dyDescent="0.3">
      <c r="A15" s="70" t="s">
        <v>11</v>
      </c>
      <c r="B15" s="71"/>
      <c r="C15" s="29">
        <v>1</v>
      </c>
      <c r="D15" s="10"/>
      <c r="E15" s="10"/>
      <c r="F15" s="10"/>
      <c r="G15" s="11"/>
    </row>
    <row r="16" spans="1:7" x14ac:dyDescent="0.3">
      <c r="A16" s="70" t="s">
        <v>13</v>
      </c>
      <c r="B16" s="71"/>
      <c r="C16" s="10">
        <f>C14/C15</f>
        <v>1</v>
      </c>
      <c r="D16" s="10"/>
      <c r="E16" s="10"/>
      <c r="F16" s="10"/>
      <c r="G16" s="11"/>
    </row>
    <row r="17" spans="1:8" x14ac:dyDescent="0.3">
      <c r="A17" s="70" t="s">
        <v>17</v>
      </c>
      <c r="B17" s="71"/>
      <c r="C17" s="10">
        <f>2*C15</f>
        <v>2</v>
      </c>
      <c r="D17" s="10"/>
      <c r="E17" s="10"/>
      <c r="F17" s="10"/>
      <c r="G17" s="11"/>
    </row>
    <row r="18" spans="1:8" ht="15" thickBot="1" x14ac:dyDescent="0.35">
      <c r="A18" s="12"/>
      <c r="B18" s="10"/>
      <c r="C18" s="10"/>
      <c r="D18" s="10"/>
      <c r="E18" s="10"/>
      <c r="F18" s="10"/>
      <c r="G18" s="11"/>
    </row>
    <row r="19" spans="1:8" ht="15" thickBot="1" x14ac:dyDescent="0.35">
      <c r="A19" s="52" t="s">
        <v>2</v>
      </c>
      <c r="B19" s="53" t="s">
        <v>32</v>
      </c>
      <c r="C19" s="5" t="s">
        <v>293</v>
      </c>
      <c r="D19" s="5" t="s">
        <v>12</v>
      </c>
      <c r="E19" s="5" t="s">
        <v>21</v>
      </c>
      <c r="F19" s="5" t="s">
        <v>14</v>
      </c>
      <c r="G19" s="13" t="s">
        <v>291</v>
      </c>
      <c r="H19" s="37"/>
    </row>
    <row r="20" spans="1:8" x14ac:dyDescent="0.3">
      <c r="A20" s="62">
        <v>1</v>
      </c>
      <c r="B20" s="59">
        <v>16</v>
      </c>
      <c r="C20" s="31">
        <f ca="1">RAND()</f>
        <v>0.2169848405275363</v>
      </c>
      <c r="D20" s="10">
        <f ca="1">-SIGN(0.5-C20)*LN(1-2*ABS(0.5-C20))*$C$16</f>
        <v>0.8347806066421174</v>
      </c>
      <c r="E20" s="10">
        <f ca="1">GETPIVOTDATA("Industry",$A$19,"Industry",1)+D20</f>
        <v>16.834780606642116</v>
      </c>
      <c r="F20" s="18">
        <f ca="1">ABS(D20)</f>
        <v>0.8347806066421174</v>
      </c>
      <c r="G20" s="46">
        <f ca="1">F20/B20</f>
        <v>5.2173787915132337E-2</v>
      </c>
    </row>
    <row r="21" spans="1:8" x14ac:dyDescent="0.3">
      <c r="A21" s="63">
        <v>2</v>
      </c>
      <c r="B21" s="60">
        <v>31</v>
      </c>
      <c r="C21" s="31">
        <f t="shared" ref="C21:C24" ca="1" si="0">RAND()</f>
        <v>6.0089871808901463E-2</v>
      </c>
      <c r="D21" s="10">
        <f t="shared" ref="D21:D24" ca="1" si="1">-SIGN(0.5-C21)*LN(1-2*ABS(0.5-C21))*$C$16</f>
        <v>2.1187667933969623</v>
      </c>
      <c r="E21" s="10">
        <f ca="1">GETPIVOTDATA("Industry",$A$19,"Industry",2)+D21</f>
        <v>33.118766793396965</v>
      </c>
      <c r="F21" s="18">
        <f t="shared" ref="F21:F24" ca="1" si="2">ABS(D21)</f>
        <v>2.1187667933969623</v>
      </c>
      <c r="G21" s="46">
        <f ca="1">F21/B21</f>
        <v>6.8347315916031035E-2</v>
      </c>
    </row>
    <row r="22" spans="1:8" x14ac:dyDescent="0.3">
      <c r="A22" s="63">
        <v>3</v>
      </c>
      <c r="B22" s="60">
        <v>45</v>
      </c>
      <c r="C22" s="31">
        <f t="shared" ca="1" si="0"/>
        <v>0.52435864760798168</v>
      </c>
      <c r="D22" s="10">
        <f t="shared" ca="1" si="1"/>
        <v>-4.994398954675091E-2</v>
      </c>
      <c r="E22" s="10">
        <f ca="1">GETPIVOTDATA("Industry",$A$19,"Industry",3)+D22</f>
        <v>44.950056010453252</v>
      </c>
      <c r="F22" s="18">
        <f t="shared" ca="1" si="2"/>
        <v>4.994398954675091E-2</v>
      </c>
      <c r="G22" s="46">
        <f ca="1">F22/B22</f>
        <v>1.1098664343722425E-3</v>
      </c>
    </row>
    <row r="23" spans="1:8" x14ac:dyDescent="0.3">
      <c r="A23" s="63">
        <v>4</v>
      </c>
      <c r="B23" s="60">
        <v>72</v>
      </c>
      <c r="C23" s="31">
        <f t="shared" ca="1" si="0"/>
        <v>0.74545700344998522</v>
      </c>
      <c r="D23" s="10">
        <f t="shared" ca="1" si="1"/>
        <v>-0.67513833151454661</v>
      </c>
      <c r="E23" s="10">
        <f ca="1">GETPIVOTDATA("Industry",$A$19,"Industry",4)+D23</f>
        <v>71.324861668485454</v>
      </c>
      <c r="F23" s="18">
        <f t="shared" ca="1" si="2"/>
        <v>0.67513833151454661</v>
      </c>
      <c r="G23" s="46">
        <f ca="1">F23/B23</f>
        <v>9.3769212710353694E-3</v>
      </c>
    </row>
    <row r="24" spans="1:8" ht="15" thickBot="1" x14ac:dyDescent="0.35">
      <c r="A24" s="64">
        <v>5</v>
      </c>
      <c r="B24" s="60">
        <v>86</v>
      </c>
      <c r="C24" s="31">
        <f t="shared" ca="1" si="0"/>
        <v>0.14592606097561855</v>
      </c>
      <c r="D24" s="10">
        <f t="shared" ca="1" si="1"/>
        <v>1.2315080366675328</v>
      </c>
      <c r="E24" s="10">
        <f ca="1">GETPIVOTDATA("Industry",$A$19,"Industry",5)+D24</f>
        <v>87.231508036667535</v>
      </c>
      <c r="F24" s="18">
        <f t="shared" ca="1" si="2"/>
        <v>1.2315080366675328</v>
      </c>
      <c r="G24" s="46">
        <f ca="1">F24/B24</f>
        <v>1.431986089148294E-2</v>
      </c>
    </row>
    <row r="25" spans="1:8" ht="15" thickBot="1" x14ac:dyDescent="0.35">
      <c r="A25" s="65" t="s">
        <v>7</v>
      </c>
      <c r="B25" s="61">
        <v>250</v>
      </c>
      <c r="C25" s="31"/>
      <c r="D25" s="10"/>
      <c r="E25" s="10"/>
      <c r="F25" s="18"/>
      <c r="G25" s="11"/>
    </row>
    <row r="26" spans="1:8" x14ac:dyDescent="0.3">
      <c r="A26" s="12"/>
      <c r="B26" s="10"/>
      <c r="C26" s="10"/>
      <c r="D26" s="10"/>
      <c r="E26" s="14" t="s">
        <v>15</v>
      </c>
      <c r="F26" s="19">
        <f ca="1">SUM(F20:F24)</f>
        <v>4.9101377577679095</v>
      </c>
      <c r="G26" s="11"/>
    </row>
    <row r="27" spans="1:8" x14ac:dyDescent="0.3">
      <c r="A27" s="12"/>
      <c r="B27" s="10"/>
      <c r="C27" s="10"/>
      <c r="D27" s="10"/>
      <c r="E27" s="14" t="s">
        <v>16</v>
      </c>
      <c r="F27" s="45">
        <f ca="1">F26/GETPIVOTDATA("Industry",$A$19)</f>
        <v>1.9640551031071637E-2</v>
      </c>
      <c r="G27" s="11"/>
    </row>
    <row r="28" spans="1:8" ht="15" thickBot="1" x14ac:dyDescent="0.35">
      <c r="A28" s="12"/>
      <c r="B28" s="10"/>
      <c r="C28" s="10"/>
      <c r="D28" s="10"/>
      <c r="E28" s="10"/>
      <c r="F28" s="10"/>
      <c r="G28" s="11"/>
    </row>
    <row r="29" spans="1:8" ht="15" thickBot="1" x14ac:dyDescent="0.35">
      <c r="A29" s="52" t="s">
        <v>9</v>
      </c>
      <c r="B29" s="53" t="s">
        <v>32</v>
      </c>
      <c r="C29" s="5" t="s">
        <v>293</v>
      </c>
      <c r="D29" s="5" t="s">
        <v>12</v>
      </c>
      <c r="E29" s="5" t="s">
        <v>21</v>
      </c>
      <c r="F29" s="5" t="s">
        <v>14</v>
      </c>
      <c r="G29" s="13" t="s">
        <v>291</v>
      </c>
    </row>
    <row r="30" spans="1:8" x14ac:dyDescent="0.3">
      <c r="A30" s="62">
        <v>1</v>
      </c>
      <c r="B30" s="59">
        <v>71</v>
      </c>
      <c r="C30" s="31">
        <f ca="1">RAND()</f>
        <v>6.8421838144108071E-2</v>
      </c>
      <c r="D30" s="10">
        <f ca="1">-SIGN(0.5-C30)*LN(1-2*ABS(0.5-C30))*$C$16</f>
        <v>1.9889160536371719</v>
      </c>
      <c r="E30" s="10">
        <f t="shared" ref="E30:E37" ca="1" si="3">B30+D30</f>
        <v>72.988916053637169</v>
      </c>
      <c r="F30" s="18">
        <f t="shared" ref="F30:F37" ca="1" si="4">ABS(B30-E30)</f>
        <v>1.9889160536371691</v>
      </c>
      <c r="G30" s="46">
        <f t="shared" ref="G30:G37" ca="1" si="5">F30/B30</f>
        <v>2.8012902163903789E-2</v>
      </c>
    </row>
    <row r="31" spans="1:8" x14ac:dyDescent="0.3">
      <c r="A31" s="63">
        <v>2</v>
      </c>
      <c r="B31" s="60">
        <v>28</v>
      </c>
      <c r="C31" s="31">
        <f t="shared" ref="C31:C37" ca="1" si="6">RAND()</f>
        <v>0.3961766913135083</v>
      </c>
      <c r="D31" s="10">
        <f t="shared" ref="D31:D37" ca="1" si="7">-SIGN(0.5-C31)*LN(1-2*ABS(0.5-C31))*$C$16</f>
        <v>0.23274779649532493</v>
      </c>
      <c r="E31" s="10">
        <f t="shared" ca="1" si="3"/>
        <v>28.232747796495325</v>
      </c>
      <c r="F31" s="18">
        <f t="shared" ca="1" si="4"/>
        <v>0.23274779649532462</v>
      </c>
      <c r="G31" s="46">
        <f t="shared" ca="1" si="5"/>
        <v>8.3124213034044513E-3</v>
      </c>
    </row>
    <row r="32" spans="1:8" x14ac:dyDescent="0.3">
      <c r="A32" s="63">
        <v>3</v>
      </c>
      <c r="B32" s="60">
        <v>18</v>
      </c>
      <c r="C32" s="31">
        <f t="shared" ca="1" si="6"/>
        <v>0.99627958775258929</v>
      </c>
      <c r="D32" s="10">
        <f t="shared" ca="1" si="7"/>
        <v>-4.900773617080703</v>
      </c>
      <c r="E32" s="10">
        <f t="shared" ca="1" si="3"/>
        <v>13.099226382919298</v>
      </c>
      <c r="F32" s="18">
        <f t="shared" ca="1" si="4"/>
        <v>4.9007736170807021</v>
      </c>
      <c r="G32" s="46">
        <f t="shared" ca="1" si="5"/>
        <v>0.27226520094892792</v>
      </c>
    </row>
    <row r="33" spans="1:7" x14ac:dyDescent="0.3">
      <c r="A33" s="63">
        <v>4</v>
      </c>
      <c r="B33" s="60">
        <v>29</v>
      </c>
      <c r="C33" s="31">
        <f t="shared" ca="1" si="6"/>
        <v>0.28229890039595917</v>
      </c>
      <c r="D33" s="10">
        <f t="shared" ca="1" si="7"/>
        <v>0.57164165833165492</v>
      </c>
      <c r="E33" s="10">
        <f t="shared" ca="1" si="3"/>
        <v>29.571641658331654</v>
      </c>
      <c r="F33" s="18">
        <f t="shared" ca="1" si="4"/>
        <v>0.5716416583316537</v>
      </c>
      <c r="G33" s="46">
        <f t="shared" ca="1" si="5"/>
        <v>1.9711781321781162E-2</v>
      </c>
    </row>
    <row r="34" spans="1:7" x14ac:dyDescent="0.3">
      <c r="A34" s="63">
        <v>5</v>
      </c>
      <c r="B34" s="60">
        <v>16</v>
      </c>
      <c r="C34" s="31">
        <f t="shared" ca="1" si="6"/>
        <v>0.27270885786257637</v>
      </c>
      <c r="D34" s="10">
        <f t="shared" ca="1" si="7"/>
        <v>0.60620332702052571</v>
      </c>
      <c r="E34" s="10">
        <f t="shared" ca="1" si="3"/>
        <v>16.606203327020527</v>
      </c>
      <c r="F34" s="18">
        <f t="shared" ca="1" si="4"/>
        <v>0.60620332702052693</v>
      </c>
      <c r="G34" s="46">
        <f t="shared" ca="1" si="5"/>
        <v>3.7887707938782933E-2</v>
      </c>
    </row>
    <row r="35" spans="1:7" x14ac:dyDescent="0.3">
      <c r="A35" s="63">
        <v>6</v>
      </c>
      <c r="B35" s="60">
        <v>35</v>
      </c>
      <c r="C35" s="31">
        <f t="shared" ca="1" si="6"/>
        <v>1.6431070427569749E-2</v>
      </c>
      <c r="D35" s="10">
        <f t="shared" ca="1" si="7"/>
        <v>3.4154340176997553</v>
      </c>
      <c r="E35" s="10">
        <f t="shared" ca="1" si="3"/>
        <v>38.415434017699752</v>
      </c>
      <c r="F35" s="18">
        <f t="shared" ca="1" si="4"/>
        <v>3.4154340176997522</v>
      </c>
      <c r="G35" s="46">
        <f t="shared" ca="1" si="5"/>
        <v>9.7583829077135781E-2</v>
      </c>
    </row>
    <row r="36" spans="1:7" x14ac:dyDescent="0.3">
      <c r="A36" s="63">
        <v>7</v>
      </c>
      <c r="B36" s="60">
        <v>26</v>
      </c>
      <c r="C36" s="31">
        <f t="shared" ca="1" si="6"/>
        <v>0.44708294246003144</v>
      </c>
      <c r="D36" s="10">
        <f t="shared" ca="1" si="7"/>
        <v>0.1118639674197032</v>
      </c>
      <c r="E36" s="10">
        <f t="shared" ca="1" si="3"/>
        <v>26.111863967419705</v>
      </c>
      <c r="F36" s="18">
        <f t="shared" ca="1" si="4"/>
        <v>0.11186396741970484</v>
      </c>
      <c r="G36" s="46">
        <f t="shared" ca="1" si="5"/>
        <v>4.3024602853732625E-3</v>
      </c>
    </row>
    <row r="37" spans="1:7" ht="15" thickBot="1" x14ac:dyDescent="0.35">
      <c r="A37" s="64">
        <v>8</v>
      </c>
      <c r="B37" s="60">
        <v>27</v>
      </c>
      <c r="C37" s="31">
        <f t="shared" ca="1" si="6"/>
        <v>0.6055834982253111</v>
      </c>
      <c r="D37" s="10">
        <f t="shared" ca="1" si="7"/>
        <v>-0.23720063636947267</v>
      </c>
      <c r="E37" s="10">
        <f t="shared" ca="1" si="3"/>
        <v>26.762799363630528</v>
      </c>
      <c r="F37" s="18">
        <f t="shared" ca="1" si="4"/>
        <v>0.23720063636947231</v>
      </c>
      <c r="G37" s="46">
        <f t="shared" ca="1" si="5"/>
        <v>8.7852087544249002E-3</v>
      </c>
    </row>
    <row r="38" spans="1:7" ht="15" thickBot="1" x14ac:dyDescent="0.35">
      <c r="A38" s="65" t="s">
        <v>7</v>
      </c>
      <c r="B38" s="61">
        <v>250</v>
      </c>
      <c r="C38" s="31"/>
      <c r="D38" s="10"/>
      <c r="E38" s="23"/>
      <c r="F38" s="18"/>
      <c r="G38" s="46"/>
    </row>
    <row r="39" spans="1:7" x14ac:dyDescent="0.3">
      <c r="A39" s="12"/>
      <c r="B39" s="10"/>
      <c r="C39" s="10"/>
      <c r="D39" s="10"/>
      <c r="E39" s="14" t="s">
        <v>15</v>
      </c>
      <c r="F39" s="19">
        <f ca="1">SUM(F30:F37)</f>
        <v>12.064781074054306</v>
      </c>
      <c r="G39" s="11"/>
    </row>
    <row r="40" spans="1:7" ht="15" thickBot="1" x14ac:dyDescent="0.35">
      <c r="A40" s="15"/>
      <c r="B40" s="16"/>
      <c r="C40" s="16"/>
      <c r="D40" s="16"/>
      <c r="E40" s="17" t="s">
        <v>292</v>
      </c>
      <c r="F40" s="20">
        <f ca="1">F39/GETPIVOTDATA("Firm Size",$A$29)</f>
        <v>4.8259124296217225E-2</v>
      </c>
      <c r="G40" s="21"/>
    </row>
    <row r="41" spans="1:7" x14ac:dyDescent="0.3">
      <c r="D41" s="6"/>
      <c r="E41" s="7"/>
    </row>
    <row r="42" spans="1:7" x14ac:dyDescent="0.3">
      <c r="D42" s="6"/>
      <c r="E42" s="7"/>
    </row>
    <row r="43" spans="1:7" x14ac:dyDescent="0.3">
      <c r="D43" s="6"/>
      <c r="E43" s="7"/>
    </row>
    <row r="44" spans="1:7" x14ac:dyDescent="0.3">
      <c r="D44" s="6"/>
      <c r="E44" s="7"/>
    </row>
    <row r="45" spans="1:7" x14ac:dyDescent="0.3">
      <c r="D45" s="6"/>
      <c r="E45" s="7"/>
    </row>
    <row r="46" spans="1:7" x14ac:dyDescent="0.3">
      <c r="D46" s="6"/>
      <c r="E46" s="7"/>
    </row>
    <row r="47" spans="1:7" x14ac:dyDescent="0.3">
      <c r="D47" s="6"/>
      <c r="E47" s="7"/>
    </row>
    <row r="48" spans="1:7" x14ac:dyDescent="0.3">
      <c r="D48" s="6"/>
      <c r="E48" s="7"/>
    </row>
    <row r="49" spans="1:18" ht="15" thickBot="1" x14ac:dyDescent="0.35"/>
    <row r="50" spans="1:18" x14ac:dyDescent="0.3">
      <c r="A50" s="72" t="s">
        <v>10</v>
      </c>
      <c r="B50" s="73"/>
      <c r="C50" s="30">
        <v>1</v>
      </c>
      <c r="D50" s="8"/>
      <c r="E50" s="8"/>
      <c r="F50" s="8"/>
      <c r="G50" s="8"/>
      <c r="H50" s="8"/>
      <c r="I50" s="8"/>
      <c r="J50" s="8"/>
      <c r="K50" s="8"/>
      <c r="L50" s="8"/>
      <c r="M50" s="8"/>
      <c r="N50" s="9"/>
    </row>
    <row r="51" spans="1:18" x14ac:dyDescent="0.3">
      <c r="A51" s="70" t="s">
        <v>11</v>
      </c>
      <c r="B51" s="71"/>
      <c r="C51" s="29">
        <v>2</v>
      </c>
      <c r="D51" s="10"/>
      <c r="E51" s="10"/>
      <c r="F51" s="10"/>
      <c r="G51" s="10"/>
      <c r="H51" s="10"/>
      <c r="I51" s="10"/>
      <c r="J51" s="10"/>
      <c r="K51" s="10"/>
      <c r="L51" s="10"/>
      <c r="M51" s="10"/>
      <c r="N51" s="11"/>
    </row>
    <row r="52" spans="1:18" x14ac:dyDescent="0.3">
      <c r="A52" s="70" t="s">
        <v>13</v>
      </c>
      <c r="B52" s="71"/>
      <c r="C52" s="10">
        <f>C50/C51</f>
        <v>0.5</v>
      </c>
      <c r="D52" s="10"/>
      <c r="E52" s="10"/>
      <c r="F52" s="10"/>
      <c r="G52" s="10"/>
      <c r="H52" s="10"/>
      <c r="I52" s="10"/>
      <c r="J52" s="10"/>
      <c r="K52" s="10"/>
      <c r="L52" s="10"/>
      <c r="M52" s="10"/>
      <c r="N52" s="11"/>
    </row>
    <row r="53" spans="1:18" x14ac:dyDescent="0.3">
      <c r="A53" s="70" t="s">
        <v>17</v>
      </c>
      <c r="B53" s="71"/>
      <c r="C53" s="10">
        <f>C51</f>
        <v>2</v>
      </c>
      <c r="D53" s="10"/>
      <c r="E53" s="10"/>
      <c r="F53" s="10"/>
      <c r="G53" s="10"/>
      <c r="H53" s="10"/>
      <c r="I53" s="10"/>
      <c r="J53" s="10"/>
      <c r="K53" s="10"/>
      <c r="L53" s="10"/>
      <c r="M53" s="10"/>
      <c r="N53" s="11"/>
    </row>
    <row r="54" spans="1:18" ht="15" thickBot="1" x14ac:dyDescent="0.35">
      <c r="A54" s="12"/>
      <c r="B54" s="10"/>
      <c r="C54" s="10"/>
      <c r="D54" s="10"/>
      <c r="E54" s="10"/>
      <c r="F54" s="10"/>
      <c r="G54" s="10"/>
      <c r="H54" s="10"/>
      <c r="I54" s="10"/>
      <c r="J54" s="10"/>
      <c r="K54" s="10"/>
      <c r="L54" s="10"/>
      <c r="M54" s="10"/>
      <c r="N54" s="11"/>
      <c r="R54" t="s">
        <v>26</v>
      </c>
    </row>
    <row r="55" spans="1:18" ht="15" thickBot="1" x14ac:dyDescent="0.35">
      <c r="A55" s="52" t="s">
        <v>2</v>
      </c>
      <c r="B55" s="52" t="s">
        <v>9</v>
      </c>
      <c r="C55" s="53" t="s">
        <v>32</v>
      </c>
      <c r="D55" s="37" t="s">
        <v>293</v>
      </c>
      <c r="E55" s="5" t="s">
        <v>12</v>
      </c>
      <c r="F55" s="5" t="s">
        <v>21</v>
      </c>
      <c r="G55" s="5" t="s">
        <v>14</v>
      </c>
      <c r="H55" s="5" t="s">
        <v>291</v>
      </c>
      <c r="I55" s="10"/>
      <c r="J55" s="52" t="s">
        <v>2</v>
      </c>
      <c r="K55" s="53" t="s">
        <v>27</v>
      </c>
      <c r="L55" s="5" t="s">
        <v>294</v>
      </c>
      <c r="M55" s="5" t="s">
        <v>14</v>
      </c>
      <c r="N55" s="13" t="s">
        <v>291</v>
      </c>
    </row>
    <row r="56" spans="1:18" x14ac:dyDescent="0.3">
      <c r="A56" s="54">
        <v>1</v>
      </c>
      <c r="B56" s="54">
        <v>1</v>
      </c>
      <c r="C56" s="49">
        <v>8</v>
      </c>
      <c r="D56" s="31">
        <f ca="1">RAND()</f>
        <v>0.86948606823494501</v>
      </c>
      <c r="E56" s="10">
        <f ca="1">-SIGN(0.5-D56)*LN(1-2*ABS(0.5-D56))*$C$52</f>
        <v>-0.67156406026860138</v>
      </c>
      <c r="F56" s="18">
        <f t="shared" ref="F56:F95" ca="1" si="8">C56+E56</f>
        <v>7.3284359397313983</v>
      </c>
      <c r="G56" s="18">
        <f t="shared" ref="G56:G95" ca="1" si="9">ABS(C56-F56)</f>
        <v>0.67156406026860171</v>
      </c>
      <c r="H56" s="44">
        <f t="shared" ref="H56:H95" ca="1" si="10">IF(C56=0,"Undefined",G56/C56)</f>
        <v>8.3945507533575214E-2</v>
      </c>
      <c r="I56" s="10"/>
      <c r="J56" s="62">
        <v>1</v>
      </c>
      <c r="K56" s="59">
        <v>14.940477946108055</v>
      </c>
      <c r="L56" s="10">
        <f>B20</f>
        <v>16</v>
      </c>
      <c r="M56" s="18">
        <f>ABS(L56-K56)</f>
        <v>1.0595220538919445</v>
      </c>
      <c r="N56" s="46">
        <f>M56/L56</f>
        <v>6.6220128368246534E-2</v>
      </c>
    </row>
    <row r="57" spans="1:18" x14ac:dyDescent="0.3">
      <c r="A57" s="55">
        <v>1</v>
      </c>
      <c r="B57" s="55">
        <v>2</v>
      </c>
      <c r="C57" s="50">
        <v>1</v>
      </c>
      <c r="D57" s="31">
        <f t="shared" ref="D57:D95" ca="1" si="11">RAND()</f>
        <v>0.87834775848484026</v>
      </c>
      <c r="E57" s="10">
        <f t="shared" ref="E57:E95" ca="1" si="12">-SIGN(0.5-D57)*LN(1-2*ABS(0.5-D57))*$C$52</f>
        <v>-0.70672080171302143</v>
      </c>
      <c r="F57" s="18">
        <f t="shared" ca="1" si="8"/>
        <v>0.29327919828697857</v>
      </c>
      <c r="G57" s="18">
        <f t="shared" ca="1" si="9"/>
        <v>0.70672080171302143</v>
      </c>
      <c r="H57" s="44">
        <f t="shared" ca="1" si="10"/>
        <v>0.70672080171302143</v>
      </c>
      <c r="I57" s="10"/>
      <c r="J57" s="63">
        <v>2</v>
      </c>
      <c r="K57" s="60">
        <v>31.576607678940118</v>
      </c>
      <c r="L57" s="10">
        <f>B21</f>
        <v>31</v>
      </c>
      <c r="M57" s="18">
        <f t="shared" ref="M57:M60" si="13">ABS(L57-K57)</f>
        <v>0.57660767894011755</v>
      </c>
      <c r="N57" s="46">
        <f t="shared" ref="N57:N60" si="14">M57/L57</f>
        <v>1.8600247707745727E-2</v>
      </c>
    </row>
    <row r="58" spans="1:18" x14ac:dyDescent="0.3">
      <c r="A58" s="55">
        <v>1</v>
      </c>
      <c r="B58" s="55">
        <v>3</v>
      </c>
      <c r="C58" s="50">
        <v>0</v>
      </c>
      <c r="D58" s="31">
        <f t="shared" ca="1" si="11"/>
        <v>0.87840202470794504</v>
      </c>
      <c r="E58" s="10">
        <f t="shared" ca="1" si="12"/>
        <v>-0.70694388979375289</v>
      </c>
      <c r="F58" s="18">
        <f t="shared" ca="1" si="8"/>
        <v>-0.70694388979375289</v>
      </c>
      <c r="G58" s="18">
        <f t="shared" ca="1" si="9"/>
        <v>0.70694388979375289</v>
      </c>
      <c r="H58" s="44" t="str">
        <f t="shared" si="10"/>
        <v>Undefined</v>
      </c>
      <c r="I58" s="10"/>
      <c r="J58" s="63">
        <v>3</v>
      </c>
      <c r="K58" s="60">
        <v>47.009056343019765</v>
      </c>
      <c r="L58" s="10">
        <f>B22</f>
        <v>45</v>
      </c>
      <c r="M58" s="18">
        <f t="shared" si="13"/>
        <v>2.0090563430197648</v>
      </c>
      <c r="N58" s="46">
        <f t="shared" si="14"/>
        <v>4.4645696511550328E-2</v>
      </c>
    </row>
    <row r="59" spans="1:18" x14ac:dyDescent="0.3">
      <c r="A59" s="55">
        <v>1</v>
      </c>
      <c r="B59" s="55">
        <v>4</v>
      </c>
      <c r="C59" s="50">
        <v>1</v>
      </c>
      <c r="D59" s="31">
        <f t="shared" ca="1" si="11"/>
        <v>0.10144179304606238</v>
      </c>
      <c r="E59" s="10">
        <f t="shared" ca="1" si="12"/>
        <v>0.79756146598111111</v>
      </c>
      <c r="F59" s="18">
        <f t="shared" ca="1" si="8"/>
        <v>1.797561465981111</v>
      </c>
      <c r="G59" s="18">
        <f t="shared" ca="1" si="9"/>
        <v>0.797561465981111</v>
      </c>
      <c r="H59" s="44">
        <f t="shared" ca="1" si="10"/>
        <v>0.797561465981111</v>
      </c>
      <c r="I59" s="10"/>
      <c r="J59" s="63">
        <v>4</v>
      </c>
      <c r="K59" s="60">
        <v>70.178165406656902</v>
      </c>
      <c r="L59" s="10">
        <f>B23</f>
        <v>72</v>
      </c>
      <c r="M59" s="18">
        <f t="shared" si="13"/>
        <v>1.8218345933430982</v>
      </c>
      <c r="N59" s="46">
        <f t="shared" si="14"/>
        <v>2.5303258240876363E-2</v>
      </c>
    </row>
    <row r="60" spans="1:18" ht="15" thickBot="1" x14ac:dyDescent="0.35">
      <c r="A60" s="55">
        <v>1</v>
      </c>
      <c r="B60" s="55">
        <v>5</v>
      </c>
      <c r="C60" s="50">
        <v>1</v>
      </c>
      <c r="D60" s="31">
        <f t="shared" ca="1" si="11"/>
        <v>0.10352290002531206</v>
      </c>
      <c r="E60" s="10">
        <f t="shared" ca="1" si="12"/>
        <v>0.78740762695356059</v>
      </c>
      <c r="F60" s="18">
        <f t="shared" ca="1" si="8"/>
        <v>1.7874076269535606</v>
      </c>
      <c r="G60" s="18">
        <f t="shared" ca="1" si="9"/>
        <v>0.78740762695356059</v>
      </c>
      <c r="H60" s="44">
        <f t="shared" ca="1" si="10"/>
        <v>0.78740762695356059</v>
      </c>
      <c r="I60" s="10"/>
      <c r="J60" s="64">
        <v>5</v>
      </c>
      <c r="K60" s="60">
        <v>85.901764764445588</v>
      </c>
      <c r="L60" s="10">
        <f>B24</f>
        <v>86</v>
      </c>
      <c r="M60" s="18">
        <f t="shared" si="13"/>
        <v>9.823523555441227E-2</v>
      </c>
      <c r="N60" s="46">
        <f t="shared" si="14"/>
        <v>1.1422701808652589E-3</v>
      </c>
    </row>
    <row r="61" spans="1:18" ht="15" thickBot="1" x14ac:dyDescent="0.35">
      <c r="A61" s="55">
        <v>1</v>
      </c>
      <c r="B61" s="55">
        <v>6</v>
      </c>
      <c r="C61" s="50">
        <v>2</v>
      </c>
      <c r="D61" s="31">
        <f t="shared" ca="1" si="11"/>
        <v>0.49564817373472858</v>
      </c>
      <c r="E61" s="10">
        <f t="shared" ca="1" si="12"/>
        <v>4.370875268259136E-3</v>
      </c>
      <c r="F61" s="18">
        <f t="shared" ca="1" si="8"/>
        <v>2.004370875268259</v>
      </c>
      <c r="G61" s="18">
        <f t="shared" ca="1" si="9"/>
        <v>4.3708752682589669E-3</v>
      </c>
      <c r="H61" s="44">
        <f t="shared" ca="1" si="10"/>
        <v>2.1854376341294834E-3</v>
      </c>
      <c r="I61" s="10"/>
      <c r="J61" s="65" t="s">
        <v>7</v>
      </c>
      <c r="K61" s="61">
        <v>249.60607213917046</v>
      </c>
      <c r="L61" s="10"/>
      <c r="M61" s="18"/>
      <c r="N61" s="11"/>
    </row>
    <row r="62" spans="1:18" x14ac:dyDescent="0.3">
      <c r="A62" s="55">
        <v>1</v>
      </c>
      <c r="B62" s="55">
        <v>7</v>
      </c>
      <c r="C62" s="50">
        <v>1</v>
      </c>
      <c r="D62" s="31">
        <f t="shared" ca="1" si="11"/>
        <v>0.67377406625810365</v>
      </c>
      <c r="E62" s="10">
        <f t="shared" ca="1" si="12"/>
        <v>-0.21350895440726009</v>
      </c>
      <c r="F62" s="18">
        <f t="shared" ca="1" si="8"/>
        <v>0.78649104559273986</v>
      </c>
      <c r="G62" s="18">
        <f t="shared" ca="1" si="9"/>
        <v>0.21350895440726014</v>
      </c>
      <c r="H62" s="44">
        <f t="shared" ca="1" si="10"/>
        <v>0.21350895440726014</v>
      </c>
      <c r="I62" s="10"/>
      <c r="J62" s="10"/>
      <c r="K62" s="10"/>
      <c r="L62" s="14" t="s">
        <v>15</v>
      </c>
      <c r="M62" s="19">
        <f>SUM(M56:M60)</f>
        <v>5.5652559047493373</v>
      </c>
      <c r="N62" s="11"/>
    </row>
    <row r="63" spans="1:18" ht="15" thickBot="1" x14ac:dyDescent="0.35">
      <c r="A63" s="55">
        <v>1</v>
      </c>
      <c r="B63" s="56">
        <v>8</v>
      </c>
      <c r="C63" s="50">
        <v>2</v>
      </c>
      <c r="D63" s="31">
        <f t="shared" ca="1" si="11"/>
        <v>0.76386135218415585</v>
      </c>
      <c r="E63" s="10">
        <f t="shared" ca="1" si="12"/>
        <v>-0.37509448757830349</v>
      </c>
      <c r="F63" s="18">
        <f t="shared" ca="1" si="8"/>
        <v>1.6249055124216965</v>
      </c>
      <c r="G63" s="18">
        <f t="shared" ca="1" si="9"/>
        <v>0.37509448757830355</v>
      </c>
      <c r="H63" s="44">
        <f t="shared" ca="1" si="10"/>
        <v>0.18754724378915177</v>
      </c>
      <c r="I63" s="10"/>
      <c r="J63" s="10"/>
      <c r="K63" s="10"/>
      <c r="L63" s="14" t="s">
        <v>292</v>
      </c>
      <c r="M63" s="45">
        <f>M62/GETPIVOTDATA("Industry",$A$19)</f>
        <v>2.2261023618997348E-2</v>
      </c>
      <c r="N63" s="11"/>
    </row>
    <row r="64" spans="1:18" x14ac:dyDescent="0.3">
      <c r="A64" s="55">
        <v>2</v>
      </c>
      <c r="B64" s="54">
        <v>1</v>
      </c>
      <c r="C64" s="50">
        <v>11</v>
      </c>
      <c r="D64" s="31">
        <f t="shared" ca="1" si="11"/>
        <v>0.52288477934840683</v>
      </c>
      <c r="E64" s="10">
        <f t="shared" ca="1" si="12"/>
        <v>-2.3425041987153433E-2</v>
      </c>
      <c r="F64" s="18">
        <f t="shared" ca="1" si="8"/>
        <v>10.976574958012847</v>
      </c>
      <c r="G64" s="18">
        <f t="shared" ca="1" si="9"/>
        <v>2.3425041987152895E-2</v>
      </c>
      <c r="H64" s="44">
        <f t="shared" ca="1" si="10"/>
        <v>2.1295492715593541E-3</v>
      </c>
      <c r="I64" s="10"/>
      <c r="J64" s="10"/>
      <c r="K64" s="10"/>
      <c r="L64" s="10"/>
      <c r="M64" s="10"/>
      <c r="N64" s="11"/>
    </row>
    <row r="65" spans="1:14" ht="15" thickBot="1" x14ac:dyDescent="0.35">
      <c r="A65" s="55">
        <v>2</v>
      </c>
      <c r="B65" s="55">
        <v>2</v>
      </c>
      <c r="C65" s="50">
        <v>4</v>
      </c>
      <c r="D65" s="31">
        <f t="shared" ca="1" si="11"/>
        <v>7.4748187333636085E-2</v>
      </c>
      <c r="E65" s="10">
        <f t="shared" ca="1" si="12"/>
        <v>0.95024156808133409</v>
      </c>
      <c r="F65" s="18">
        <f t="shared" ca="1" si="8"/>
        <v>4.9502415680813341</v>
      </c>
      <c r="G65" s="18">
        <f t="shared" ca="1" si="9"/>
        <v>0.95024156808133409</v>
      </c>
      <c r="H65" s="44">
        <f t="shared" ca="1" si="10"/>
        <v>0.23756039202033352</v>
      </c>
      <c r="I65" s="10"/>
      <c r="J65" s="10"/>
      <c r="K65" s="10"/>
      <c r="L65" s="10"/>
      <c r="M65" s="10"/>
      <c r="N65" s="11"/>
    </row>
    <row r="66" spans="1:14" ht="15" thickBot="1" x14ac:dyDescent="0.35">
      <c r="A66" s="55">
        <v>2</v>
      </c>
      <c r="B66" s="55">
        <v>3</v>
      </c>
      <c r="C66" s="50">
        <v>2</v>
      </c>
      <c r="D66" s="31">
        <f t="shared" ca="1" si="11"/>
        <v>9.6365760583629889E-2</v>
      </c>
      <c r="E66" s="10">
        <f t="shared" ca="1" si="12"/>
        <v>0.82322857028251228</v>
      </c>
      <c r="F66" s="18">
        <f t="shared" ca="1" si="8"/>
        <v>2.8232285702825122</v>
      </c>
      <c r="G66" s="18">
        <f t="shared" ca="1" si="9"/>
        <v>0.82322857028251217</v>
      </c>
      <c r="H66" s="44">
        <f t="shared" ca="1" si="10"/>
        <v>0.41161428514125609</v>
      </c>
      <c r="I66" s="10"/>
      <c r="J66" s="52" t="s">
        <v>9</v>
      </c>
      <c r="K66" s="53" t="s">
        <v>27</v>
      </c>
      <c r="L66" s="5" t="s">
        <v>294</v>
      </c>
      <c r="M66" s="5" t="s">
        <v>14</v>
      </c>
      <c r="N66" s="13" t="s">
        <v>291</v>
      </c>
    </row>
    <row r="67" spans="1:14" x14ac:dyDescent="0.3">
      <c r="A67" s="55">
        <v>2</v>
      </c>
      <c r="B67" s="55">
        <v>4</v>
      </c>
      <c r="C67" s="50">
        <v>4</v>
      </c>
      <c r="D67" s="31">
        <f t="shared" ca="1" si="11"/>
        <v>0.8248461513494133</v>
      </c>
      <c r="E67" s="10">
        <f t="shared" ca="1" si="12"/>
        <v>-0.5244716877827158</v>
      </c>
      <c r="F67" s="18">
        <f t="shared" ca="1" si="8"/>
        <v>3.4755283122172842</v>
      </c>
      <c r="G67" s="18">
        <f t="shared" ca="1" si="9"/>
        <v>0.5244716877827158</v>
      </c>
      <c r="H67" s="44">
        <f t="shared" ca="1" si="10"/>
        <v>0.13111792194567895</v>
      </c>
      <c r="I67" s="10"/>
      <c r="J67" s="62">
        <v>1</v>
      </c>
      <c r="K67" s="59">
        <v>71.891004504691509</v>
      </c>
      <c r="L67" s="10">
        <f t="shared" ref="L67:L74" si="15">B30</f>
        <v>71</v>
      </c>
      <c r="M67" s="18">
        <f>ABS(L67-K67)</f>
        <v>0.89100450469150871</v>
      </c>
      <c r="N67" s="46">
        <f>M67/L67</f>
        <v>1.2549359221007165E-2</v>
      </c>
    </row>
    <row r="68" spans="1:14" x14ac:dyDescent="0.3">
      <c r="A68" s="55">
        <v>2</v>
      </c>
      <c r="B68" s="55">
        <v>5</v>
      </c>
      <c r="C68" s="50">
        <v>2</v>
      </c>
      <c r="D68" s="31">
        <f t="shared" ca="1" si="11"/>
        <v>0.667697241208979</v>
      </c>
      <c r="E68" s="10">
        <f t="shared" ca="1" si="12"/>
        <v>-0.20428081049325134</v>
      </c>
      <c r="F68" s="18">
        <f t="shared" ca="1" si="8"/>
        <v>1.7957191895067486</v>
      </c>
      <c r="G68" s="18">
        <f t="shared" ca="1" si="9"/>
        <v>0.20428081049325142</v>
      </c>
      <c r="H68" s="44">
        <f t="shared" ca="1" si="10"/>
        <v>0.10214040524662571</v>
      </c>
      <c r="I68" s="10"/>
      <c r="J68" s="63">
        <v>2</v>
      </c>
      <c r="K68" s="60">
        <v>28.984473627843045</v>
      </c>
      <c r="L68" s="10">
        <f t="shared" si="15"/>
        <v>28</v>
      </c>
      <c r="M68" s="18">
        <f t="shared" ref="M68:M74" si="16">ABS(L68-K68)</f>
        <v>0.9844736278430446</v>
      </c>
      <c r="N68" s="46">
        <f t="shared" ref="N68:N74" si="17">M68/L68</f>
        <v>3.5159772422965876E-2</v>
      </c>
    </row>
    <row r="69" spans="1:14" x14ac:dyDescent="0.3">
      <c r="A69" s="55">
        <v>2</v>
      </c>
      <c r="B69" s="55">
        <v>6</v>
      </c>
      <c r="C69" s="50">
        <v>3</v>
      </c>
      <c r="D69" s="31">
        <f t="shared" ca="1" si="11"/>
        <v>0.77752910274355103</v>
      </c>
      <c r="E69" s="10">
        <f t="shared" ca="1" si="12"/>
        <v>-0.4049059021091162</v>
      </c>
      <c r="F69" s="18">
        <f t="shared" ca="1" si="8"/>
        <v>2.5950940978908839</v>
      </c>
      <c r="G69" s="18">
        <f t="shared" ca="1" si="9"/>
        <v>0.40490590210911614</v>
      </c>
      <c r="H69" s="44">
        <f t="shared" ca="1" si="10"/>
        <v>0.13496863403637205</v>
      </c>
      <c r="I69" s="10"/>
      <c r="J69" s="63">
        <v>3</v>
      </c>
      <c r="K69" s="60">
        <v>17.269363432604337</v>
      </c>
      <c r="L69" s="10">
        <f t="shared" si="15"/>
        <v>18</v>
      </c>
      <c r="M69" s="18">
        <f t="shared" si="16"/>
        <v>0.73063656739566341</v>
      </c>
      <c r="N69" s="46">
        <f t="shared" si="17"/>
        <v>4.0590920410870188E-2</v>
      </c>
    </row>
    <row r="70" spans="1:14" x14ac:dyDescent="0.3">
      <c r="A70" s="55">
        <v>2</v>
      </c>
      <c r="B70" s="55">
        <v>7</v>
      </c>
      <c r="C70" s="50">
        <v>4</v>
      </c>
      <c r="D70" s="31">
        <f t="shared" ca="1" si="11"/>
        <v>0.15719903240036404</v>
      </c>
      <c r="E70" s="10">
        <f t="shared" ca="1" si="12"/>
        <v>0.57854768682999913</v>
      </c>
      <c r="F70" s="18">
        <f t="shared" ca="1" si="8"/>
        <v>4.5785476868299995</v>
      </c>
      <c r="G70" s="18">
        <f t="shared" ca="1" si="9"/>
        <v>0.57854768682999946</v>
      </c>
      <c r="H70" s="44">
        <f t="shared" ca="1" si="10"/>
        <v>0.14463692170749987</v>
      </c>
      <c r="I70" s="10"/>
      <c r="J70" s="63">
        <v>4</v>
      </c>
      <c r="K70" s="60">
        <v>29.527010445818874</v>
      </c>
      <c r="L70" s="10">
        <f t="shared" si="15"/>
        <v>29</v>
      </c>
      <c r="M70" s="18">
        <f t="shared" si="16"/>
        <v>0.52701044581887402</v>
      </c>
      <c r="N70" s="46">
        <f t="shared" si="17"/>
        <v>1.8172773993754276E-2</v>
      </c>
    </row>
    <row r="71" spans="1:14" ht="15" thickBot="1" x14ac:dyDescent="0.35">
      <c r="A71" s="55">
        <v>2</v>
      </c>
      <c r="B71" s="56">
        <v>8</v>
      </c>
      <c r="C71" s="50">
        <v>1</v>
      </c>
      <c r="D71" s="31">
        <f t="shared" ca="1" si="11"/>
        <v>0.56540634831621939</v>
      </c>
      <c r="E71" s="10">
        <f t="shared" ca="1" si="12"/>
        <v>-7.0098318984452179E-2</v>
      </c>
      <c r="F71" s="18">
        <f t="shared" ca="1" si="8"/>
        <v>0.92990168101554782</v>
      </c>
      <c r="G71" s="18">
        <f t="shared" ca="1" si="9"/>
        <v>7.0098318984452179E-2</v>
      </c>
      <c r="H71" s="44">
        <f t="shared" ca="1" si="10"/>
        <v>7.0098318984452179E-2</v>
      </c>
      <c r="I71" s="10"/>
      <c r="J71" s="63">
        <v>5</v>
      </c>
      <c r="K71" s="60">
        <v>14.862147179569021</v>
      </c>
      <c r="L71" s="10">
        <f t="shared" si="15"/>
        <v>16</v>
      </c>
      <c r="M71" s="18">
        <f t="shared" si="16"/>
        <v>1.1378528204309788</v>
      </c>
      <c r="N71" s="46">
        <f t="shared" si="17"/>
        <v>7.1115801276936175E-2</v>
      </c>
    </row>
    <row r="72" spans="1:14" x14ac:dyDescent="0.3">
      <c r="A72" s="55">
        <v>3</v>
      </c>
      <c r="B72" s="54">
        <v>1</v>
      </c>
      <c r="C72" s="50">
        <v>14</v>
      </c>
      <c r="D72" s="31">
        <f t="shared" ca="1" si="11"/>
        <v>0.18815583976682326</v>
      </c>
      <c r="E72" s="10">
        <f t="shared" ca="1" si="12"/>
        <v>0.48866877201957282</v>
      </c>
      <c r="F72" s="18">
        <f t="shared" ca="1" si="8"/>
        <v>14.488668772019572</v>
      </c>
      <c r="G72" s="18">
        <f t="shared" ca="1" si="9"/>
        <v>0.48866877201957237</v>
      </c>
      <c r="H72" s="44">
        <f t="shared" ca="1" si="10"/>
        <v>3.4904912287112309E-2</v>
      </c>
      <c r="I72" s="10"/>
      <c r="J72" s="63">
        <v>6</v>
      </c>
      <c r="K72" s="60">
        <v>34.985780797971628</v>
      </c>
      <c r="L72" s="10">
        <f t="shared" si="15"/>
        <v>35</v>
      </c>
      <c r="M72" s="18">
        <f t="shared" si="16"/>
        <v>1.4219202028371569E-2</v>
      </c>
      <c r="N72" s="46">
        <f t="shared" si="17"/>
        <v>4.0626291509633053E-4</v>
      </c>
    </row>
    <row r="73" spans="1:14" x14ac:dyDescent="0.3">
      <c r="A73" s="55">
        <v>3</v>
      </c>
      <c r="B73" s="55">
        <v>2</v>
      </c>
      <c r="C73" s="50">
        <v>3</v>
      </c>
      <c r="D73" s="31">
        <f t="shared" ca="1" si="11"/>
        <v>0.97779285027464735</v>
      </c>
      <c r="E73" s="10">
        <f t="shared" ca="1" si="12"/>
        <v>-1.5570969008467406</v>
      </c>
      <c r="F73" s="18">
        <f t="shared" ca="1" si="8"/>
        <v>1.4429030991532594</v>
      </c>
      <c r="G73" s="18">
        <f t="shared" ca="1" si="9"/>
        <v>1.5570969008467406</v>
      </c>
      <c r="H73" s="44">
        <f t="shared" ca="1" si="10"/>
        <v>0.51903230028224689</v>
      </c>
      <c r="I73" s="10"/>
      <c r="J73" s="63">
        <v>7</v>
      </c>
      <c r="K73" s="60">
        <v>25.717700213903896</v>
      </c>
      <c r="L73" s="10">
        <f t="shared" si="15"/>
        <v>26</v>
      </c>
      <c r="M73" s="18">
        <f t="shared" si="16"/>
        <v>0.28229978609610384</v>
      </c>
      <c r="N73" s="46">
        <f t="shared" si="17"/>
        <v>1.0857684080619379E-2</v>
      </c>
    </row>
    <row r="74" spans="1:14" ht="15" thickBot="1" x14ac:dyDescent="0.35">
      <c r="A74" s="55">
        <v>3</v>
      </c>
      <c r="B74" s="55">
        <v>3</v>
      </c>
      <c r="C74" s="50">
        <v>3</v>
      </c>
      <c r="D74" s="31">
        <f t="shared" ca="1" si="11"/>
        <v>0.16846803445671454</v>
      </c>
      <c r="E74" s="10">
        <f t="shared" ca="1" si="12"/>
        <v>0.5439310365573341</v>
      </c>
      <c r="F74" s="18">
        <f t="shared" ca="1" si="8"/>
        <v>3.5439310365573342</v>
      </c>
      <c r="G74" s="18">
        <f t="shared" ca="1" si="9"/>
        <v>0.54393103655733421</v>
      </c>
      <c r="H74" s="44">
        <f t="shared" ca="1" si="10"/>
        <v>0.1813103455191114</v>
      </c>
      <c r="I74" s="10"/>
      <c r="J74" s="64">
        <v>8</v>
      </c>
      <c r="K74" s="60">
        <v>26.368591936768119</v>
      </c>
      <c r="L74" s="10">
        <f t="shared" si="15"/>
        <v>27</v>
      </c>
      <c r="M74" s="18">
        <f t="shared" si="16"/>
        <v>0.63140806323188059</v>
      </c>
      <c r="N74" s="46">
        <f t="shared" si="17"/>
        <v>2.3385483823402983E-2</v>
      </c>
    </row>
    <row r="75" spans="1:14" ht="15" thickBot="1" x14ac:dyDescent="0.35">
      <c r="A75" s="55">
        <v>3</v>
      </c>
      <c r="B75" s="55">
        <v>4</v>
      </c>
      <c r="C75" s="50">
        <v>9</v>
      </c>
      <c r="D75" s="31">
        <f t="shared" ca="1" si="11"/>
        <v>0.72393614813616924</v>
      </c>
      <c r="E75" s="10">
        <f t="shared" ca="1" si="12"/>
        <v>-0.29698795606449457</v>
      </c>
      <c r="F75" s="18">
        <f t="shared" ca="1" si="8"/>
        <v>8.7030120439355052</v>
      </c>
      <c r="G75" s="18">
        <f t="shared" ca="1" si="9"/>
        <v>0.2969879560644948</v>
      </c>
      <c r="H75" s="44">
        <f t="shared" ca="1" si="10"/>
        <v>3.2998661784943865E-2</v>
      </c>
      <c r="I75" s="10"/>
      <c r="J75" s="65" t="s">
        <v>7</v>
      </c>
      <c r="K75" s="61">
        <v>249.60607213917046</v>
      </c>
      <c r="L75" s="10"/>
      <c r="M75" s="10"/>
      <c r="N75" s="11"/>
    </row>
    <row r="76" spans="1:14" x14ac:dyDescent="0.3">
      <c r="A76" s="55">
        <v>3</v>
      </c>
      <c r="B76" s="55">
        <v>5</v>
      </c>
      <c r="C76" s="50">
        <v>3</v>
      </c>
      <c r="D76" s="31">
        <f t="shared" ca="1" si="11"/>
        <v>0.67409610724660862</v>
      </c>
      <c r="E76" s="10">
        <f t="shared" ca="1" si="12"/>
        <v>-0.21400278401234682</v>
      </c>
      <c r="F76" s="18">
        <f t="shared" ca="1" si="8"/>
        <v>2.7859972159876532</v>
      </c>
      <c r="G76" s="18">
        <f t="shared" ca="1" si="9"/>
        <v>0.21400278401234685</v>
      </c>
      <c r="H76" s="44">
        <f t="shared" ca="1" si="10"/>
        <v>7.1334261337448954E-2</v>
      </c>
      <c r="I76" s="10"/>
      <c r="J76" s="10"/>
      <c r="K76" s="10"/>
      <c r="L76" s="14" t="s">
        <v>15</v>
      </c>
      <c r="M76" s="19">
        <f>SUM(M67:M74)</f>
        <v>5.1989050175364255</v>
      </c>
      <c r="N76" s="11"/>
    </row>
    <row r="77" spans="1:14" x14ac:dyDescent="0.3">
      <c r="A77" s="55">
        <v>3</v>
      </c>
      <c r="B77" s="55">
        <v>6</v>
      </c>
      <c r="C77" s="50">
        <v>5</v>
      </c>
      <c r="D77" s="31">
        <f t="shared" ca="1" si="11"/>
        <v>0.38977430039612326</v>
      </c>
      <c r="E77" s="10">
        <f t="shared" ca="1" si="12"/>
        <v>0.12452012187639795</v>
      </c>
      <c r="F77" s="18">
        <f t="shared" ca="1" si="8"/>
        <v>5.1245201218763983</v>
      </c>
      <c r="G77" s="18">
        <f t="shared" ca="1" si="9"/>
        <v>0.12452012187639827</v>
      </c>
      <c r="H77" s="44">
        <f t="shared" ca="1" si="10"/>
        <v>2.4904024375279655E-2</v>
      </c>
      <c r="I77" s="10"/>
      <c r="J77" s="10"/>
      <c r="K77" s="10"/>
      <c r="L77" s="14" t="s">
        <v>292</v>
      </c>
      <c r="M77" s="45">
        <f>M76/GETPIVOTDATA("Firm Size",$A$29)</f>
        <v>2.0795620070145703E-2</v>
      </c>
      <c r="N77" s="11"/>
    </row>
    <row r="78" spans="1:14" x14ac:dyDescent="0.3">
      <c r="A78" s="55">
        <v>3</v>
      </c>
      <c r="B78" s="55">
        <v>7</v>
      </c>
      <c r="C78" s="50">
        <v>5</v>
      </c>
      <c r="D78" s="31">
        <f t="shared" ca="1" si="11"/>
        <v>9.9250862138138829E-2</v>
      </c>
      <c r="E78" s="10">
        <f t="shared" ca="1" si="12"/>
        <v>0.80847874618112681</v>
      </c>
      <c r="F78" s="18">
        <f t="shared" ca="1" si="8"/>
        <v>5.8084787461811267</v>
      </c>
      <c r="G78" s="18">
        <f t="shared" ca="1" si="9"/>
        <v>0.8084787461811267</v>
      </c>
      <c r="H78" s="44">
        <f t="shared" ca="1" si="10"/>
        <v>0.16169574923622534</v>
      </c>
      <c r="I78" s="10"/>
      <c r="J78" s="10"/>
      <c r="K78" s="10"/>
      <c r="L78" s="10"/>
      <c r="M78" s="10"/>
      <c r="N78" s="11"/>
    </row>
    <row r="79" spans="1:14" ht="15" thickBot="1" x14ac:dyDescent="0.35">
      <c r="A79" s="55">
        <v>3</v>
      </c>
      <c r="B79" s="56">
        <v>8</v>
      </c>
      <c r="C79" s="50">
        <v>3</v>
      </c>
      <c r="D79" s="31">
        <f t="shared" ca="1" si="11"/>
        <v>0.45675539743691118</v>
      </c>
      <c r="E79" s="10">
        <f t="shared" ca="1" si="12"/>
        <v>4.523004309268857E-2</v>
      </c>
      <c r="F79" s="18">
        <f t="shared" ca="1" si="8"/>
        <v>3.0452300430926886</v>
      </c>
      <c r="G79" s="18">
        <f t="shared" ca="1" si="9"/>
        <v>4.5230043092688632E-2</v>
      </c>
      <c r="H79" s="44">
        <f t="shared" ca="1" si="10"/>
        <v>1.5076681030896211E-2</v>
      </c>
      <c r="I79" s="10"/>
      <c r="J79" s="10"/>
      <c r="K79" s="10"/>
      <c r="L79" s="10"/>
      <c r="M79" s="10"/>
      <c r="N79" s="11"/>
    </row>
    <row r="80" spans="1:14" x14ac:dyDescent="0.3">
      <c r="A80" s="55">
        <v>4</v>
      </c>
      <c r="B80" s="54">
        <v>1</v>
      </c>
      <c r="C80" s="50">
        <v>16</v>
      </c>
      <c r="D80" s="31">
        <f t="shared" ca="1" si="11"/>
        <v>0.76013070660650905</v>
      </c>
      <c r="E80" s="10">
        <f t="shared" ca="1" si="12"/>
        <v>-0.36725696714750777</v>
      </c>
      <c r="F80" s="18">
        <f t="shared" ca="1" si="8"/>
        <v>15.632743032852492</v>
      </c>
      <c r="G80" s="18">
        <f t="shared" ca="1" si="9"/>
        <v>0.36725696714750811</v>
      </c>
      <c r="H80" s="44">
        <f t="shared" ca="1" si="10"/>
        <v>2.2953560446719257E-2</v>
      </c>
      <c r="I80" s="10"/>
      <c r="J80" s="10"/>
      <c r="K80" s="10"/>
      <c r="L80" s="10"/>
      <c r="M80" s="10"/>
      <c r="N80" s="11"/>
    </row>
    <row r="81" spans="1:14" x14ac:dyDescent="0.3">
      <c r="A81" s="55">
        <v>4</v>
      </c>
      <c r="B81" s="55">
        <v>2</v>
      </c>
      <c r="C81" s="50">
        <v>10</v>
      </c>
      <c r="D81" s="31">
        <f t="shared" ca="1" si="11"/>
        <v>7.0365632753665031E-2</v>
      </c>
      <c r="E81" s="10">
        <f t="shared" ca="1" si="12"/>
        <v>0.98045156278260914</v>
      </c>
      <c r="F81" s="18">
        <f t="shared" ca="1" si="8"/>
        <v>10.980451562782608</v>
      </c>
      <c r="G81" s="18">
        <f t="shared" ca="1" si="9"/>
        <v>0.98045156278260848</v>
      </c>
      <c r="H81" s="44">
        <f t="shared" ca="1" si="10"/>
        <v>9.8045156278260853E-2</v>
      </c>
      <c r="I81" s="10"/>
      <c r="J81" s="10"/>
      <c r="K81" s="10"/>
      <c r="L81" s="10"/>
      <c r="M81" s="10"/>
      <c r="N81" s="11"/>
    </row>
    <row r="82" spans="1:14" x14ac:dyDescent="0.3">
      <c r="A82" s="55">
        <v>4</v>
      </c>
      <c r="B82" s="55">
        <v>3</v>
      </c>
      <c r="C82" s="50">
        <v>7</v>
      </c>
      <c r="D82" s="31">
        <f t="shared" ca="1" si="11"/>
        <v>0.17210036609675416</v>
      </c>
      <c r="E82" s="10">
        <f t="shared" ca="1" si="12"/>
        <v>0.53326513398711139</v>
      </c>
      <c r="F82" s="18">
        <f t="shared" ca="1" si="8"/>
        <v>7.5332651339871113</v>
      </c>
      <c r="G82" s="18">
        <f t="shared" ca="1" si="9"/>
        <v>0.53326513398711128</v>
      </c>
      <c r="H82" s="44">
        <f t="shared" ca="1" si="10"/>
        <v>7.6180733426730179E-2</v>
      </c>
      <c r="I82" s="10"/>
      <c r="J82" s="10"/>
      <c r="K82" s="10"/>
      <c r="L82" s="10"/>
      <c r="M82" s="10"/>
      <c r="N82" s="11"/>
    </row>
    <row r="83" spans="1:14" x14ac:dyDescent="0.3">
      <c r="A83" s="55">
        <v>4</v>
      </c>
      <c r="B83" s="55">
        <v>4</v>
      </c>
      <c r="C83" s="50">
        <v>4</v>
      </c>
      <c r="D83" s="31">
        <f t="shared" ca="1" si="11"/>
        <v>1.3967528363786341E-3</v>
      </c>
      <c r="E83" s="10">
        <f t="shared" ca="1" si="12"/>
        <v>2.9402289791841358</v>
      </c>
      <c r="F83" s="18">
        <f t="shared" ca="1" si="8"/>
        <v>6.9402289791841358</v>
      </c>
      <c r="G83" s="18">
        <f t="shared" ca="1" si="9"/>
        <v>2.9402289791841358</v>
      </c>
      <c r="H83" s="44">
        <f t="shared" ca="1" si="10"/>
        <v>0.73505724479603396</v>
      </c>
      <c r="I83" s="10"/>
      <c r="J83" s="10"/>
      <c r="K83" s="10"/>
      <c r="L83" s="10"/>
      <c r="M83" s="10"/>
      <c r="N83" s="11"/>
    </row>
    <row r="84" spans="1:14" x14ac:dyDescent="0.3">
      <c r="A84" s="55">
        <v>4</v>
      </c>
      <c r="B84" s="55">
        <v>5</v>
      </c>
      <c r="C84" s="50">
        <v>6</v>
      </c>
      <c r="D84" s="31">
        <f t="shared" ca="1" si="11"/>
        <v>0.88035452980309425</v>
      </c>
      <c r="E84" s="10">
        <f t="shared" ca="1" si="12"/>
        <v>-0.71503757178251659</v>
      </c>
      <c r="F84" s="18">
        <f t="shared" ca="1" si="8"/>
        <v>5.284962428217483</v>
      </c>
      <c r="G84" s="18">
        <f t="shared" ca="1" si="9"/>
        <v>0.71503757178251703</v>
      </c>
      <c r="H84" s="44">
        <f t="shared" ca="1" si="10"/>
        <v>0.11917292863041951</v>
      </c>
      <c r="I84" s="10"/>
      <c r="J84" s="10"/>
      <c r="K84" s="10"/>
      <c r="L84" s="10"/>
      <c r="M84" s="10"/>
      <c r="N84" s="11"/>
    </row>
    <row r="85" spans="1:14" x14ac:dyDescent="0.3">
      <c r="A85" s="55">
        <v>4</v>
      </c>
      <c r="B85" s="55">
        <v>6</v>
      </c>
      <c r="C85" s="50">
        <v>13</v>
      </c>
      <c r="D85" s="31">
        <f t="shared" ca="1" si="11"/>
        <v>4.1607441010900192E-3</v>
      </c>
      <c r="E85" s="10">
        <f t="shared" ca="1" si="12"/>
        <v>2.3944570848450502</v>
      </c>
      <c r="F85" s="18">
        <f t="shared" ca="1" si="8"/>
        <v>15.394457084845051</v>
      </c>
      <c r="G85" s="18">
        <f t="shared" ca="1" si="9"/>
        <v>2.394457084845051</v>
      </c>
      <c r="H85" s="44">
        <f t="shared" ca="1" si="10"/>
        <v>0.18418900652654238</v>
      </c>
      <c r="I85" s="10"/>
      <c r="J85" s="10"/>
      <c r="K85" s="10"/>
      <c r="L85" s="10"/>
      <c r="M85" s="10"/>
      <c r="N85" s="11"/>
    </row>
    <row r="86" spans="1:14" x14ac:dyDescent="0.3">
      <c r="A86" s="55">
        <v>4</v>
      </c>
      <c r="B86" s="55">
        <v>7</v>
      </c>
      <c r="C86" s="50">
        <v>9</v>
      </c>
      <c r="D86" s="31">
        <f t="shared" ca="1" si="11"/>
        <v>2.6012576859450576E-2</v>
      </c>
      <c r="E86" s="10">
        <f t="shared" ca="1" si="12"/>
        <v>1.4780139759973121</v>
      </c>
      <c r="F86" s="18">
        <f t="shared" ca="1" si="8"/>
        <v>10.478013975997312</v>
      </c>
      <c r="G86" s="18">
        <f t="shared" ca="1" si="9"/>
        <v>1.4780139759973121</v>
      </c>
      <c r="H86" s="44">
        <f t="shared" ca="1" si="10"/>
        <v>0.16422377511081246</v>
      </c>
      <c r="I86" s="10"/>
      <c r="J86" s="10"/>
      <c r="K86" s="10"/>
      <c r="L86" s="10"/>
      <c r="M86" s="10"/>
      <c r="N86" s="11"/>
    </row>
    <row r="87" spans="1:14" ht="15" thickBot="1" x14ac:dyDescent="0.35">
      <c r="A87" s="55">
        <v>4</v>
      </c>
      <c r="B87" s="56">
        <v>8</v>
      </c>
      <c r="C87" s="50">
        <v>7</v>
      </c>
      <c r="D87" s="31">
        <f t="shared" ca="1" si="11"/>
        <v>0.64131890226251664</v>
      </c>
      <c r="E87" s="10">
        <f t="shared" ca="1" si="12"/>
        <v>-0.16608720592521747</v>
      </c>
      <c r="F87" s="18">
        <f t="shared" ca="1" si="8"/>
        <v>6.8339127940747826</v>
      </c>
      <c r="G87" s="18">
        <f t="shared" ca="1" si="9"/>
        <v>0.16608720592521742</v>
      </c>
      <c r="H87" s="44">
        <f t="shared" ca="1" si="10"/>
        <v>2.3726743703602487E-2</v>
      </c>
      <c r="I87" s="10"/>
      <c r="J87" s="10"/>
      <c r="K87" s="10"/>
      <c r="L87" s="10"/>
      <c r="M87" s="10"/>
      <c r="N87" s="11"/>
    </row>
    <row r="88" spans="1:14" x14ac:dyDescent="0.3">
      <c r="A88" s="55">
        <v>5</v>
      </c>
      <c r="B88" s="54">
        <v>1</v>
      </c>
      <c r="C88" s="50">
        <v>22</v>
      </c>
      <c r="D88" s="31">
        <f t="shared" ca="1" si="11"/>
        <v>0.21667672702388163</v>
      </c>
      <c r="E88" s="10">
        <f t="shared" ca="1" si="12"/>
        <v>0.41810079643032738</v>
      </c>
      <c r="F88" s="18">
        <f t="shared" ca="1" si="8"/>
        <v>22.418100796430327</v>
      </c>
      <c r="G88" s="18">
        <f t="shared" ca="1" si="9"/>
        <v>0.41810079643032694</v>
      </c>
      <c r="H88" s="44">
        <f t="shared" ca="1" si="10"/>
        <v>1.900458165592395E-2</v>
      </c>
      <c r="I88" s="10"/>
      <c r="J88" s="10"/>
      <c r="K88" s="10"/>
      <c r="L88" s="10"/>
      <c r="M88" s="10"/>
      <c r="N88" s="11"/>
    </row>
    <row r="89" spans="1:14" x14ac:dyDescent="0.3">
      <c r="A89" s="55">
        <v>5</v>
      </c>
      <c r="B89" s="55">
        <v>2</v>
      </c>
      <c r="C89" s="50">
        <v>10</v>
      </c>
      <c r="D89" s="31">
        <f t="shared" ca="1" si="11"/>
        <v>0.87258264948256403</v>
      </c>
      <c r="E89" s="10">
        <f t="shared" ca="1" si="12"/>
        <v>-0.68357008762610771</v>
      </c>
      <c r="F89" s="18">
        <f t="shared" ca="1" si="8"/>
        <v>9.3164299123738914</v>
      </c>
      <c r="G89" s="18">
        <f t="shared" ca="1" si="9"/>
        <v>0.6835700876261086</v>
      </c>
      <c r="H89" s="44">
        <f t="shared" ca="1" si="10"/>
        <v>6.835700876261086E-2</v>
      </c>
      <c r="I89" s="10"/>
      <c r="J89" s="10"/>
      <c r="K89" s="10"/>
      <c r="L89" s="10"/>
      <c r="M89" s="10"/>
      <c r="N89" s="11"/>
    </row>
    <row r="90" spans="1:14" x14ac:dyDescent="0.3">
      <c r="A90" s="55">
        <v>5</v>
      </c>
      <c r="B90" s="55">
        <v>3</v>
      </c>
      <c r="C90" s="50">
        <v>6</v>
      </c>
      <c r="D90" s="31">
        <f t="shared" ca="1" si="11"/>
        <v>0.34037050207349784</v>
      </c>
      <c r="E90" s="10">
        <f t="shared" ca="1" si="12"/>
        <v>0.19228668106811364</v>
      </c>
      <c r="F90" s="18">
        <f t="shared" ca="1" si="8"/>
        <v>6.1922866810681132</v>
      </c>
      <c r="G90" s="18">
        <f t="shared" ca="1" si="9"/>
        <v>0.1922866810681132</v>
      </c>
      <c r="H90" s="44">
        <f t="shared" ca="1" si="10"/>
        <v>3.2047780178018868E-2</v>
      </c>
      <c r="I90" s="10"/>
      <c r="J90" s="10"/>
      <c r="K90" s="10"/>
      <c r="L90" s="10"/>
      <c r="M90" s="10"/>
      <c r="N90" s="11"/>
    </row>
    <row r="91" spans="1:14" x14ac:dyDescent="0.3">
      <c r="A91" s="55">
        <v>5</v>
      </c>
      <c r="B91" s="55">
        <v>4</v>
      </c>
      <c r="C91" s="50">
        <v>11</v>
      </c>
      <c r="D91" s="31">
        <f t="shared" ca="1" si="11"/>
        <v>0.14183480959049666</v>
      </c>
      <c r="E91" s="10">
        <f t="shared" ca="1" si="12"/>
        <v>0.62997251536870436</v>
      </c>
      <c r="F91" s="18">
        <f t="shared" ca="1" si="8"/>
        <v>11.629972515368705</v>
      </c>
      <c r="G91" s="18">
        <f t="shared" ca="1" si="9"/>
        <v>0.62997251536870458</v>
      </c>
      <c r="H91" s="44">
        <f t="shared" ca="1" si="10"/>
        <v>5.7270228669882232E-2</v>
      </c>
      <c r="I91" s="10"/>
      <c r="J91" s="10"/>
      <c r="K91" s="10"/>
      <c r="L91" s="10"/>
      <c r="M91" s="10"/>
      <c r="N91" s="11"/>
    </row>
    <row r="92" spans="1:14" x14ac:dyDescent="0.3">
      <c r="A92" s="55">
        <v>5</v>
      </c>
      <c r="B92" s="55">
        <v>5</v>
      </c>
      <c r="C92" s="50">
        <v>4</v>
      </c>
      <c r="D92" s="31">
        <f t="shared" ca="1" si="11"/>
        <v>0.2280375108561562</v>
      </c>
      <c r="E92" s="10">
        <f t="shared" ca="1" si="12"/>
        <v>0.39254898085048251</v>
      </c>
      <c r="F92" s="18">
        <f t="shared" ca="1" si="8"/>
        <v>4.3925489808504823</v>
      </c>
      <c r="G92" s="18">
        <f t="shared" ca="1" si="9"/>
        <v>0.39254898085048229</v>
      </c>
      <c r="H92" s="44">
        <f t="shared" ca="1" si="10"/>
        <v>9.8137245212620572E-2</v>
      </c>
      <c r="I92" s="10"/>
      <c r="J92" s="10"/>
      <c r="K92" s="10"/>
      <c r="L92" s="10"/>
      <c r="M92" s="10"/>
      <c r="N92" s="11"/>
    </row>
    <row r="93" spans="1:14" x14ac:dyDescent="0.3">
      <c r="A93" s="55">
        <v>5</v>
      </c>
      <c r="B93" s="55">
        <v>6</v>
      </c>
      <c r="C93" s="50">
        <v>12</v>
      </c>
      <c r="D93" s="31">
        <f t="shared" ca="1" si="11"/>
        <v>0.59627387975792423</v>
      </c>
      <c r="E93" s="10">
        <f t="shared" ca="1" si="12"/>
        <v>-0.10693568527286106</v>
      </c>
      <c r="F93" s="18">
        <f t="shared" ca="1" si="8"/>
        <v>11.893064314727139</v>
      </c>
      <c r="G93" s="18">
        <f t="shared" ca="1" si="9"/>
        <v>0.10693568527286068</v>
      </c>
      <c r="H93" s="44">
        <f t="shared" ca="1" si="10"/>
        <v>8.9113071060717228E-3</v>
      </c>
      <c r="I93" s="10"/>
      <c r="J93" s="10"/>
      <c r="K93" s="10"/>
      <c r="L93" s="10"/>
      <c r="M93" s="10"/>
      <c r="N93" s="11"/>
    </row>
    <row r="94" spans="1:14" x14ac:dyDescent="0.3">
      <c r="A94" s="55">
        <v>5</v>
      </c>
      <c r="B94" s="55">
        <v>7</v>
      </c>
      <c r="C94" s="50">
        <v>7</v>
      </c>
      <c r="D94" s="31">
        <f t="shared" ca="1" si="11"/>
        <v>0.26874697573485939</v>
      </c>
      <c r="E94" s="10">
        <f t="shared" ca="1" si="12"/>
        <v>0.31041888606161427</v>
      </c>
      <c r="F94" s="18">
        <f t="shared" ca="1" si="8"/>
        <v>7.3104188860616146</v>
      </c>
      <c r="G94" s="18">
        <f t="shared" ca="1" si="9"/>
        <v>0.31041888606161461</v>
      </c>
      <c r="H94" s="44">
        <f t="shared" ca="1" si="10"/>
        <v>4.4345555151659229E-2</v>
      </c>
      <c r="I94" s="10"/>
      <c r="J94" s="10"/>
      <c r="K94" s="10"/>
      <c r="L94" s="10"/>
      <c r="M94" s="10"/>
      <c r="N94" s="11"/>
    </row>
    <row r="95" spans="1:14" ht="15" thickBot="1" x14ac:dyDescent="0.35">
      <c r="A95" s="56">
        <v>5</v>
      </c>
      <c r="B95" s="56">
        <v>8</v>
      </c>
      <c r="C95" s="50">
        <v>14</v>
      </c>
      <c r="D95" s="31">
        <f t="shared" ca="1" si="11"/>
        <v>0.87965980863027449</v>
      </c>
      <c r="E95" s="10">
        <f t="shared" ca="1" si="12"/>
        <v>-0.71214271919461181</v>
      </c>
      <c r="F95" s="18">
        <f t="shared" ca="1" si="8"/>
        <v>13.287857280805389</v>
      </c>
      <c r="G95" s="18">
        <f t="shared" ca="1" si="9"/>
        <v>0.71214271919461147</v>
      </c>
      <c r="H95" s="44">
        <f t="shared" ca="1" si="10"/>
        <v>5.0867337085329388E-2</v>
      </c>
      <c r="I95" s="10"/>
      <c r="J95" s="10"/>
      <c r="K95" s="10"/>
      <c r="L95" s="10"/>
      <c r="M95" s="10"/>
      <c r="N95" s="11"/>
    </row>
    <row r="96" spans="1:14" ht="15" thickBot="1" x14ac:dyDescent="0.35">
      <c r="A96" s="57" t="s">
        <v>7</v>
      </c>
      <c r="B96" s="58"/>
      <c r="C96" s="51">
        <v>250</v>
      </c>
      <c r="D96" s="32"/>
      <c r="E96" s="10"/>
      <c r="F96" s="10"/>
      <c r="G96" s="18"/>
      <c r="H96" s="18"/>
      <c r="I96" s="10"/>
      <c r="J96" s="10"/>
      <c r="K96" s="10"/>
      <c r="L96" s="10"/>
      <c r="M96" s="10"/>
      <c r="N96" s="11"/>
    </row>
    <row r="97" spans="1:14" x14ac:dyDescent="0.3">
      <c r="A97" s="12"/>
      <c r="B97" s="10"/>
      <c r="C97" s="10"/>
      <c r="D97" s="10"/>
      <c r="E97" s="10"/>
      <c r="F97" s="14" t="s">
        <v>15</v>
      </c>
      <c r="G97" s="19">
        <f ca="1">SUM(G56:G95)</f>
        <v>24.942062942689397</v>
      </c>
      <c r="H97" s="19"/>
      <c r="I97" s="10"/>
      <c r="J97" s="10"/>
      <c r="K97" s="10"/>
      <c r="L97" s="10"/>
      <c r="M97" s="10"/>
      <c r="N97" s="11"/>
    </row>
    <row r="98" spans="1:14" ht="15" thickBot="1" x14ac:dyDescent="0.35">
      <c r="A98" s="15"/>
      <c r="B98" s="16"/>
      <c r="C98" s="16"/>
      <c r="D98" s="16"/>
      <c r="E98" s="16"/>
      <c r="F98" s="17" t="s">
        <v>292</v>
      </c>
      <c r="G98" s="20">
        <f ca="1">G97/GETPIVOTDATA("Firm Size",$A$55)</f>
        <v>9.9768251770757585E-2</v>
      </c>
      <c r="H98" s="20"/>
      <c r="I98" s="16"/>
      <c r="J98" s="16"/>
      <c r="K98" s="16"/>
      <c r="L98" s="16"/>
      <c r="M98" s="16"/>
      <c r="N98" s="21"/>
    </row>
  </sheetData>
  <dataConsolidate/>
  <mergeCells count="8">
    <mergeCell ref="A53:B53"/>
    <mergeCell ref="A14:B14"/>
    <mergeCell ref="A15:B15"/>
    <mergeCell ref="A16:B16"/>
    <mergeCell ref="A50:B50"/>
    <mergeCell ref="A51:B51"/>
    <mergeCell ref="A52:B52"/>
    <mergeCell ref="A17:B17"/>
  </mergeCells>
  <conditionalFormatting sqref="E20:E24">
    <cfRule type="cellIs" dxfId="174" priority="5" operator="lessThan">
      <formula>0</formula>
    </cfRule>
  </conditionalFormatting>
  <conditionalFormatting sqref="F56:F95">
    <cfRule type="cellIs" dxfId="173" priority="1" operator="lessThan">
      <formula>0</formula>
    </cfRule>
  </conditionalFormatting>
  <conditionalFormatting pivot="1" sqref="K56:K60">
    <cfRule type="cellIs" dxfId="172" priority="3" operator="lessThan">
      <formula>0</formula>
    </cfRule>
  </conditionalFormatting>
  <conditionalFormatting pivot="1" sqref="K67:K74">
    <cfRule type="cellIs" dxfId="171" priority="2" operator="lessThan">
      <formula>0</formula>
    </cfRule>
  </conditionalFormatting>
  <pageMargins left="0.7" right="0.7" top="0.75" bottom="0.75" header="0.3" footer="0.3"/>
  <pageSetup orientation="portrait"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8:K76"/>
  <sheetViews>
    <sheetView workbookViewId="0">
      <selection activeCell="H39" sqref="H39:H43"/>
    </sheetView>
  </sheetViews>
  <sheetFormatPr defaultRowHeight="14.4" x14ac:dyDescent="0.3"/>
  <cols>
    <col min="1" max="1" width="13" customWidth="1"/>
    <col min="2" max="2" width="23.33203125" customWidth="1"/>
    <col min="3" max="3" width="12.6640625" bestFit="1" customWidth="1"/>
    <col min="4" max="4" width="16.44140625" bestFit="1" customWidth="1"/>
    <col min="5" max="7" width="18.6640625" bestFit="1" customWidth="1"/>
    <col min="8" max="9" width="15.44140625" bestFit="1" customWidth="1"/>
  </cols>
  <sheetData>
    <row r="18" spans="1:11" x14ac:dyDescent="0.3">
      <c r="A18" s="71" t="s">
        <v>10</v>
      </c>
      <c r="B18" s="71"/>
      <c r="C18" s="29">
        <v>100000</v>
      </c>
    </row>
    <row r="19" spans="1:11" x14ac:dyDescent="0.3">
      <c r="A19" s="71" t="s">
        <v>11</v>
      </c>
      <c r="B19" s="71"/>
      <c r="C19" s="29">
        <v>1</v>
      </c>
    </row>
    <row r="20" spans="1:11" x14ac:dyDescent="0.3">
      <c r="A20" s="71" t="s">
        <v>13</v>
      </c>
      <c r="B20" s="71"/>
      <c r="C20" s="10">
        <f>C18/C19</f>
        <v>100000</v>
      </c>
    </row>
    <row r="21" spans="1:11" x14ac:dyDescent="0.3">
      <c r="A21" s="71" t="s">
        <v>17</v>
      </c>
      <c r="B21" s="71"/>
      <c r="C21" s="10">
        <f>2*C19</f>
        <v>2</v>
      </c>
      <c r="D21" s="74" t="s">
        <v>30</v>
      </c>
      <c r="E21" s="74"/>
    </row>
    <row r="24" spans="1:11" x14ac:dyDescent="0.3">
      <c r="A24" s="3" t="s">
        <v>3</v>
      </c>
      <c r="B24" t="s">
        <v>31</v>
      </c>
      <c r="C24" s="1" t="s">
        <v>293</v>
      </c>
      <c r="D24" s="5" t="s">
        <v>12</v>
      </c>
      <c r="E24" s="5" t="s">
        <v>21</v>
      </c>
      <c r="F24" s="5" t="s">
        <v>14</v>
      </c>
      <c r="G24" s="1" t="s">
        <v>291</v>
      </c>
    </row>
    <row r="25" spans="1:11" x14ac:dyDescent="0.3">
      <c r="A25" s="47">
        <v>1</v>
      </c>
      <c r="B25" s="4">
        <v>154137</v>
      </c>
      <c r="C25" s="4">
        <f ca="1">RAND()</f>
        <v>0.92215990366042344</v>
      </c>
      <c r="D25" s="10">
        <f ca="1">-SIGN(0.5-C25)*LN(1-2*ABS(0.5-C25))*$C$20</f>
        <v>-185995.14228836386</v>
      </c>
      <c r="E25" s="10">
        <f t="shared" ref="E25:E44" ca="1" si="0">B25+D25</f>
        <v>-31858.142288363859</v>
      </c>
      <c r="F25" s="18">
        <f ca="1">ABS(D25)</f>
        <v>185995.14228836386</v>
      </c>
      <c r="G25" s="43">
        <f t="shared" ref="G25:G44" ca="1" si="1">F25/B25</f>
        <v>1.206687182755366</v>
      </c>
    </row>
    <row r="26" spans="1:11" x14ac:dyDescent="0.3">
      <c r="A26" s="47">
        <v>2</v>
      </c>
      <c r="B26" s="4">
        <v>64458</v>
      </c>
      <c r="C26" s="4">
        <f t="shared" ref="C26:C44" ca="1" si="2">RAND()</f>
        <v>0.29815321277634532</v>
      </c>
      <c r="D26" s="10">
        <f t="shared" ref="D26:D44" ca="1" si="3">-SIGN(0.5-C26)*LN(1-2*ABS(0.5-C26))*$C$20</f>
        <v>51700.06072064711</v>
      </c>
      <c r="E26" s="10">
        <f t="shared" ca="1" si="0"/>
        <v>116158.0607206471</v>
      </c>
      <c r="F26" s="18">
        <f t="shared" ref="F26:F44" ca="1" si="4">ABS(D26)</f>
        <v>51700.06072064711</v>
      </c>
      <c r="G26" s="43">
        <f t="shared" ca="1" si="1"/>
        <v>0.80207360949218265</v>
      </c>
    </row>
    <row r="27" spans="1:11" x14ac:dyDescent="0.3">
      <c r="A27" s="47">
        <v>3</v>
      </c>
      <c r="B27" s="4">
        <v>58191</v>
      </c>
      <c r="C27" s="4">
        <f t="shared" ca="1" si="2"/>
        <v>0.92354714282330197</v>
      </c>
      <c r="D27" s="10">
        <f t="shared" ca="1" si="3"/>
        <v>-187793.37936035817</v>
      </c>
      <c r="E27" s="10">
        <f t="shared" ca="1" si="0"/>
        <v>-129602.37936035817</v>
      </c>
      <c r="F27" s="18">
        <f t="shared" ca="1" si="4"/>
        <v>187793.37936035817</v>
      </c>
      <c r="G27" s="43">
        <f t="shared" ca="1" si="1"/>
        <v>3.2271894169262976</v>
      </c>
    </row>
    <row r="28" spans="1:11" x14ac:dyDescent="0.3">
      <c r="A28" s="47">
        <v>4</v>
      </c>
      <c r="B28" s="4">
        <v>55989</v>
      </c>
      <c r="C28" s="4">
        <f t="shared" ca="1" si="2"/>
        <v>0.38232090245295236</v>
      </c>
      <c r="D28" s="10">
        <f t="shared" ca="1" si="3"/>
        <v>26834.778369014399</v>
      </c>
      <c r="E28" s="10">
        <f t="shared" ca="1" si="0"/>
        <v>82823.778369014399</v>
      </c>
      <c r="F28" s="18">
        <f t="shared" ca="1" si="4"/>
        <v>26834.778369014399</v>
      </c>
      <c r="G28" s="43">
        <f t="shared" ca="1" si="1"/>
        <v>0.47928661646063331</v>
      </c>
    </row>
    <row r="29" spans="1:11" x14ac:dyDescent="0.3">
      <c r="A29" s="47">
        <v>5</v>
      </c>
      <c r="B29" s="4">
        <v>25367</v>
      </c>
      <c r="C29" s="4">
        <f t="shared" ca="1" si="2"/>
        <v>0.13770619327764155</v>
      </c>
      <c r="D29" s="10">
        <f t="shared" ca="1" si="3"/>
        <v>128948.57171002953</v>
      </c>
      <c r="E29" s="10">
        <f t="shared" ca="1" si="0"/>
        <v>154315.57171002953</v>
      </c>
      <c r="F29" s="18">
        <f t="shared" ca="1" si="4"/>
        <v>128948.57171002953</v>
      </c>
      <c r="G29" s="43">
        <f t="shared" ca="1" si="1"/>
        <v>5.0833197346958459</v>
      </c>
    </row>
    <row r="30" spans="1:11" x14ac:dyDescent="0.3">
      <c r="A30" s="47">
        <v>6</v>
      </c>
      <c r="B30" s="4">
        <v>14152</v>
      </c>
      <c r="C30" s="4">
        <f t="shared" ca="1" si="2"/>
        <v>0.60764738061525003</v>
      </c>
      <c r="D30" s="10">
        <f t="shared" ca="1" si="3"/>
        <v>-24244.712372788294</v>
      </c>
      <c r="E30" s="10">
        <f t="shared" ca="1" si="0"/>
        <v>-10092.712372788294</v>
      </c>
      <c r="F30" s="18">
        <f t="shared" ca="1" si="4"/>
        <v>24244.712372788294</v>
      </c>
      <c r="G30" s="43">
        <f t="shared" ca="1" si="1"/>
        <v>1.7131650913502185</v>
      </c>
    </row>
    <row r="31" spans="1:11" x14ac:dyDescent="0.3">
      <c r="A31" s="47">
        <v>7</v>
      </c>
      <c r="B31" s="4">
        <v>18554</v>
      </c>
      <c r="C31" s="4">
        <f t="shared" ca="1" si="2"/>
        <v>0.24826440261026905</v>
      </c>
      <c r="D31" s="10">
        <f t="shared" ca="1" si="3"/>
        <v>70011.378062283009</v>
      </c>
      <c r="E31" s="10">
        <f t="shared" ca="1" si="0"/>
        <v>88565.378062283009</v>
      </c>
      <c r="F31" s="18">
        <f t="shared" ca="1" si="4"/>
        <v>70011.378062283009</v>
      </c>
      <c r="G31" s="43">
        <f t="shared" ca="1" si="1"/>
        <v>3.7733846104496611</v>
      </c>
    </row>
    <row r="32" spans="1:11" x14ac:dyDescent="0.3">
      <c r="A32" s="47">
        <v>8</v>
      </c>
      <c r="B32" s="4">
        <v>47871</v>
      </c>
      <c r="C32" s="4">
        <f t="shared" ca="1" si="2"/>
        <v>0.24722894737381895</v>
      </c>
      <c r="D32" s="10">
        <f t="shared" ca="1" si="3"/>
        <v>70429.327866767038</v>
      </c>
      <c r="E32" s="10">
        <f t="shared" ca="1" si="0"/>
        <v>118300.32786676704</v>
      </c>
      <c r="F32" s="18">
        <f t="shared" ca="1" si="4"/>
        <v>70429.327866767038</v>
      </c>
      <c r="G32" s="43">
        <f t="shared" ca="1" si="1"/>
        <v>1.4712315988127893</v>
      </c>
      <c r="K32" s="27"/>
    </row>
    <row r="33" spans="1:7" x14ac:dyDescent="0.3">
      <c r="A33" s="47">
        <v>9</v>
      </c>
      <c r="B33" s="4">
        <v>7640</v>
      </c>
      <c r="C33" s="4">
        <f t="shared" ca="1" si="2"/>
        <v>0.62089581903445035</v>
      </c>
      <c r="D33" s="10">
        <f t="shared" ca="1" si="3"/>
        <v>-27679.704729928377</v>
      </c>
      <c r="E33" s="10">
        <f t="shared" ca="1" si="0"/>
        <v>-20039.704729928377</v>
      </c>
      <c r="F33" s="18">
        <f t="shared" ca="1" si="4"/>
        <v>27679.704729928377</v>
      </c>
      <c r="G33" s="43">
        <f t="shared" ca="1" si="1"/>
        <v>3.6229980012995258</v>
      </c>
    </row>
    <row r="34" spans="1:7" x14ac:dyDescent="0.3">
      <c r="A34" s="47">
        <v>10</v>
      </c>
      <c r="B34" s="4">
        <v>22480</v>
      </c>
      <c r="C34" s="4">
        <f t="shared" ca="1" si="2"/>
        <v>3.4616852275883514E-2</v>
      </c>
      <c r="D34" s="10">
        <f t="shared" ca="1" si="3"/>
        <v>267026.74749370996</v>
      </c>
      <c r="E34" s="10">
        <f t="shared" ca="1" si="0"/>
        <v>289506.74749370996</v>
      </c>
      <c r="F34" s="18">
        <f t="shared" ca="1" si="4"/>
        <v>267026.74749370996</v>
      </c>
      <c r="G34" s="43">
        <f t="shared" ca="1" si="1"/>
        <v>11.878414034417704</v>
      </c>
    </row>
    <row r="35" spans="1:7" x14ac:dyDescent="0.3">
      <c r="A35" s="47">
        <v>11</v>
      </c>
      <c r="B35" s="4">
        <v>32954</v>
      </c>
      <c r="C35" s="4">
        <f t="shared" ca="1" si="2"/>
        <v>0.7091365209078806</v>
      </c>
      <c r="D35" s="10">
        <f t="shared" ca="1" si="3"/>
        <v>-54175.408534651826</v>
      </c>
      <c r="E35" s="10">
        <f t="shared" ca="1" si="0"/>
        <v>-21221.408534651826</v>
      </c>
      <c r="F35" s="18">
        <f t="shared" ca="1" si="4"/>
        <v>54175.408534651826</v>
      </c>
      <c r="G35" s="43">
        <f t="shared" ca="1" si="1"/>
        <v>1.6439706419448876</v>
      </c>
    </row>
    <row r="36" spans="1:7" x14ac:dyDescent="0.3">
      <c r="A36" s="47">
        <v>12</v>
      </c>
      <c r="B36" s="4">
        <v>33785</v>
      </c>
      <c r="C36" s="4">
        <f t="shared" ca="1" si="2"/>
        <v>0.9713368500386691</v>
      </c>
      <c r="D36" s="10">
        <f t="shared" ca="1" si="3"/>
        <v>-285899.57741296076</v>
      </c>
      <c r="E36" s="10">
        <f t="shared" ca="1" si="0"/>
        <v>-252114.57741296076</v>
      </c>
      <c r="F36" s="18">
        <f t="shared" ca="1" si="4"/>
        <v>285899.57741296076</v>
      </c>
      <c r="G36" s="43">
        <f t="shared" ca="1" si="1"/>
        <v>8.4623228478011168</v>
      </c>
    </row>
    <row r="37" spans="1:7" x14ac:dyDescent="0.3">
      <c r="A37" s="47">
        <v>13</v>
      </c>
      <c r="B37" s="4">
        <v>35042</v>
      </c>
      <c r="C37" s="4">
        <f t="shared" ca="1" si="2"/>
        <v>0.63051717062014145</v>
      </c>
      <c r="D37" s="10">
        <f t="shared" ca="1" si="3"/>
        <v>-30250.382899229018</v>
      </c>
      <c r="E37" s="10">
        <f t="shared" ca="1" si="0"/>
        <v>4791.6171007709818</v>
      </c>
      <c r="F37" s="18">
        <f t="shared" ca="1" si="4"/>
        <v>30250.382899229018</v>
      </c>
      <c r="G37" s="43">
        <f t="shared" ca="1" si="1"/>
        <v>0.86326074137403741</v>
      </c>
    </row>
    <row r="38" spans="1:7" x14ac:dyDescent="0.3">
      <c r="A38" s="47">
        <v>14</v>
      </c>
      <c r="B38" s="4">
        <v>26851</v>
      </c>
      <c r="C38" s="4">
        <f t="shared" ca="1" si="2"/>
        <v>0.95391923549178592</v>
      </c>
      <c r="D38" s="10">
        <f t="shared" ca="1" si="3"/>
        <v>-238421.2491282121</v>
      </c>
      <c r="E38" s="10">
        <f t="shared" ca="1" si="0"/>
        <v>-211570.2491282121</v>
      </c>
      <c r="F38" s="18">
        <f t="shared" ca="1" si="4"/>
        <v>238421.2491282121</v>
      </c>
      <c r="G38" s="43">
        <f t="shared" ca="1" si="1"/>
        <v>8.8794178663071062</v>
      </c>
    </row>
    <row r="39" spans="1:7" x14ac:dyDescent="0.3">
      <c r="A39" s="47">
        <v>15</v>
      </c>
      <c r="B39" s="4">
        <v>4098</v>
      </c>
      <c r="C39" s="4">
        <f t="shared" ca="1" si="2"/>
        <v>4.978928516331893E-2</v>
      </c>
      <c r="D39" s="10">
        <f t="shared" ca="1" si="3"/>
        <v>230680.82949043243</v>
      </c>
      <c r="E39" s="10">
        <f t="shared" ca="1" si="0"/>
        <v>234778.82949043243</v>
      </c>
      <c r="F39" s="18">
        <f t="shared" ca="1" si="4"/>
        <v>230680.82949043243</v>
      </c>
      <c r="G39" s="43">
        <f t="shared" ca="1" si="1"/>
        <v>56.291076010354423</v>
      </c>
    </row>
    <row r="40" spans="1:7" x14ac:dyDescent="0.3">
      <c r="A40" s="47">
        <v>16</v>
      </c>
      <c r="B40" s="4">
        <v>54711</v>
      </c>
      <c r="C40" s="4">
        <f t="shared" ca="1" si="2"/>
        <v>0.25390008538743214</v>
      </c>
      <c r="D40" s="10">
        <f t="shared" ca="1" si="3"/>
        <v>67766.727340821992</v>
      </c>
      <c r="E40" s="10">
        <f t="shared" ca="1" si="0"/>
        <v>122477.72734082199</v>
      </c>
      <c r="F40" s="18">
        <f t="shared" ca="1" si="4"/>
        <v>67766.727340821992</v>
      </c>
      <c r="G40" s="43">
        <f t="shared" ca="1" si="1"/>
        <v>1.2386307569012081</v>
      </c>
    </row>
    <row r="41" spans="1:7" x14ac:dyDescent="0.3">
      <c r="A41" s="47">
        <v>17</v>
      </c>
      <c r="B41" s="4">
        <v>25463</v>
      </c>
      <c r="C41" s="4">
        <f t="shared" ca="1" si="2"/>
        <v>0.86295312947292557</v>
      </c>
      <c r="D41" s="10">
        <f t="shared" ca="1" si="3"/>
        <v>-129428.51104684072</v>
      </c>
      <c r="E41" s="10">
        <f t="shared" ca="1" si="0"/>
        <v>-103965.51104684072</v>
      </c>
      <c r="F41" s="18">
        <f t="shared" ca="1" si="4"/>
        <v>129428.51104684072</v>
      </c>
      <c r="G41" s="43">
        <f t="shared" ca="1" si="1"/>
        <v>5.0830032221985126</v>
      </c>
    </row>
    <row r="42" spans="1:7" x14ac:dyDescent="0.3">
      <c r="A42" s="47">
        <v>18</v>
      </c>
      <c r="B42" s="4">
        <v>24897</v>
      </c>
      <c r="C42" s="4">
        <f t="shared" ca="1" si="2"/>
        <v>0.57581079173966965</v>
      </c>
      <c r="D42" s="10">
        <f t="shared" ca="1" si="3"/>
        <v>-16442.849683131753</v>
      </c>
      <c r="E42" s="10">
        <f t="shared" ca="1" si="0"/>
        <v>8454.1503168682466</v>
      </c>
      <c r="F42" s="18">
        <f t="shared" ca="1" si="4"/>
        <v>16442.849683131753</v>
      </c>
      <c r="G42" s="43">
        <f t="shared" ca="1" si="1"/>
        <v>0.66043497944056528</v>
      </c>
    </row>
    <row r="43" spans="1:7" x14ac:dyDescent="0.3">
      <c r="A43" s="47">
        <v>19</v>
      </c>
      <c r="B43" s="4">
        <v>22856</v>
      </c>
      <c r="C43" s="4">
        <f t="shared" ca="1" si="2"/>
        <v>0.28016771123371731</v>
      </c>
      <c r="D43" s="10">
        <f t="shared" ca="1" si="3"/>
        <v>57921.97058712443</v>
      </c>
      <c r="E43" s="10">
        <f t="shared" ca="1" si="0"/>
        <v>80777.970587124437</v>
      </c>
      <c r="F43" s="18">
        <f t="shared" ca="1" si="4"/>
        <v>57921.97058712443</v>
      </c>
      <c r="G43" s="43">
        <f t="shared" ca="1" si="1"/>
        <v>2.5342129238328854</v>
      </c>
    </row>
    <row r="44" spans="1:7" x14ac:dyDescent="0.3">
      <c r="A44" s="47">
        <v>20</v>
      </c>
      <c r="B44" s="4">
        <v>3537</v>
      </c>
      <c r="C44" s="4">
        <f t="shared" ca="1" si="2"/>
        <v>0.15609200798754164</v>
      </c>
      <c r="D44" s="10">
        <f t="shared" ca="1" si="3"/>
        <v>116416.24702413114</v>
      </c>
      <c r="E44" s="10">
        <f t="shared" ca="1" si="0"/>
        <v>119953.24702413114</v>
      </c>
      <c r="F44" s="18">
        <f t="shared" ca="1" si="4"/>
        <v>116416.24702413114</v>
      </c>
      <c r="G44" s="43">
        <f t="shared" ca="1" si="1"/>
        <v>32.913838570577084</v>
      </c>
    </row>
    <row r="45" spans="1:7" x14ac:dyDescent="0.3">
      <c r="A45" s="47" t="s">
        <v>7</v>
      </c>
      <c r="B45" s="4">
        <v>733033</v>
      </c>
      <c r="C45" s="4"/>
    </row>
    <row r="46" spans="1:7" x14ac:dyDescent="0.3">
      <c r="E46" s="14" t="s">
        <v>15</v>
      </c>
      <c r="F46" s="25">
        <f ca="1">SUM(F25:F44)</f>
        <v>2268067.5561214262</v>
      </c>
    </row>
    <row r="47" spans="1:7" x14ac:dyDescent="0.3">
      <c r="E47" s="14" t="s">
        <v>292</v>
      </c>
      <c r="F47" s="7">
        <f ca="1">F46/GETPIVOTDATA("Employment",$A$24)</f>
        <v>3.0940865637992099</v>
      </c>
    </row>
    <row r="48" spans="1:7" x14ac:dyDescent="0.3">
      <c r="D48" s="14"/>
      <c r="E48" s="26"/>
    </row>
    <row r="49" spans="1:5" x14ac:dyDescent="0.3">
      <c r="D49" s="14"/>
      <c r="E49" s="26"/>
    </row>
    <row r="50" spans="1:5" x14ac:dyDescent="0.3">
      <c r="D50" s="14"/>
      <c r="E50" s="26"/>
    </row>
    <row r="51" spans="1:5" x14ac:dyDescent="0.3">
      <c r="D51" s="14"/>
      <c r="E51" s="26"/>
    </row>
    <row r="52" spans="1:5" x14ac:dyDescent="0.3">
      <c r="D52" s="14"/>
      <c r="E52" s="26"/>
    </row>
    <row r="53" spans="1:5" x14ac:dyDescent="0.3">
      <c r="D53" s="14"/>
      <c r="E53" s="26"/>
    </row>
    <row r="54" spans="1:5" x14ac:dyDescent="0.3">
      <c r="D54" s="14"/>
      <c r="E54" s="26"/>
    </row>
    <row r="55" spans="1:5" x14ac:dyDescent="0.3">
      <c r="D55" s="14"/>
      <c r="E55" s="26"/>
    </row>
    <row r="56" spans="1:5" x14ac:dyDescent="0.3">
      <c r="D56" s="14"/>
      <c r="E56" s="26"/>
    </row>
    <row r="57" spans="1:5" x14ac:dyDescent="0.3">
      <c r="D57" s="14"/>
      <c r="E57" s="26"/>
    </row>
    <row r="58" spans="1:5" x14ac:dyDescent="0.3">
      <c r="D58" s="14"/>
      <c r="E58" s="26"/>
    </row>
    <row r="59" spans="1:5" x14ac:dyDescent="0.3">
      <c r="D59" s="14"/>
      <c r="E59" s="26"/>
    </row>
    <row r="60" spans="1:5" x14ac:dyDescent="0.3">
      <c r="A60" s="71" t="s">
        <v>10</v>
      </c>
      <c r="B60" s="71"/>
      <c r="C60" s="10" t="s">
        <v>28</v>
      </c>
    </row>
    <row r="61" spans="1:5" x14ac:dyDescent="0.3">
      <c r="A61" s="71" t="s">
        <v>11</v>
      </c>
      <c r="B61" s="71"/>
      <c r="C61" s="29">
        <v>1</v>
      </c>
    </row>
    <row r="62" spans="1:5" x14ac:dyDescent="0.3">
      <c r="A62" s="71" t="s">
        <v>13</v>
      </c>
      <c r="B62" s="71"/>
      <c r="C62" s="10" t="s">
        <v>28</v>
      </c>
    </row>
    <row r="63" spans="1:5" x14ac:dyDescent="0.3">
      <c r="A63" s="71" t="s">
        <v>17</v>
      </c>
      <c r="B63" s="71"/>
      <c r="C63" s="10">
        <f>2*C61</f>
        <v>2</v>
      </c>
      <c r="D63" s="74" t="s">
        <v>30</v>
      </c>
      <c r="E63" s="74"/>
    </row>
    <row r="65" spans="1:10" x14ac:dyDescent="0.3">
      <c r="A65" s="3" t="s">
        <v>9</v>
      </c>
      <c r="B65" t="s">
        <v>31</v>
      </c>
      <c r="C65" s="1" t="s">
        <v>287</v>
      </c>
      <c r="D65" s="1" t="s">
        <v>29</v>
      </c>
      <c r="E65" s="1" t="s">
        <v>293</v>
      </c>
      <c r="F65" s="5" t="s">
        <v>12</v>
      </c>
      <c r="G65" s="5" t="s">
        <v>21</v>
      </c>
      <c r="H65" s="5" t="s">
        <v>14</v>
      </c>
      <c r="I65" s="1" t="s">
        <v>291</v>
      </c>
      <c r="J65" s="37"/>
    </row>
    <row r="66" spans="1:10" x14ac:dyDescent="0.3">
      <c r="A66" s="47">
        <v>1</v>
      </c>
      <c r="B66" s="4">
        <v>248</v>
      </c>
      <c r="C66">
        <f>'Test Firm Data'!O11-1</f>
        <v>10</v>
      </c>
      <c r="D66">
        <f>C66/$C$61</f>
        <v>10</v>
      </c>
      <c r="E66">
        <f ca="1">RAND()</f>
        <v>0.12815767129289457</v>
      </c>
      <c r="F66" s="10">
        <f ca="1">-SIGN(0.5-E66)*LN(1-2*ABS(0.5-E66))*D66</f>
        <v>13.613467855785968</v>
      </c>
      <c r="G66">
        <f t="shared" ref="G66:G73" ca="1" si="5">B66+F66</f>
        <v>261.61346785578598</v>
      </c>
      <c r="H66" s="24">
        <f t="shared" ref="H66:H73" ca="1" si="6">ABS(B66-G66)</f>
        <v>13.613467855785984</v>
      </c>
      <c r="I66" s="43">
        <f t="shared" ref="I66:I73" ca="1" si="7">H66/B66</f>
        <v>5.4893015547524134E-2</v>
      </c>
    </row>
    <row r="67" spans="1:10" x14ac:dyDescent="0.3">
      <c r="A67" s="47">
        <v>2</v>
      </c>
      <c r="B67" s="4">
        <v>678</v>
      </c>
      <c r="C67">
        <f>'Test Firm Data'!O12-1</f>
        <v>50</v>
      </c>
      <c r="D67">
        <f t="shared" ref="D67:D73" si="8">C67/$C$61</f>
        <v>50</v>
      </c>
      <c r="E67">
        <f t="shared" ref="E67:E73" ca="1" si="9">RAND()</f>
        <v>0.70967745964208728</v>
      </c>
      <c r="F67" s="10">
        <f t="shared" ref="F67:F73" ca="1" si="10">-SIGN(0.5-E67)*LN(1-2*ABS(0.5-E67))*D67</f>
        <v>-27.180779267809037</v>
      </c>
      <c r="G67">
        <f t="shared" ca="1" si="5"/>
        <v>650.81922073219096</v>
      </c>
      <c r="H67" s="24">
        <f t="shared" ca="1" si="6"/>
        <v>27.180779267809044</v>
      </c>
      <c r="I67" s="43">
        <f t="shared" ca="1" si="7"/>
        <v>4.0089644937771451E-2</v>
      </c>
    </row>
    <row r="68" spans="1:10" x14ac:dyDescent="0.3">
      <c r="A68" s="47">
        <v>3</v>
      </c>
      <c r="B68" s="4">
        <v>1280</v>
      </c>
      <c r="C68">
        <f>'Test Firm Data'!O13-1</f>
        <v>100</v>
      </c>
      <c r="D68">
        <f t="shared" si="8"/>
        <v>100</v>
      </c>
      <c r="E68">
        <f t="shared" ca="1" si="9"/>
        <v>0.7429037518269147</v>
      </c>
      <c r="F68" s="10">
        <f t="shared" ca="1" si="10"/>
        <v>-66.515757712697152</v>
      </c>
      <c r="G68">
        <f t="shared" ca="1" si="5"/>
        <v>1213.4842422873028</v>
      </c>
      <c r="H68" s="24">
        <f t="shared" ca="1" si="6"/>
        <v>66.515757712697223</v>
      </c>
      <c r="I68" s="43">
        <f t="shared" ca="1" si="7"/>
        <v>5.1965435713044704E-2</v>
      </c>
    </row>
    <row r="69" spans="1:10" x14ac:dyDescent="0.3">
      <c r="A69" s="47">
        <v>4</v>
      </c>
      <c r="B69" s="4">
        <v>7157</v>
      </c>
      <c r="C69">
        <f>'Test Firm Data'!O14-1</f>
        <v>500</v>
      </c>
      <c r="D69">
        <f t="shared" si="8"/>
        <v>500</v>
      </c>
      <c r="E69">
        <f t="shared" ca="1" si="9"/>
        <v>0.71220856549085887</v>
      </c>
      <c r="F69" s="10">
        <f t="shared" ca="1" si="10"/>
        <v>-276.18603318377467</v>
      </c>
      <c r="G69">
        <f t="shared" ca="1" si="5"/>
        <v>6880.8139668162257</v>
      </c>
      <c r="H69" s="24">
        <f t="shared" ca="1" si="6"/>
        <v>276.18603318377427</v>
      </c>
      <c r="I69" s="43">
        <f t="shared" ca="1" si="7"/>
        <v>3.8589637164143396E-2</v>
      </c>
    </row>
    <row r="70" spans="1:10" x14ac:dyDescent="0.3">
      <c r="A70" s="47">
        <v>5</v>
      </c>
      <c r="B70" s="4">
        <v>11077</v>
      </c>
      <c r="C70">
        <f>'Test Firm Data'!O15-1</f>
        <v>1000</v>
      </c>
      <c r="D70">
        <f t="shared" si="8"/>
        <v>1000</v>
      </c>
      <c r="E70">
        <f t="shared" ca="1" si="9"/>
        <v>0.41040715462996247</v>
      </c>
      <c r="F70" s="10">
        <f t="shared" ca="1" si="10"/>
        <v>197.45837140871492</v>
      </c>
      <c r="G70">
        <f t="shared" ca="1" si="5"/>
        <v>11274.458371408715</v>
      </c>
      <c r="H70" s="24">
        <f t="shared" ca="1" si="6"/>
        <v>197.45837140871481</v>
      </c>
      <c r="I70" s="43">
        <f t="shared" ca="1" si="7"/>
        <v>1.7825979182875762E-2</v>
      </c>
    </row>
    <row r="71" spans="1:10" x14ac:dyDescent="0.3">
      <c r="A71" s="47">
        <v>6</v>
      </c>
      <c r="B71" s="4">
        <v>90372</v>
      </c>
      <c r="C71">
        <f>'Test Firm Data'!O16-1</f>
        <v>5000</v>
      </c>
      <c r="D71">
        <f t="shared" si="8"/>
        <v>5000</v>
      </c>
      <c r="E71">
        <f t="shared" ca="1" si="9"/>
        <v>0.56217001125905186</v>
      </c>
      <c r="F71" s="10">
        <f t="shared" ca="1" si="10"/>
        <v>-663.88708478158389</v>
      </c>
      <c r="G71">
        <f t="shared" ca="1" si="5"/>
        <v>89708.112915218415</v>
      </c>
      <c r="H71" s="24">
        <f t="shared" ca="1" si="6"/>
        <v>663.88708478158514</v>
      </c>
      <c r="I71" s="43">
        <f t="shared" ca="1" si="7"/>
        <v>7.3461590402069798E-3</v>
      </c>
    </row>
    <row r="72" spans="1:10" x14ac:dyDescent="0.3">
      <c r="A72" s="47">
        <v>7</v>
      </c>
      <c r="B72" s="4">
        <v>191757</v>
      </c>
      <c r="C72">
        <f>'Test Firm Data'!O17-1</f>
        <v>10000</v>
      </c>
      <c r="D72">
        <f t="shared" si="8"/>
        <v>10000</v>
      </c>
      <c r="E72">
        <f t="shared" ca="1" si="9"/>
        <v>8.5085482304156912E-3</v>
      </c>
      <c r="F72" s="10">
        <f t="shared" ca="1" si="10"/>
        <v>40735.367661108496</v>
      </c>
      <c r="G72">
        <f t="shared" ca="1" si="5"/>
        <v>232492.3676611085</v>
      </c>
      <c r="H72" s="24">
        <f t="shared" ca="1" si="6"/>
        <v>40735.367661108496</v>
      </c>
      <c r="I72" s="43">
        <f t="shared" ca="1" si="7"/>
        <v>0.2124322327795517</v>
      </c>
    </row>
    <row r="73" spans="1:10" x14ac:dyDescent="0.3">
      <c r="A73" s="47">
        <v>8</v>
      </c>
      <c r="B73" s="4">
        <v>430464</v>
      </c>
      <c r="C73" s="28">
        <v>100000</v>
      </c>
      <c r="D73" s="35">
        <f t="shared" si="8"/>
        <v>100000</v>
      </c>
      <c r="E73">
        <f t="shared" ca="1" si="9"/>
        <v>0.22247784680936689</v>
      </c>
      <c r="F73" s="10">
        <f t="shared" ca="1" si="10"/>
        <v>80978.05666745326</v>
      </c>
      <c r="G73">
        <f t="shared" ca="1" si="5"/>
        <v>511442.05666745326</v>
      </c>
      <c r="H73" s="24">
        <f t="shared" ca="1" si="6"/>
        <v>80978.05666745326</v>
      </c>
      <c r="I73" s="43">
        <f t="shared" ca="1" si="7"/>
        <v>0.18811806949583068</v>
      </c>
    </row>
    <row r="74" spans="1:10" x14ac:dyDescent="0.3">
      <c r="A74" s="47" t="s">
        <v>7</v>
      </c>
      <c r="B74" s="4">
        <v>733033</v>
      </c>
      <c r="H74" s="24"/>
    </row>
    <row r="75" spans="1:10" x14ac:dyDescent="0.3">
      <c r="G75" s="14" t="s">
        <v>15</v>
      </c>
      <c r="H75" s="25">
        <f ca="1">SUM(H66:H73)</f>
        <v>122958.26582277213</v>
      </c>
    </row>
    <row r="76" spans="1:10" x14ac:dyDescent="0.3">
      <c r="G76" s="14" t="s">
        <v>292</v>
      </c>
      <c r="H76" s="7">
        <f ca="1">H75/GETPIVOTDATA("Employment",$A$65)</f>
        <v>0.1677390592548659</v>
      </c>
    </row>
  </sheetData>
  <mergeCells count="10">
    <mergeCell ref="A18:B18"/>
    <mergeCell ref="A19:B19"/>
    <mergeCell ref="A60:B60"/>
    <mergeCell ref="D21:E21"/>
    <mergeCell ref="D63:E63"/>
    <mergeCell ref="A61:B61"/>
    <mergeCell ref="A62:B62"/>
    <mergeCell ref="A63:B63"/>
    <mergeCell ref="A20:B20"/>
    <mergeCell ref="A21:B21"/>
  </mergeCells>
  <conditionalFormatting sqref="E25:E44">
    <cfRule type="cellIs" dxfId="6" priority="3" operator="lessThan">
      <formula>0</formula>
    </cfRule>
  </conditionalFormatting>
  <conditionalFormatting sqref="G66:G73">
    <cfRule type="cellIs" dxfId="5" priority="1" operator="lessThan">
      <formula>0</formula>
    </cfRule>
  </conditionalFormatting>
  <pageMargins left="0.7" right="0.7" top="0.75" bottom="0.75" header="0.3" footer="0.3"/>
  <pageSetup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2:J63"/>
  <sheetViews>
    <sheetView workbookViewId="0">
      <selection activeCell="H7" sqref="H7"/>
    </sheetView>
  </sheetViews>
  <sheetFormatPr defaultRowHeight="14.4" x14ac:dyDescent="0.3"/>
  <cols>
    <col min="1" max="1" width="13" customWidth="1"/>
    <col min="2" max="2" width="23.33203125" customWidth="1"/>
    <col min="3" max="3" width="21.44140625" customWidth="1"/>
    <col min="4" max="4" width="17.88671875" bestFit="1" customWidth="1"/>
    <col min="5" max="5" width="17.88671875" customWidth="1"/>
    <col min="6" max="7" width="12.6640625" bestFit="1" customWidth="1"/>
    <col min="8" max="8" width="16.44140625" bestFit="1" customWidth="1"/>
    <col min="9" max="9" width="9.5546875" bestFit="1" customWidth="1"/>
    <col min="10" max="10" width="15.44140625" bestFit="1" customWidth="1"/>
  </cols>
  <sheetData>
    <row r="22" spans="1:10" x14ac:dyDescent="0.3">
      <c r="A22" s="70" t="s">
        <v>11</v>
      </c>
      <c r="B22" s="71"/>
      <c r="C22" s="29">
        <v>4</v>
      </c>
    </row>
    <row r="23" spans="1:10" x14ac:dyDescent="0.3">
      <c r="A23" s="70" t="s">
        <v>22</v>
      </c>
      <c r="B23" s="71"/>
      <c r="C23" s="29">
        <v>0.2</v>
      </c>
    </row>
    <row r="24" spans="1:10" x14ac:dyDescent="0.3">
      <c r="A24" s="70" t="s">
        <v>17</v>
      </c>
      <c r="B24" s="71"/>
      <c r="C24" s="10">
        <f>C22</f>
        <v>4</v>
      </c>
    </row>
    <row r="26" spans="1:10" x14ac:dyDescent="0.3">
      <c r="A26" s="3" t="s">
        <v>3</v>
      </c>
      <c r="B26" t="s">
        <v>31</v>
      </c>
      <c r="C26" t="s">
        <v>23</v>
      </c>
      <c r="D26" s="1" t="s">
        <v>24</v>
      </c>
      <c r="E26" s="1" t="s">
        <v>293</v>
      </c>
      <c r="F26" s="1" t="s">
        <v>25</v>
      </c>
      <c r="G26" s="1" t="s">
        <v>12</v>
      </c>
      <c r="H26" s="1" t="s">
        <v>21</v>
      </c>
      <c r="I26" s="1" t="s">
        <v>14</v>
      </c>
      <c r="J26" s="1" t="s">
        <v>291</v>
      </c>
    </row>
    <row r="27" spans="1:10" x14ac:dyDescent="0.3">
      <c r="A27" s="47">
        <v>1</v>
      </c>
      <c r="B27" s="4">
        <v>154137</v>
      </c>
      <c r="C27" s="4">
        <v>18721</v>
      </c>
      <c r="D27">
        <f>MAX(C27*$C$23,1)</f>
        <v>3744.2000000000003</v>
      </c>
      <c r="E27">
        <f ca="1">RAND()</f>
        <v>0.41759821982396472</v>
      </c>
      <c r="F27">
        <f ca="1">-SIGN(0.5-E27)*LN(1-2*ABS(0.5-E27))</f>
        <v>0.18008832473649655</v>
      </c>
      <c r="G27">
        <f ca="1">2*D27*F27/$C$22</f>
        <v>337.14335273919522</v>
      </c>
      <c r="H27">
        <f ca="1">B27+G27</f>
        <v>154474.14335273919</v>
      </c>
      <c r="I27" s="24">
        <f ca="1">ABS(B27-H27)</f>
        <v>337.14335273919278</v>
      </c>
      <c r="J27" s="43">
        <f ca="1">I27/B27</f>
        <v>2.1872967083775654E-3</v>
      </c>
    </row>
    <row r="28" spans="1:10" x14ac:dyDescent="0.3">
      <c r="A28" s="47">
        <v>2</v>
      </c>
      <c r="B28" s="4">
        <v>64458</v>
      </c>
      <c r="C28" s="4">
        <v>20494</v>
      </c>
      <c r="D28">
        <f t="shared" ref="D28:D46" si="0">MAX(C28*$C$23,1)</f>
        <v>4098.8</v>
      </c>
      <c r="E28">
        <f t="shared" ref="E28:E46" ca="1" si="1">RAND()</f>
        <v>0.88549458467748821</v>
      </c>
      <c r="F28">
        <f t="shared" ref="F28:F46" ca="1" si="2">-SIGN(0.5-E28)*LN(1-2*ABS(0.5-E28))</f>
        <v>-1.473985981153173</v>
      </c>
      <c r="G28">
        <f t="shared" ref="G28:G46" ca="1" si="3">2*D28*F28/$C$22</f>
        <v>-3020.7868697753129</v>
      </c>
      <c r="H28">
        <f t="shared" ref="H28:H46" ca="1" si="4">B28+G28</f>
        <v>61437.213130224685</v>
      </c>
      <c r="I28" s="24">
        <f t="shared" ref="I28:I46" ca="1" si="5">ABS(B28-H28)</f>
        <v>3020.7868697753147</v>
      </c>
      <c r="J28" s="43">
        <f t="shared" ref="J28:J46" ca="1" si="6">I28/B28</f>
        <v>4.6864421325131321E-2</v>
      </c>
    </row>
    <row r="29" spans="1:10" x14ac:dyDescent="0.3">
      <c r="A29" s="47">
        <v>3</v>
      </c>
      <c r="B29" s="4">
        <v>58191</v>
      </c>
      <c r="C29" s="4">
        <v>21114</v>
      </c>
      <c r="D29">
        <f t="shared" si="0"/>
        <v>4222.8</v>
      </c>
      <c r="E29">
        <f t="shared" ca="1" si="1"/>
        <v>0.40836832423469671</v>
      </c>
      <c r="F29">
        <f t="shared" ca="1" si="2"/>
        <v>0.20243857577948518</v>
      </c>
      <c r="G29">
        <f t="shared" ca="1" si="3"/>
        <v>427.42880890080505</v>
      </c>
      <c r="H29">
        <f t="shared" ca="1" si="4"/>
        <v>58618.428808900804</v>
      </c>
      <c r="I29" s="24">
        <f t="shared" ca="1" si="5"/>
        <v>427.42880890080414</v>
      </c>
      <c r="J29" s="43">
        <f t="shared" ca="1" si="6"/>
        <v>7.3452734770119805E-3</v>
      </c>
    </row>
    <row r="30" spans="1:10" x14ac:dyDescent="0.3">
      <c r="A30" s="47">
        <v>4</v>
      </c>
      <c r="B30" s="4">
        <v>55989</v>
      </c>
      <c r="C30" s="4">
        <v>16874</v>
      </c>
      <c r="D30">
        <f t="shared" si="0"/>
        <v>3374.8</v>
      </c>
      <c r="E30">
        <f t="shared" ca="1" si="1"/>
        <v>0.36772150054122754</v>
      </c>
      <c r="F30">
        <f t="shared" ca="1" si="2"/>
        <v>0.30728223877242827</v>
      </c>
      <c r="G30">
        <f t="shared" ca="1" si="3"/>
        <v>518.50804970459546</v>
      </c>
      <c r="H30">
        <f t="shared" ca="1" si="4"/>
        <v>56507.508049704593</v>
      </c>
      <c r="I30" s="24">
        <f t="shared" ca="1" si="5"/>
        <v>518.50804970459285</v>
      </c>
      <c r="J30" s="43">
        <f t="shared" ca="1" si="6"/>
        <v>9.2608914198251957E-3</v>
      </c>
    </row>
    <row r="31" spans="1:10" x14ac:dyDescent="0.3">
      <c r="A31" s="47">
        <v>5</v>
      </c>
      <c r="B31" s="4">
        <v>25367</v>
      </c>
      <c r="C31" s="4">
        <v>11632</v>
      </c>
      <c r="D31">
        <f t="shared" si="0"/>
        <v>2326.4</v>
      </c>
      <c r="E31">
        <f t="shared" ca="1" si="1"/>
        <v>0.8594333789402766</v>
      </c>
      <c r="F31">
        <f t="shared" ca="1" si="2"/>
        <v>-1.2689265507884679</v>
      </c>
      <c r="G31">
        <f t="shared" ca="1" si="3"/>
        <v>-1476.015363877146</v>
      </c>
      <c r="H31">
        <f t="shared" ca="1" si="4"/>
        <v>23890.984636122856</v>
      </c>
      <c r="I31" s="24">
        <f t="shared" ca="1" si="5"/>
        <v>1476.0153638771444</v>
      </c>
      <c r="J31" s="43">
        <f t="shared" ca="1" si="6"/>
        <v>5.8186437650378224E-2</v>
      </c>
    </row>
    <row r="32" spans="1:10" x14ac:dyDescent="0.3">
      <c r="A32" s="47">
        <v>6</v>
      </c>
      <c r="B32" s="4">
        <v>14152</v>
      </c>
      <c r="C32" s="4">
        <v>9648</v>
      </c>
      <c r="D32">
        <f t="shared" si="0"/>
        <v>1929.6000000000001</v>
      </c>
      <c r="E32">
        <f t="shared" ca="1" si="1"/>
        <v>9.4447224632876026E-2</v>
      </c>
      <c r="F32">
        <f t="shared" ca="1" si="2"/>
        <v>1.6665668894180419</v>
      </c>
      <c r="G32">
        <f t="shared" ca="1" si="3"/>
        <v>1607.903734910527</v>
      </c>
      <c r="H32">
        <f t="shared" ca="1" si="4"/>
        <v>15759.903734910527</v>
      </c>
      <c r="I32" s="24">
        <f t="shared" ca="1" si="5"/>
        <v>1607.9037349105274</v>
      </c>
      <c r="J32" s="43">
        <f t="shared" ca="1" si="6"/>
        <v>0.11361671388570714</v>
      </c>
    </row>
    <row r="33" spans="1:10" x14ac:dyDescent="0.3">
      <c r="A33" s="47">
        <v>7</v>
      </c>
      <c r="B33" s="4">
        <v>18554</v>
      </c>
      <c r="C33" s="4">
        <v>11017</v>
      </c>
      <c r="D33">
        <f t="shared" si="0"/>
        <v>2203.4</v>
      </c>
      <c r="E33">
        <f t="shared" ca="1" si="1"/>
        <v>0.28070814917320208</v>
      </c>
      <c r="F33">
        <f t="shared" ca="1" si="2"/>
        <v>0.57729258386478399</v>
      </c>
      <c r="G33">
        <f t="shared" ca="1" si="3"/>
        <v>636.00323964383256</v>
      </c>
      <c r="H33">
        <f t="shared" ca="1" si="4"/>
        <v>19190.003239643833</v>
      </c>
      <c r="I33" s="24">
        <f t="shared" ca="1" si="5"/>
        <v>636.00323964383279</v>
      </c>
      <c r="J33" s="43">
        <f t="shared" ca="1" si="6"/>
        <v>3.4278497339863788E-2</v>
      </c>
    </row>
    <row r="34" spans="1:10" x14ac:dyDescent="0.3">
      <c r="A34" s="47">
        <v>8</v>
      </c>
      <c r="B34" s="4">
        <v>47871</v>
      </c>
      <c r="C34" s="4">
        <v>20670</v>
      </c>
      <c r="D34">
        <f t="shared" si="0"/>
        <v>4134</v>
      </c>
      <c r="E34">
        <f t="shared" ca="1" si="1"/>
        <v>0.25493679224471777</v>
      </c>
      <c r="F34">
        <f t="shared" ca="1" si="2"/>
        <v>0.67359245753961794</v>
      </c>
      <c r="G34">
        <f t="shared" ca="1" si="3"/>
        <v>1392.3156097343904</v>
      </c>
      <c r="H34">
        <f t="shared" ca="1" si="4"/>
        <v>49263.315609734389</v>
      </c>
      <c r="I34" s="24">
        <f t="shared" ca="1" si="5"/>
        <v>1392.315609734389</v>
      </c>
      <c r="J34" s="43">
        <f t="shared" ca="1" si="6"/>
        <v>2.9084740442739634E-2</v>
      </c>
    </row>
    <row r="35" spans="1:10" x14ac:dyDescent="0.3">
      <c r="A35" s="47">
        <v>9</v>
      </c>
      <c r="B35" s="4">
        <v>7640</v>
      </c>
      <c r="C35" s="4">
        <v>7612</v>
      </c>
      <c r="D35">
        <f t="shared" si="0"/>
        <v>1522.4</v>
      </c>
      <c r="E35">
        <f t="shared" ca="1" si="1"/>
        <v>0.53784559027887491</v>
      </c>
      <c r="F35">
        <f t="shared" ca="1" si="2"/>
        <v>-7.8709043003978976E-2</v>
      </c>
      <c r="G35">
        <f t="shared" ca="1" si="3"/>
        <v>-59.913323534628802</v>
      </c>
      <c r="H35">
        <f t="shared" ca="1" si="4"/>
        <v>7580.0866764653711</v>
      </c>
      <c r="I35" s="24">
        <f t="shared" ca="1" si="5"/>
        <v>59.913323534628944</v>
      </c>
      <c r="J35" s="43">
        <f t="shared" ca="1" si="6"/>
        <v>7.8420580542708038E-3</v>
      </c>
    </row>
    <row r="36" spans="1:10" x14ac:dyDescent="0.3">
      <c r="A36" s="47">
        <v>10</v>
      </c>
      <c r="B36" s="4">
        <v>22480</v>
      </c>
      <c r="C36" s="4">
        <v>21906</v>
      </c>
      <c r="D36">
        <f t="shared" si="0"/>
        <v>4381.2</v>
      </c>
      <c r="E36">
        <f t="shared" ca="1" si="1"/>
        <v>4.3333593629236722E-2</v>
      </c>
      <c r="F36">
        <f t="shared" ca="1" si="2"/>
        <v>2.44567992982422</v>
      </c>
      <c r="G36">
        <f t="shared" ca="1" si="3"/>
        <v>5357.506454272936</v>
      </c>
      <c r="H36">
        <f t="shared" ca="1" si="4"/>
        <v>27837.506454272938</v>
      </c>
      <c r="I36" s="24">
        <f t="shared" ca="1" si="5"/>
        <v>5357.5064542729378</v>
      </c>
      <c r="J36" s="43">
        <f t="shared" ca="1" si="6"/>
        <v>0.23832324084844028</v>
      </c>
    </row>
    <row r="37" spans="1:10" x14ac:dyDescent="0.3">
      <c r="A37" s="47">
        <v>11</v>
      </c>
      <c r="B37" s="4">
        <v>32954</v>
      </c>
      <c r="C37" s="4">
        <v>17964</v>
      </c>
      <c r="D37">
        <f t="shared" si="0"/>
        <v>3592.8</v>
      </c>
      <c r="E37">
        <f t="shared" ca="1" si="1"/>
        <v>0.85936140296333263</v>
      </c>
      <c r="F37">
        <f t="shared" ca="1" si="2"/>
        <v>-1.268414640099164</v>
      </c>
      <c r="G37">
        <f t="shared" ca="1" si="3"/>
        <v>-2278.5800594741386</v>
      </c>
      <c r="H37">
        <f t="shared" ca="1" si="4"/>
        <v>30675.419940525862</v>
      </c>
      <c r="I37" s="24">
        <f t="shared" ca="1" si="5"/>
        <v>2278.5800594741377</v>
      </c>
      <c r="J37" s="43">
        <f t="shared" ca="1" si="6"/>
        <v>6.914426350288698E-2</v>
      </c>
    </row>
    <row r="38" spans="1:10" x14ac:dyDescent="0.3">
      <c r="A38" s="47">
        <v>12</v>
      </c>
      <c r="B38" s="4">
        <v>33785</v>
      </c>
      <c r="C38" s="4">
        <v>21673</v>
      </c>
      <c r="D38">
        <f t="shared" si="0"/>
        <v>4334.6000000000004</v>
      </c>
      <c r="E38">
        <f t="shared" ca="1" si="1"/>
        <v>0.98100511346485375</v>
      </c>
      <c r="F38">
        <f t="shared" ca="1" si="2"/>
        <v>-3.2704382852068008</v>
      </c>
      <c r="G38">
        <f t="shared" ca="1" si="3"/>
        <v>-7088.0208955286998</v>
      </c>
      <c r="H38">
        <f t="shared" ca="1" si="4"/>
        <v>26696.979104471298</v>
      </c>
      <c r="I38" s="24">
        <f t="shared" ca="1" si="5"/>
        <v>7088.0208955287017</v>
      </c>
      <c r="J38" s="43">
        <f t="shared" ca="1" si="6"/>
        <v>0.20979786578448134</v>
      </c>
    </row>
    <row r="39" spans="1:10" x14ac:dyDescent="0.3">
      <c r="A39" s="47">
        <v>13</v>
      </c>
      <c r="B39" s="4">
        <v>35042</v>
      </c>
      <c r="C39" s="4">
        <v>20640</v>
      </c>
      <c r="D39">
        <f t="shared" si="0"/>
        <v>4128</v>
      </c>
      <c r="E39">
        <f t="shared" ca="1" si="1"/>
        <v>0.83026184692843152</v>
      </c>
      <c r="F39">
        <f t="shared" ca="1" si="2"/>
        <v>-1.0803511248661666</v>
      </c>
      <c r="G39">
        <f t="shared" ca="1" si="3"/>
        <v>-2229.8447217237676</v>
      </c>
      <c r="H39">
        <f t="shared" ca="1" si="4"/>
        <v>32812.15527827623</v>
      </c>
      <c r="I39" s="24">
        <f t="shared" ca="1" si="5"/>
        <v>2229.8447217237699</v>
      </c>
      <c r="J39" s="43">
        <f t="shared" ca="1" si="6"/>
        <v>6.3633489005301344E-2</v>
      </c>
    </row>
    <row r="40" spans="1:10" x14ac:dyDescent="0.3">
      <c r="A40" s="47">
        <v>14</v>
      </c>
      <c r="B40" s="4">
        <v>26851</v>
      </c>
      <c r="C40" s="4">
        <v>15485</v>
      </c>
      <c r="D40">
        <f t="shared" si="0"/>
        <v>3097</v>
      </c>
      <c r="E40">
        <f t="shared" ca="1" si="1"/>
        <v>0.42977158316210073</v>
      </c>
      <c r="F40">
        <f t="shared" ca="1" si="2"/>
        <v>0.15135423282092567</v>
      </c>
      <c r="G40">
        <f t="shared" ca="1" si="3"/>
        <v>234.37202952320339</v>
      </c>
      <c r="H40">
        <f t="shared" ca="1" si="4"/>
        <v>27085.372029523205</v>
      </c>
      <c r="I40" s="24">
        <f t="shared" ca="1" si="5"/>
        <v>234.37202952320513</v>
      </c>
      <c r="J40" s="43">
        <f t="shared" ca="1" si="6"/>
        <v>8.7286145589812337E-3</v>
      </c>
    </row>
    <row r="41" spans="1:10" x14ac:dyDescent="0.3">
      <c r="A41" s="47">
        <v>15</v>
      </c>
      <c r="B41" s="4">
        <v>4098</v>
      </c>
      <c r="C41" s="4">
        <v>4029</v>
      </c>
      <c r="D41">
        <f t="shared" si="0"/>
        <v>805.80000000000007</v>
      </c>
      <c r="E41">
        <f t="shared" ca="1" si="1"/>
        <v>0.45270874571860387</v>
      </c>
      <c r="F41">
        <f t="shared" ca="1" si="2"/>
        <v>9.935912515075461E-2</v>
      </c>
      <c r="G41">
        <f t="shared" ca="1" si="3"/>
        <v>40.031791523239036</v>
      </c>
      <c r="H41">
        <f t="shared" ca="1" si="4"/>
        <v>4138.031791523239</v>
      </c>
      <c r="I41" s="24">
        <f t="shared" ca="1" si="5"/>
        <v>40.031791523239008</v>
      </c>
      <c r="J41" s="43">
        <f t="shared" ca="1" si="6"/>
        <v>9.768616769946073E-3</v>
      </c>
    </row>
    <row r="42" spans="1:10" x14ac:dyDescent="0.3">
      <c r="A42" s="47">
        <v>16</v>
      </c>
      <c r="B42" s="4">
        <v>54711</v>
      </c>
      <c r="C42" s="4">
        <v>19470</v>
      </c>
      <c r="D42">
        <f t="shared" si="0"/>
        <v>3894</v>
      </c>
      <c r="E42">
        <f t="shared" ca="1" si="1"/>
        <v>0.84846457559914568</v>
      </c>
      <c r="F42">
        <f t="shared" ca="1" si="2"/>
        <v>-1.1937886763773575</v>
      </c>
      <c r="G42">
        <f t="shared" ca="1" si="3"/>
        <v>-2324.3065529067153</v>
      </c>
      <c r="H42">
        <f t="shared" ca="1" si="4"/>
        <v>52386.693447093283</v>
      </c>
      <c r="I42" s="24">
        <f t="shared" ca="1" si="5"/>
        <v>2324.3065529067171</v>
      </c>
      <c r="J42" s="43">
        <f t="shared" ca="1" si="6"/>
        <v>4.2483349836535927E-2</v>
      </c>
    </row>
    <row r="43" spans="1:10" x14ac:dyDescent="0.3">
      <c r="A43" s="47">
        <v>17</v>
      </c>
      <c r="B43" s="4">
        <v>25463</v>
      </c>
      <c r="C43" s="4">
        <v>16726</v>
      </c>
      <c r="D43">
        <f t="shared" si="0"/>
        <v>3345.2000000000003</v>
      </c>
      <c r="E43">
        <f t="shared" ca="1" si="1"/>
        <v>0.56047416209999612</v>
      </c>
      <c r="F43">
        <f t="shared" ca="1" si="2"/>
        <v>-0.12891159371894517</v>
      </c>
      <c r="G43">
        <f t="shared" ca="1" si="3"/>
        <v>-215.61753165430773</v>
      </c>
      <c r="H43">
        <f t="shared" ca="1" si="4"/>
        <v>25247.382468345691</v>
      </c>
      <c r="I43" s="24">
        <f t="shared" ca="1" si="5"/>
        <v>215.61753165430855</v>
      </c>
      <c r="J43" s="43">
        <f t="shared" ca="1" si="6"/>
        <v>8.4678761989674649E-3</v>
      </c>
    </row>
    <row r="44" spans="1:10" x14ac:dyDescent="0.3">
      <c r="A44" s="47">
        <v>18</v>
      </c>
      <c r="B44" s="4">
        <v>24897</v>
      </c>
      <c r="C44" s="4">
        <v>10176</v>
      </c>
      <c r="D44">
        <f t="shared" si="0"/>
        <v>2035.2</v>
      </c>
      <c r="E44">
        <f t="shared" ca="1" si="1"/>
        <v>0.27080091851930654</v>
      </c>
      <c r="F44">
        <f t="shared" ca="1" si="2"/>
        <v>0.61322416551646175</v>
      </c>
      <c r="G44">
        <f t="shared" ca="1" si="3"/>
        <v>624.01691082955153</v>
      </c>
      <c r="H44">
        <f t="shared" ca="1" si="4"/>
        <v>25521.016910829552</v>
      </c>
      <c r="I44" s="24">
        <f t="shared" ca="1" si="5"/>
        <v>624.01691082955222</v>
      </c>
      <c r="J44" s="43">
        <f t="shared" ca="1" si="6"/>
        <v>2.506393986542765E-2</v>
      </c>
    </row>
    <row r="45" spans="1:10" x14ac:dyDescent="0.3">
      <c r="A45" s="47">
        <v>19</v>
      </c>
      <c r="B45" s="4">
        <v>22856</v>
      </c>
      <c r="C45" s="4">
        <v>12426</v>
      </c>
      <c r="D45">
        <f t="shared" si="0"/>
        <v>2485.2000000000003</v>
      </c>
      <c r="E45">
        <f t="shared" ca="1" si="1"/>
        <v>9.6449786654925651E-2</v>
      </c>
      <c r="F45">
        <f t="shared" ca="1" si="2"/>
        <v>1.6455855710487877</v>
      </c>
      <c r="G45">
        <f t="shared" ca="1" si="3"/>
        <v>2044.8046305852238</v>
      </c>
      <c r="H45">
        <f t="shared" ca="1" si="4"/>
        <v>24900.804630585222</v>
      </c>
      <c r="I45" s="24">
        <f t="shared" ca="1" si="5"/>
        <v>2044.8046305852222</v>
      </c>
      <c r="J45" s="43">
        <f t="shared" ca="1" si="6"/>
        <v>8.946467582189456E-2</v>
      </c>
    </row>
    <row r="46" spans="1:10" x14ac:dyDescent="0.3">
      <c r="A46" s="47">
        <v>20</v>
      </c>
      <c r="B46" s="4">
        <v>3537</v>
      </c>
      <c r="C46" s="4">
        <v>3124</v>
      </c>
      <c r="D46">
        <f t="shared" si="0"/>
        <v>624.80000000000007</v>
      </c>
      <c r="E46">
        <f t="shared" ca="1" si="1"/>
        <v>0.42962051398069412</v>
      </c>
      <c r="F46">
        <f t="shared" ca="1" si="2"/>
        <v>0.15170580501588746</v>
      </c>
      <c r="G46">
        <f t="shared" ca="1" si="3"/>
        <v>47.392893486963246</v>
      </c>
      <c r="H46">
        <f t="shared" ca="1" si="4"/>
        <v>3584.3928934869632</v>
      </c>
      <c r="I46" s="24">
        <f t="shared" ca="1" si="5"/>
        <v>47.392893486963203</v>
      </c>
      <c r="J46" s="43">
        <f t="shared" ca="1" si="6"/>
        <v>1.3399178254725249E-2</v>
      </c>
    </row>
    <row r="47" spans="1:10" x14ac:dyDescent="0.3">
      <c r="A47" s="47" t="s">
        <v>7</v>
      </c>
      <c r="B47" s="4">
        <v>733033</v>
      </c>
      <c r="C47" s="4">
        <v>21906</v>
      </c>
    </row>
    <row r="48" spans="1:10" x14ac:dyDescent="0.3">
      <c r="H48" s="14" t="s">
        <v>15</v>
      </c>
      <c r="I48" s="25">
        <f ca="1">SUM(I27:I46)</f>
        <v>31960.51282432918</v>
      </c>
    </row>
    <row r="49" spans="1:10" x14ac:dyDescent="0.3">
      <c r="H49" s="14" t="s">
        <v>292</v>
      </c>
      <c r="I49" s="7">
        <f ca="1">I48/GETPIVOTDATA("Unprotected Emp. Count",$A$26)</f>
        <v>4.3600373822637151E-2</v>
      </c>
    </row>
    <row r="52" spans="1:10" x14ac:dyDescent="0.3">
      <c r="A52" s="3" t="s">
        <v>9</v>
      </c>
      <c r="B52" t="s">
        <v>31</v>
      </c>
      <c r="C52" t="s">
        <v>23</v>
      </c>
      <c r="D52" s="1" t="s">
        <v>24</v>
      </c>
      <c r="E52" s="1" t="s">
        <v>293</v>
      </c>
      <c r="F52" s="1" t="s">
        <v>25</v>
      </c>
      <c r="G52" s="1" t="s">
        <v>12</v>
      </c>
      <c r="H52" s="1" t="s">
        <v>21</v>
      </c>
      <c r="I52" s="1" t="s">
        <v>14</v>
      </c>
      <c r="J52" s="1" t="s">
        <v>291</v>
      </c>
    </row>
    <row r="53" spans="1:10" x14ac:dyDescent="0.3">
      <c r="A53" s="47">
        <v>1</v>
      </c>
      <c r="B53" s="4">
        <v>248</v>
      </c>
      <c r="C53" s="4">
        <v>10</v>
      </c>
      <c r="D53">
        <f>MAX(C53*$C$23,1)</f>
        <v>2</v>
      </c>
      <c r="E53">
        <f ca="1">RAND()</f>
        <v>0.82754623980927744</v>
      </c>
      <c r="F53">
        <f t="shared" ref="F53:F60" ca="1" si="7">-SIGN(0.5-E53)*LN(1-2*ABS(0.5-E53))</f>
        <v>-1.064478954749817</v>
      </c>
      <c r="G53">
        <f ca="1">2*D53*F53/$C$22</f>
        <v>-1.064478954749817</v>
      </c>
      <c r="H53">
        <f ca="1">B53+G53</f>
        <v>246.93552104525017</v>
      </c>
      <c r="I53" s="24">
        <f ca="1">ABS(B53-H53)</f>
        <v>1.0644789547498306</v>
      </c>
      <c r="J53" s="43">
        <f ca="1">I53/B53</f>
        <v>4.2922538497977038E-3</v>
      </c>
    </row>
    <row r="54" spans="1:10" x14ac:dyDescent="0.3">
      <c r="A54" s="47">
        <v>2</v>
      </c>
      <c r="B54" s="4">
        <v>678</v>
      </c>
      <c r="C54" s="4">
        <v>49</v>
      </c>
      <c r="D54">
        <f t="shared" ref="D54:D60" si="8">MAX(C54*$C$23,1)</f>
        <v>9.8000000000000007</v>
      </c>
      <c r="E54">
        <f t="shared" ref="E54:E60" ca="1" si="9">RAND()</f>
        <v>0.92826421032373385</v>
      </c>
      <c r="F54">
        <f t="shared" ca="1" si="7"/>
        <v>-1.9416183166900625</v>
      </c>
      <c r="G54">
        <f t="shared" ref="G54:G60" ca="1" si="10">2*D54*F54/$C$22</f>
        <v>-9.5139297517813066</v>
      </c>
      <c r="H54">
        <f t="shared" ref="H54:H60" ca="1" si="11">B54+G54</f>
        <v>668.48607024821865</v>
      </c>
      <c r="I54" s="24">
        <f t="shared" ref="I54:I60" ca="1" si="12">ABS(B54-H54)</f>
        <v>9.5139297517813475</v>
      </c>
      <c r="J54" s="43">
        <f t="shared" ref="J54:J60" ca="1" si="13">I54/B54</f>
        <v>1.4032344766639155E-2</v>
      </c>
    </row>
    <row r="55" spans="1:10" x14ac:dyDescent="0.3">
      <c r="A55" s="47">
        <v>3</v>
      </c>
      <c r="B55" s="4">
        <v>1280</v>
      </c>
      <c r="C55" s="4">
        <v>99</v>
      </c>
      <c r="D55">
        <f t="shared" si="8"/>
        <v>19.8</v>
      </c>
      <c r="E55">
        <f t="shared" ca="1" si="9"/>
        <v>0.18320312013027573</v>
      </c>
      <c r="F55">
        <f t="shared" ca="1" si="7"/>
        <v>1.0040126150483948</v>
      </c>
      <c r="G55">
        <f t="shared" ca="1" si="10"/>
        <v>9.939724888979109</v>
      </c>
      <c r="H55">
        <f t="shared" ca="1" si="11"/>
        <v>1289.9397248889791</v>
      </c>
      <c r="I55" s="24">
        <f t="shared" ca="1" si="12"/>
        <v>9.9397248889790717</v>
      </c>
      <c r="J55" s="43">
        <f t="shared" ca="1" si="13"/>
        <v>7.7654100695148994E-3</v>
      </c>
    </row>
    <row r="56" spans="1:10" x14ac:dyDescent="0.3">
      <c r="A56" s="47">
        <v>4</v>
      </c>
      <c r="B56" s="4">
        <v>7157</v>
      </c>
      <c r="C56" s="4">
        <v>488</v>
      </c>
      <c r="D56">
        <f t="shared" si="8"/>
        <v>97.600000000000009</v>
      </c>
      <c r="E56">
        <f t="shared" ca="1" si="9"/>
        <v>0.98068108826601719</v>
      </c>
      <c r="F56">
        <f t="shared" ca="1" si="7"/>
        <v>-3.2535235996931262</v>
      </c>
      <c r="G56">
        <f t="shared" ca="1" si="10"/>
        <v>-158.77195166502457</v>
      </c>
      <c r="H56">
        <f t="shared" ca="1" si="11"/>
        <v>6998.228048334975</v>
      </c>
      <c r="I56" s="24">
        <f t="shared" ca="1" si="12"/>
        <v>158.77195166502497</v>
      </c>
      <c r="J56" s="43">
        <f t="shared" ca="1" si="13"/>
        <v>2.2184148618838197E-2</v>
      </c>
    </row>
    <row r="57" spans="1:10" x14ac:dyDescent="0.3">
      <c r="A57" s="47">
        <v>5</v>
      </c>
      <c r="B57" s="4">
        <v>11077</v>
      </c>
      <c r="C57" s="4">
        <v>976</v>
      </c>
      <c r="D57">
        <f t="shared" si="8"/>
        <v>195.20000000000002</v>
      </c>
      <c r="E57">
        <f t="shared" ca="1" si="9"/>
        <v>0.97711705483945865</v>
      </c>
      <c r="F57">
        <f t="shared" ca="1" si="7"/>
        <v>-3.0842162181429349</v>
      </c>
      <c r="G57">
        <f t="shared" ca="1" si="10"/>
        <v>-301.01950289075046</v>
      </c>
      <c r="H57">
        <f t="shared" ca="1" si="11"/>
        <v>10775.980497109249</v>
      </c>
      <c r="I57" s="24">
        <f t="shared" ca="1" si="12"/>
        <v>301.01950289075103</v>
      </c>
      <c r="J57" s="43">
        <f t="shared" ca="1" si="13"/>
        <v>2.7175183072199245E-2</v>
      </c>
    </row>
    <row r="58" spans="1:10" x14ac:dyDescent="0.3">
      <c r="A58" s="47">
        <v>6</v>
      </c>
      <c r="B58" s="4">
        <v>90372</v>
      </c>
      <c r="C58" s="4">
        <v>4997</v>
      </c>
      <c r="D58">
        <f t="shared" si="8"/>
        <v>999.40000000000009</v>
      </c>
      <c r="E58">
        <f t="shared" ca="1" si="9"/>
        <v>0.77291415070986769</v>
      </c>
      <c r="F58">
        <f t="shared" ca="1" si="7"/>
        <v>-0.78927996173143966</v>
      </c>
      <c r="G58">
        <f t="shared" ca="1" si="10"/>
        <v>-394.40319687720046</v>
      </c>
      <c r="H58">
        <f t="shared" ca="1" si="11"/>
        <v>89977.596803122797</v>
      </c>
      <c r="I58" s="24">
        <f t="shared" ca="1" si="12"/>
        <v>394.4031968772033</v>
      </c>
      <c r="J58" s="43">
        <f t="shared" ca="1" si="13"/>
        <v>4.3642189713318652E-3</v>
      </c>
    </row>
    <row r="59" spans="1:10" x14ac:dyDescent="0.3">
      <c r="A59" s="47">
        <v>7</v>
      </c>
      <c r="B59" s="4">
        <v>191757</v>
      </c>
      <c r="C59" s="4">
        <v>9941</v>
      </c>
      <c r="D59">
        <f t="shared" si="8"/>
        <v>1988.2</v>
      </c>
      <c r="E59">
        <f t="shared" ca="1" si="9"/>
        <v>0.8262963709814074</v>
      </c>
      <c r="F59">
        <f t="shared" ca="1" si="7"/>
        <v>-1.0572575329432179</v>
      </c>
      <c r="G59">
        <f t="shared" ca="1" si="10"/>
        <v>-1051.019713498853</v>
      </c>
      <c r="H59">
        <f t="shared" ca="1" si="11"/>
        <v>190705.98028650114</v>
      </c>
      <c r="I59" s="24">
        <f t="shared" ca="1" si="12"/>
        <v>1051.0197134988557</v>
      </c>
      <c r="J59" s="43">
        <f t="shared" ca="1" si="13"/>
        <v>5.4809978957683723E-3</v>
      </c>
    </row>
    <row r="60" spans="1:10" x14ac:dyDescent="0.3">
      <c r="A60" s="47">
        <v>8</v>
      </c>
      <c r="B60" s="4">
        <v>430464</v>
      </c>
      <c r="C60" s="4">
        <v>21906</v>
      </c>
      <c r="D60">
        <f t="shared" si="8"/>
        <v>4381.2</v>
      </c>
      <c r="E60">
        <f t="shared" ca="1" si="9"/>
        <v>5.266135345897105E-2</v>
      </c>
      <c r="F60">
        <f t="shared" ca="1" si="7"/>
        <v>2.2507262428428594</v>
      </c>
      <c r="G60">
        <f t="shared" ca="1" si="10"/>
        <v>4930.4409075715675</v>
      </c>
      <c r="H60">
        <f t="shared" ca="1" si="11"/>
        <v>435394.44090757158</v>
      </c>
      <c r="I60" s="24">
        <f t="shared" ca="1" si="12"/>
        <v>4930.4409075715812</v>
      </c>
      <c r="J60" s="43">
        <f t="shared" ca="1" si="13"/>
        <v>1.14537822154038E-2</v>
      </c>
    </row>
    <row r="61" spans="1:10" x14ac:dyDescent="0.3">
      <c r="A61" s="47" t="s">
        <v>7</v>
      </c>
      <c r="B61" s="4">
        <v>733033</v>
      </c>
      <c r="C61" s="4">
        <v>21906</v>
      </c>
    </row>
    <row r="62" spans="1:10" x14ac:dyDescent="0.3">
      <c r="H62" s="14" t="s">
        <v>15</v>
      </c>
      <c r="I62" s="25">
        <f ca="1">SUM(I53:I60)</f>
        <v>6856.1734060989265</v>
      </c>
    </row>
    <row r="63" spans="1:10" x14ac:dyDescent="0.3">
      <c r="H63" s="14" t="s">
        <v>292</v>
      </c>
      <c r="I63" s="7">
        <f ca="1">I62/GETPIVOTDATA("Unprotected Emp. Count",$A$52)</f>
        <v>9.3531579152629236E-3</v>
      </c>
    </row>
  </sheetData>
  <mergeCells count="3">
    <mergeCell ref="A22:B22"/>
    <mergeCell ref="A23:B23"/>
    <mergeCell ref="A24:B24"/>
  </mergeCells>
  <conditionalFormatting sqref="H53:H60">
    <cfRule type="cellIs" dxfId="4" priority="2" operator="lessThan">
      <formula>0</formula>
    </cfRule>
  </conditionalFormatting>
  <conditionalFormatting sqref="H27:H46">
    <cfRule type="cellIs" dxfId="3" priority="1" operator="lessThan">
      <formula>0</formula>
    </cfRule>
  </conditionalFormatting>
  <pageMargins left="0.7" right="0.7" top="0.75" bottom="0.75" header="0.3" footer="0.3"/>
  <pageSetup orientation="portrait" r:id="rId3"/>
  <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4:I25"/>
  <sheetViews>
    <sheetView workbookViewId="0">
      <selection activeCell="E28" sqref="E28"/>
    </sheetView>
  </sheetViews>
  <sheetFormatPr defaultRowHeight="14.4" x14ac:dyDescent="0.3"/>
  <cols>
    <col min="1" max="1" width="5.44140625" bestFit="1" customWidth="1"/>
    <col min="2" max="2" width="11" bestFit="1" customWidth="1"/>
    <col min="3" max="6" width="8.33203125" bestFit="1" customWidth="1"/>
    <col min="7" max="8" width="10.109375" customWidth="1"/>
    <col min="9" max="9" width="10.33203125" customWidth="1"/>
  </cols>
  <sheetData>
    <row r="14" spans="1:9" ht="17.399999999999999" x14ac:dyDescent="0.3">
      <c r="C14" s="75" t="s">
        <v>288</v>
      </c>
      <c r="D14" s="75"/>
      <c r="E14" s="75"/>
      <c r="F14" s="75"/>
      <c r="G14" s="75"/>
      <c r="H14" s="75"/>
      <c r="I14" s="75"/>
    </row>
    <row r="15" spans="1:9" x14ac:dyDescent="0.3">
      <c r="C15" s="1">
        <v>0.25</v>
      </c>
      <c r="D15" s="1">
        <v>0.5</v>
      </c>
      <c r="E15" s="1">
        <v>1</v>
      </c>
      <c r="F15" s="1">
        <v>2</v>
      </c>
      <c r="G15" s="1">
        <v>4</v>
      </c>
      <c r="H15" s="1">
        <v>8</v>
      </c>
      <c r="I15" s="1">
        <v>16</v>
      </c>
    </row>
    <row r="16" spans="1:9" x14ac:dyDescent="0.3">
      <c r="A16" s="76" t="s">
        <v>289</v>
      </c>
      <c r="B16" s="1">
        <v>0.4</v>
      </c>
      <c r="C16" s="38">
        <f>EXP(-C$15/2/LN($B16+1))</f>
        <v>0.6896978495507089</v>
      </c>
      <c r="D16" s="38">
        <f t="shared" ref="D16:I22" si="0">EXP(-D$15/2/LN($B16+1))</f>
        <v>0.47568312367487231</v>
      </c>
      <c r="E16" s="38">
        <f t="shared" si="0"/>
        <v>0.22627443414908388</v>
      </c>
      <c r="F16" s="38">
        <f t="shared" si="0"/>
        <v>5.1200119549488096E-2</v>
      </c>
      <c r="G16" s="38">
        <f t="shared" si="0"/>
        <v>2.6214522418818728E-3</v>
      </c>
      <c r="H16" s="38">
        <f t="shared" si="0"/>
        <v>6.8720118564674981E-6</v>
      </c>
      <c r="I16" s="38">
        <f t="shared" si="0"/>
        <v>4.7224546955429868E-11</v>
      </c>
    </row>
    <row r="17" spans="1:9" x14ac:dyDescent="0.3">
      <c r="A17" s="76"/>
      <c r="B17" s="1">
        <v>0.2</v>
      </c>
      <c r="C17" s="38">
        <f t="shared" ref="C17:C22" si="1">EXP(-C$15/2/LN($B17+1))</f>
        <v>0.50378692484435628</v>
      </c>
      <c r="D17" s="38">
        <f t="shared" si="0"/>
        <v>0.25380126564413308</v>
      </c>
      <c r="E17" s="38">
        <f t="shared" si="0"/>
        <v>6.4415082442563817E-2</v>
      </c>
      <c r="F17" s="38">
        <f t="shared" si="0"/>
        <v>4.1493028460822924E-3</v>
      </c>
      <c r="G17" s="38">
        <f t="shared" si="0"/>
        <v>1.7216714108506614E-5</v>
      </c>
      <c r="H17" s="38">
        <f t="shared" si="0"/>
        <v>2.9641524469405067E-10</v>
      </c>
      <c r="I17" s="38">
        <f t="shared" si="0"/>
        <v>8.7861997287033928E-20</v>
      </c>
    </row>
    <row r="18" spans="1:9" x14ac:dyDescent="0.3">
      <c r="A18" s="76"/>
      <c r="B18" s="1">
        <v>0.1</v>
      </c>
      <c r="C18" s="38">
        <f t="shared" si="1"/>
        <v>0.26941365329516614</v>
      </c>
      <c r="D18" s="38">
        <f t="shared" si="0"/>
        <v>7.2583716581847993E-2</v>
      </c>
      <c r="E18" s="38">
        <f t="shared" si="0"/>
        <v>5.2683959128340362E-3</v>
      </c>
      <c r="F18" s="38">
        <f t="shared" si="0"/>
        <v>2.7755995494366378E-5</v>
      </c>
      <c r="G18" s="38">
        <f t="shared" si="0"/>
        <v>7.7039528588328665E-10</v>
      </c>
      <c r="H18" s="38">
        <f t="shared" si="0"/>
        <v>5.9350889651119097E-19</v>
      </c>
      <c r="I18" s="38">
        <f t="shared" si="0"/>
        <v>3.5225281023793159E-37</v>
      </c>
    </row>
    <row r="19" spans="1:9" x14ac:dyDescent="0.3">
      <c r="A19" s="76"/>
      <c r="B19" s="1">
        <v>0.05</v>
      </c>
      <c r="C19" s="38">
        <f t="shared" si="1"/>
        <v>7.7150918930403586E-2</v>
      </c>
      <c r="D19" s="38">
        <f t="shared" si="0"/>
        <v>5.952264291805706E-3</v>
      </c>
      <c r="E19" s="38">
        <f t="shared" si="0"/>
        <v>3.5429450199505282E-5</v>
      </c>
      <c r="F19" s="38">
        <f t="shared" si="0"/>
        <v>1.2552459414392251E-9</v>
      </c>
      <c r="G19" s="38">
        <f t="shared" si="0"/>
        <v>1.5756423734996465E-18</v>
      </c>
      <c r="H19" s="38">
        <f t="shared" si="0"/>
        <v>2.4826488891675994E-36</v>
      </c>
      <c r="I19" s="38">
        <f t="shared" si="0"/>
        <v>6.1635455068851154E-72</v>
      </c>
    </row>
    <row r="20" spans="1:9" x14ac:dyDescent="0.3">
      <c r="A20" s="76"/>
      <c r="B20" s="1">
        <v>0.02</v>
      </c>
      <c r="C20" s="38">
        <f t="shared" si="1"/>
        <v>1.8138679516083917E-3</v>
      </c>
      <c r="D20" s="38">
        <f t="shared" si="0"/>
        <v>3.2901169458720225E-6</v>
      </c>
      <c r="E20" s="38">
        <f t="shared" si="0"/>
        <v>1.0824869517514245E-11</v>
      </c>
      <c r="F20" s="38">
        <f t="shared" si="0"/>
        <v>1.171778000712091E-22</v>
      </c>
      <c r="G20" s="38">
        <f t="shared" si="0"/>
        <v>1.3730636829528252E-44</v>
      </c>
      <c r="H20" s="38">
        <f t="shared" si="0"/>
        <v>1.8853038774439762E-88</v>
      </c>
      <c r="I20" s="38">
        <f t="shared" si="0"/>
        <v>3.5543707103052912E-176</v>
      </c>
    </row>
    <row r="21" spans="1:9" x14ac:dyDescent="0.3">
      <c r="A21" s="76"/>
      <c r="B21" s="1">
        <v>0.01</v>
      </c>
      <c r="C21" s="38">
        <f t="shared" si="1"/>
        <v>3.5012295509418251E-6</v>
      </c>
      <c r="D21" s="38">
        <f t="shared" si="0"/>
        <v>1.2258608368388294E-11</v>
      </c>
      <c r="E21" s="38">
        <f t="shared" si="0"/>
        <v>1.5027347912951953E-22</v>
      </c>
      <c r="F21" s="38">
        <f t="shared" si="0"/>
        <v>2.2582118529690138E-44</v>
      </c>
      <c r="G21" s="38">
        <f t="shared" si="0"/>
        <v>5.0995207728897467E-88</v>
      </c>
      <c r="H21" s="38">
        <f t="shared" si="0"/>
        <v>2.6005112113134039E-175</v>
      </c>
      <c r="I21" s="38">
        <f t="shared" si="0"/>
        <v>0</v>
      </c>
    </row>
    <row r="22" spans="1:9" x14ac:dyDescent="0.3">
      <c r="A22" s="76"/>
      <c r="B22" s="1">
        <v>5.0000000000000001E-3</v>
      </c>
      <c r="C22" s="38">
        <f t="shared" si="1"/>
        <v>1.3047193712599075E-11</v>
      </c>
      <c r="D22" s="38">
        <f t="shared" si="0"/>
        <v>1.7022926377408485E-22</v>
      </c>
      <c r="E22" s="38">
        <f t="shared" si="0"/>
        <v>2.8978002245066959E-44</v>
      </c>
      <c r="F22" s="38">
        <f t="shared" si="0"/>
        <v>8.3972461411510557E-88</v>
      </c>
      <c r="G22" s="38">
        <f t="shared" si="0"/>
        <v>7.0513742755076297E-175</v>
      </c>
      <c r="H22" s="38">
        <f t="shared" si="0"/>
        <v>0</v>
      </c>
      <c r="I22" s="38">
        <f t="shared" si="0"/>
        <v>0</v>
      </c>
    </row>
    <row r="23" spans="1:9" ht="17.399999999999999" x14ac:dyDescent="0.3">
      <c r="A23" s="39"/>
      <c r="B23" s="1"/>
      <c r="C23" s="38"/>
      <c r="D23" s="38"/>
      <c r="E23" s="38"/>
      <c r="F23" s="38"/>
      <c r="G23" s="38"/>
      <c r="H23" s="38"/>
      <c r="I23" s="38"/>
    </row>
    <row r="24" spans="1:9" ht="18" x14ac:dyDescent="0.35">
      <c r="A24" s="41" t="s">
        <v>290</v>
      </c>
      <c r="B24" s="42">
        <v>6786097</v>
      </c>
    </row>
    <row r="25" spans="1:9" ht="17.399999999999999" x14ac:dyDescent="0.3">
      <c r="A25" s="40" t="s">
        <v>286</v>
      </c>
      <c r="B25" s="1">
        <f>1/B24</f>
        <v>1.4736010994243082E-7</v>
      </c>
    </row>
  </sheetData>
  <mergeCells count="2">
    <mergeCell ref="C14:I14"/>
    <mergeCell ref="A16:A22"/>
  </mergeCells>
  <conditionalFormatting sqref="C16:I23">
    <cfRule type="cellIs" dxfId="2" priority="3" operator="greaterThan">
      <formula>$B$25</formula>
    </cfRule>
  </conditionalFormatting>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1002"/>
  <sheetViews>
    <sheetView workbookViewId="0">
      <selection activeCell="J3" sqref="J3"/>
    </sheetView>
  </sheetViews>
  <sheetFormatPr defaultRowHeight="14.4" x14ac:dyDescent="0.3"/>
  <cols>
    <col min="2" max="2" width="15.109375" bestFit="1" customWidth="1"/>
    <col min="5" max="5" width="13.44140625" bestFit="1" customWidth="1"/>
    <col min="6" max="6" width="15.109375" bestFit="1" customWidth="1"/>
    <col min="7" max="7" width="15.109375" customWidth="1"/>
    <col min="8" max="9" width="15.109375" hidden="1" customWidth="1"/>
    <col min="11" max="11" width="12.6640625" customWidth="1"/>
    <col min="12" max="12" width="40.6640625" customWidth="1"/>
    <col min="31" max="31" width="9.109375" customWidth="1"/>
    <col min="32" max="32" width="30" customWidth="1"/>
  </cols>
  <sheetData>
    <row r="1" spans="1:33" ht="30" customHeight="1" x14ac:dyDescent="0.3">
      <c r="A1" s="48" t="s">
        <v>295</v>
      </c>
      <c r="B1" s="48" t="str">
        <f>"Geom. Dist. Samples, p = "&amp;TEXT(K1,"0.0")</f>
        <v>Geom. Dist. Samples, p = 0.3</v>
      </c>
      <c r="C1" s="48" t="s">
        <v>302</v>
      </c>
      <c r="D1" s="48" t="s">
        <v>303</v>
      </c>
      <c r="E1" s="48" t="s">
        <v>295</v>
      </c>
      <c r="F1" s="48" t="str">
        <f>"Geom. Dist. Samples, p = "&amp;TEXT(K1,"0.0")</f>
        <v>Geom. Dist. Samples, p = 0.3</v>
      </c>
      <c r="G1" s="48" t="s">
        <v>301</v>
      </c>
      <c r="H1" s="48" t="s">
        <v>305</v>
      </c>
      <c r="I1" s="48" t="s">
        <v>304</v>
      </c>
      <c r="J1" s="34" t="s">
        <v>300</v>
      </c>
      <c r="K1" s="33">
        <v>0.3</v>
      </c>
      <c r="L1" s="78" t="s">
        <v>306</v>
      </c>
      <c r="AF1" t="s">
        <v>298</v>
      </c>
      <c r="AG1" s="66" t="s">
        <v>299</v>
      </c>
    </row>
    <row r="2" spans="1:33" x14ac:dyDescent="0.3">
      <c r="A2">
        <f ca="1">RAND()</f>
        <v>0.80850098376059443</v>
      </c>
      <c r="B2">
        <f ca="1">LOOKUP(A2,$AF$2:$AF$1002,$AE$2:$AE$1002)</f>
        <v>4</v>
      </c>
      <c r="C2">
        <f ca="1">AVERAGE($B$2:B2)</f>
        <v>4</v>
      </c>
      <c r="D2">
        <f ca="1">_xlfn.VAR.P($B$2:B2)</f>
        <v>0</v>
      </c>
      <c r="E2">
        <f ca="1">RAND()</f>
        <v>0.10408073400211615</v>
      </c>
      <c r="F2">
        <f ca="1">LOOKUP(E2,$AF$2:$AF$1002,$AE$2:$AE$1002)</f>
        <v>0</v>
      </c>
      <c r="G2">
        <f ca="1">B2-F2</f>
        <v>4</v>
      </c>
      <c r="H2">
        <f ca="1">AVERAGE($G$2:G2)</f>
        <v>4</v>
      </c>
      <c r="I2">
        <f ca="1">_xlfn.VAR.P($G$2:G2)</f>
        <v>0</v>
      </c>
      <c r="J2" s="77" t="str">
        <f>IF(AF1002-AF1001&gt;0,"WARNING: Geometric distribution is truncated at "&amp;AF1002&amp;".","")</f>
        <v/>
      </c>
      <c r="K2" s="77"/>
      <c r="L2" s="77"/>
      <c r="AE2">
        <v>0</v>
      </c>
      <c r="AF2" s="66">
        <v>0</v>
      </c>
    </row>
    <row r="3" spans="1:33" x14ac:dyDescent="0.3">
      <c r="A3">
        <f t="shared" ref="A3:A66" ca="1" si="0">RAND()</f>
        <v>0.18579549543612717</v>
      </c>
      <c r="B3">
        <f t="shared" ref="B3:B66" ca="1" si="1">LOOKUP(A3,$AF$2:$AF$1002,$AE$2:$AE$1002)</f>
        <v>0</v>
      </c>
      <c r="C3">
        <f ca="1">AVERAGE($B$2:B3)</f>
        <v>2</v>
      </c>
      <c r="D3">
        <f ca="1">_xlfn.VAR.P($B$2:B3)</f>
        <v>4</v>
      </c>
      <c r="E3">
        <f t="shared" ref="E3:E66" ca="1" si="2">RAND()</f>
        <v>0.71907971297846041</v>
      </c>
      <c r="F3">
        <f t="shared" ref="F3:F66" ca="1" si="3">LOOKUP(E3,$AF$2:$AF$1002,$AE$2:$AE$1002)</f>
        <v>3</v>
      </c>
      <c r="G3">
        <f t="shared" ref="G3:G66" ca="1" si="4">B3-F3</f>
        <v>-3</v>
      </c>
      <c r="H3">
        <f ca="1">AVERAGE($G$2:G3)</f>
        <v>0.5</v>
      </c>
      <c r="I3">
        <f ca="1">_xlfn.VAR.P($G$2:G3)</f>
        <v>12.25</v>
      </c>
      <c r="AE3">
        <v>1</v>
      </c>
      <c r="AF3" s="66">
        <f t="shared" ref="AF3:AF66" si="5">_xlfn.NEGBINOM.DIST(AE3-1,1,$K$1,TRUE)</f>
        <v>0.3</v>
      </c>
    </row>
    <row r="4" spans="1:33" x14ac:dyDescent="0.3">
      <c r="A4">
        <f t="shared" ca="1" si="0"/>
        <v>0.47772065459517277</v>
      </c>
      <c r="B4">
        <f t="shared" ca="1" si="1"/>
        <v>1</v>
      </c>
      <c r="C4">
        <f ca="1">AVERAGE($B$2:B4)</f>
        <v>1.6666666666666667</v>
      </c>
      <c r="D4">
        <f ca="1">_xlfn.VAR.P($B$2:B4)</f>
        <v>2.8888888888888888</v>
      </c>
      <c r="E4">
        <f t="shared" ca="1" si="2"/>
        <v>0.83303562989764957</v>
      </c>
      <c r="F4">
        <f t="shared" ca="1" si="3"/>
        <v>5</v>
      </c>
      <c r="G4">
        <f t="shared" ca="1" si="4"/>
        <v>-4</v>
      </c>
      <c r="H4">
        <f ca="1">AVERAGE($G$2:G4)</f>
        <v>-1</v>
      </c>
      <c r="I4">
        <f ca="1">_xlfn.VAR.P($G$2:G4)</f>
        <v>12.666666666666666</v>
      </c>
      <c r="AE4">
        <f>AE3+1</f>
        <v>2</v>
      </c>
      <c r="AF4" s="66">
        <f t="shared" si="5"/>
        <v>0.51</v>
      </c>
    </row>
    <row r="5" spans="1:33" x14ac:dyDescent="0.3">
      <c r="A5">
        <f t="shared" ca="1" si="0"/>
        <v>0.53033380636824845</v>
      </c>
      <c r="B5">
        <f t="shared" ca="1" si="1"/>
        <v>2</v>
      </c>
      <c r="C5">
        <f ca="1">AVERAGE($B$2:B5)</f>
        <v>1.75</v>
      </c>
      <c r="D5">
        <f ca="1">_xlfn.VAR.P($B$2:B5)</f>
        <v>2.1875</v>
      </c>
      <c r="E5">
        <f t="shared" ca="1" si="2"/>
        <v>0.78701820838927117</v>
      </c>
      <c r="F5">
        <f t="shared" ca="1" si="3"/>
        <v>4</v>
      </c>
      <c r="G5">
        <f t="shared" ca="1" si="4"/>
        <v>-2</v>
      </c>
      <c r="H5">
        <f ca="1">AVERAGE($G$2:G5)</f>
        <v>-1.25</v>
      </c>
      <c r="I5">
        <f ca="1">_xlfn.VAR.P($G$2:G5)</f>
        <v>9.6875</v>
      </c>
      <c r="AE5">
        <f t="shared" ref="AE5:AE68" si="6">AE4+1</f>
        <v>3</v>
      </c>
      <c r="AF5" s="66">
        <f t="shared" si="5"/>
        <v>0.65700000000000003</v>
      </c>
    </row>
    <row r="6" spans="1:33" x14ac:dyDescent="0.3">
      <c r="A6">
        <f t="shared" ca="1" si="0"/>
        <v>0.24024367109065703</v>
      </c>
      <c r="B6">
        <f t="shared" ca="1" si="1"/>
        <v>0</v>
      </c>
      <c r="C6">
        <f ca="1">AVERAGE($B$2:B6)</f>
        <v>1.4</v>
      </c>
      <c r="D6">
        <f ca="1">_xlfn.VAR.P($B$2:B6)</f>
        <v>2.2400000000000002</v>
      </c>
      <c r="E6">
        <f t="shared" ca="1" si="2"/>
        <v>0.41176857361350605</v>
      </c>
      <c r="F6">
        <f t="shared" ca="1" si="3"/>
        <v>1</v>
      </c>
      <c r="G6">
        <f t="shared" ca="1" si="4"/>
        <v>-1</v>
      </c>
      <c r="H6">
        <f ca="1">AVERAGE($G$2:G6)</f>
        <v>-1.2</v>
      </c>
      <c r="I6">
        <f ca="1">_xlfn.VAR.P($G$2:G6)</f>
        <v>7.76</v>
      </c>
      <c r="AE6">
        <f t="shared" si="6"/>
        <v>4</v>
      </c>
      <c r="AF6" s="66">
        <f t="shared" si="5"/>
        <v>0.75990000000000002</v>
      </c>
    </row>
    <row r="7" spans="1:33" x14ac:dyDescent="0.3">
      <c r="A7">
        <f t="shared" ca="1" si="0"/>
        <v>0.44797109305032634</v>
      </c>
      <c r="B7">
        <f t="shared" ca="1" si="1"/>
        <v>1</v>
      </c>
      <c r="C7">
        <f ca="1">AVERAGE($B$2:B7)</f>
        <v>1.3333333333333333</v>
      </c>
      <c r="D7">
        <f ca="1">_xlfn.VAR.P($B$2:B7)</f>
        <v>1.8888888888888888</v>
      </c>
      <c r="E7">
        <f t="shared" ca="1" si="2"/>
        <v>1.3777833839655362E-2</v>
      </c>
      <c r="F7">
        <f t="shared" ca="1" si="3"/>
        <v>0</v>
      </c>
      <c r="G7">
        <f t="shared" ca="1" si="4"/>
        <v>1</v>
      </c>
      <c r="H7">
        <f ca="1">AVERAGE($G$2:G7)</f>
        <v>-0.83333333333333337</v>
      </c>
      <c r="I7">
        <f ca="1">_xlfn.VAR.P($G$2:G7)</f>
        <v>7.1388888888888893</v>
      </c>
      <c r="AE7">
        <f t="shared" si="6"/>
        <v>5</v>
      </c>
      <c r="AF7" s="66">
        <f t="shared" si="5"/>
        <v>0.83193000000000006</v>
      </c>
    </row>
    <row r="8" spans="1:33" x14ac:dyDescent="0.3">
      <c r="A8">
        <f t="shared" ca="1" si="0"/>
        <v>0.93331998651781301</v>
      </c>
      <c r="B8">
        <f t="shared" ca="1" si="1"/>
        <v>7</v>
      </c>
      <c r="C8">
        <f ca="1">AVERAGE($B$2:B8)</f>
        <v>2.1428571428571428</v>
      </c>
      <c r="D8">
        <f ca="1">_xlfn.VAR.P($B$2:B8)</f>
        <v>5.5510204081632653</v>
      </c>
      <c r="E8">
        <f t="shared" ca="1" si="2"/>
        <v>0.90564545880808833</v>
      </c>
      <c r="F8">
        <f t="shared" ca="1" si="3"/>
        <v>6</v>
      </c>
      <c r="G8">
        <f t="shared" ca="1" si="4"/>
        <v>1</v>
      </c>
      <c r="H8">
        <f ca="1">AVERAGE($G$2:G8)</f>
        <v>-0.5714285714285714</v>
      </c>
      <c r="I8">
        <f ca="1">_xlfn.VAR.P($G$2:G8)</f>
        <v>6.5306122448979593</v>
      </c>
      <c r="AE8">
        <f t="shared" si="6"/>
        <v>6</v>
      </c>
      <c r="AF8" s="66">
        <f t="shared" si="5"/>
        <v>0.88235100000000011</v>
      </c>
    </row>
    <row r="9" spans="1:33" x14ac:dyDescent="0.3">
      <c r="A9">
        <f t="shared" ca="1" si="0"/>
        <v>0.68786475194896102</v>
      </c>
      <c r="B9">
        <f t="shared" ca="1" si="1"/>
        <v>3</v>
      </c>
      <c r="C9">
        <f ca="1">AVERAGE($B$2:B9)</f>
        <v>2.25</v>
      </c>
      <c r="D9">
        <f ca="1">_xlfn.VAR.P($B$2:B9)</f>
        <v>4.9375</v>
      </c>
      <c r="E9">
        <f t="shared" ca="1" si="2"/>
        <v>0.71908050701770587</v>
      </c>
      <c r="F9">
        <f t="shared" ca="1" si="3"/>
        <v>3</v>
      </c>
      <c r="G9">
        <f t="shared" ca="1" si="4"/>
        <v>0</v>
      </c>
      <c r="H9">
        <f ca="1">AVERAGE($G$2:G9)</f>
        <v>-0.5</v>
      </c>
      <c r="I9">
        <f ca="1">_xlfn.VAR.P($G$2:G9)</f>
        <v>5.75</v>
      </c>
      <c r="AE9">
        <f t="shared" si="6"/>
        <v>7</v>
      </c>
      <c r="AF9" s="66">
        <f t="shared" si="5"/>
        <v>0.91764570000000001</v>
      </c>
    </row>
    <row r="10" spans="1:33" x14ac:dyDescent="0.3">
      <c r="A10">
        <f t="shared" ca="1" si="0"/>
        <v>0.4944079364941415</v>
      </c>
      <c r="B10">
        <f t="shared" ca="1" si="1"/>
        <v>1</v>
      </c>
      <c r="C10">
        <f ca="1">AVERAGE($B$2:B10)</f>
        <v>2.1111111111111112</v>
      </c>
      <c r="D10">
        <f ca="1">_xlfn.VAR.P($B$2:B10)</f>
        <v>4.5432098765432096</v>
      </c>
      <c r="E10">
        <f t="shared" ca="1" si="2"/>
        <v>0.41798651113742469</v>
      </c>
      <c r="F10">
        <f t="shared" ca="1" si="3"/>
        <v>1</v>
      </c>
      <c r="G10">
        <f t="shared" ca="1" si="4"/>
        <v>0</v>
      </c>
      <c r="H10">
        <f ca="1">AVERAGE($G$2:G10)</f>
        <v>-0.44444444444444442</v>
      </c>
      <c r="I10">
        <f ca="1">_xlfn.VAR.P($G$2:G10)</f>
        <v>5.1358024691358022</v>
      </c>
      <c r="AE10">
        <f t="shared" si="6"/>
        <v>8</v>
      </c>
      <c r="AF10" s="66">
        <f t="shared" si="5"/>
        <v>0.94235199000000003</v>
      </c>
    </row>
    <row r="11" spans="1:33" x14ac:dyDescent="0.3">
      <c r="A11">
        <f t="shared" ca="1" si="0"/>
        <v>0.36159621831904576</v>
      </c>
      <c r="B11">
        <f t="shared" ca="1" si="1"/>
        <v>1</v>
      </c>
      <c r="C11">
        <f ca="1">AVERAGE($B$2:B11)</f>
        <v>2</v>
      </c>
      <c r="D11">
        <f ca="1">_xlfn.VAR.P($B$2:B11)</f>
        <v>4.2</v>
      </c>
      <c r="E11">
        <f t="shared" ca="1" si="2"/>
        <v>0.85203478245049769</v>
      </c>
      <c r="F11">
        <f t="shared" ca="1" si="3"/>
        <v>5</v>
      </c>
      <c r="G11">
        <f t="shared" ca="1" si="4"/>
        <v>-4</v>
      </c>
      <c r="H11">
        <f ca="1">AVERAGE($G$2:G11)</f>
        <v>-0.8</v>
      </c>
      <c r="I11">
        <f ca="1">_xlfn.VAR.P($G$2:G11)</f>
        <v>5.76</v>
      </c>
      <c r="AE11">
        <f t="shared" si="6"/>
        <v>9</v>
      </c>
      <c r="AF11" s="66">
        <f t="shared" si="5"/>
        <v>0.9596463930000001</v>
      </c>
    </row>
    <row r="12" spans="1:33" x14ac:dyDescent="0.3">
      <c r="A12">
        <f t="shared" ca="1" si="0"/>
        <v>0.17295008693271041</v>
      </c>
      <c r="B12">
        <f t="shared" ca="1" si="1"/>
        <v>0</v>
      </c>
      <c r="C12">
        <f ca="1">AVERAGE($B$2:B12)</f>
        <v>1.8181818181818181</v>
      </c>
      <c r="D12">
        <f ca="1">_xlfn.VAR.P($B$2:B12)</f>
        <v>4.1487603305785123</v>
      </c>
      <c r="E12">
        <f t="shared" ca="1" si="2"/>
        <v>8.3058954421011966E-2</v>
      </c>
      <c r="F12">
        <f t="shared" ca="1" si="3"/>
        <v>0</v>
      </c>
      <c r="G12">
        <f t="shared" ca="1" si="4"/>
        <v>0</v>
      </c>
      <c r="H12">
        <f ca="1">AVERAGE($G$2:G12)</f>
        <v>-0.72727272727272729</v>
      </c>
      <c r="I12">
        <f ca="1">_xlfn.VAR.P($G$2:G12)</f>
        <v>5.2892561983471076</v>
      </c>
      <c r="AE12">
        <f t="shared" si="6"/>
        <v>10</v>
      </c>
      <c r="AF12" s="66">
        <f t="shared" si="5"/>
        <v>0.97175247509999996</v>
      </c>
    </row>
    <row r="13" spans="1:33" x14ac:dyDescent="0.3">
      <c r="A13">
        <f t="shared" ca="1" si="0"/>
        <v>0.61987447026981357</v>
      </c>
      <c r="B13">
        <f t="shared" ca="1" si="1"/>
        <v>2</v>
      </c>
      <c r="C13">
        <f ca="1">AVERAGE($B$2:B13)</f>
        <v>1.8333333333333333</v>
      </c>
      <c r="D13">
        <f ca="1">_xlfn.VAR.P($B$2:B13)</f>
        <v>3.8055555555555554</v>
      </c>
      <c r="E13">
        <f t="shared" ca="1" si="2"/>
        <v>0.40978290400814243</v>
      </c>
      <c r="F13">
        <f t="shared" ca="1" si="3"/>
        <v>1</v>
      </c>
      <c r="G13">
        <f t="shared" ca="1" si="4"/>
        <v>1</v>
      </c>
      <c r="H13">
        <f ca="1">AVERAGE($G$2:G13)</f>
        <v>-0.58333333333333337</v>
      </c>
      <c r="I13">
        <f ca="1">_xlfn.VAR.P($G$2:G13)</f>
        <v>5.0763888888888893</v>
      </c>
      <c r="AE13">
        <f t="shared" si="6"/>
        <v>11</v>
      </c>
      <c r="AF13" s="66">
        <f t="shared" si="5"/>
        <v>0.98022673257000004</v>
      </c>
    </row>
    <row r="14" spans="1:33" x14ac:dyDescent="0.3">
      <c r="A14">
        <f t="shared" ca="1" si="0"/>
        <v>0.81978108766254043</v>
      </c>
      <c r="B14">
        <f t="shared" ca="1" si="1"/>
        <v>4</v>
      </c>
      <c r="C14">
        <f ca="1">AVERAGE($B$2:B14)</f>
        <v>2</v>
      </c>
      <c r="D14">
        <f ca="1">_xlfn.VAR.P($B$2:B14)</f>
        <v>3.8461538461538463</v>
      </c>
      <c r="E14">
        <f t="shared" ca="1" si="2"/>
        <v>0.13378552394565635</v>
      </c>
      <c r="F14">
        <f t="shared" ca="1" si="3"/>
        <v>0</v>
      </c>
      <c r="G14">
        <f t="shared" ca="1" si="4"/>
        <v>4</v>
      </c>
      <c r="H14">
        <f ca="1">AVERAGE($G$2:G14)</f>
        <v>-0.23076923076923078</v>
      </c>
      <c r="I14">
        <f ca="1">_xlfn.VAR.P($G$2:G14)</f>
        <v>6.1775147928994079</v>
      </c>
      <c r="AE14">
        <f t="shared" si="6"/>
        <v>12</v>
      </c>
      <c r="AF14" s="66">
        <f t="shared" si="5"/>
        <v>0.98615871279900003</v>
      </c>
    </row>
    <row r="15" spans="1:33" x14ac:dyDescent="0.3">
      <c r="A15">
        <f t="shared" ca="1" si="0"/>
        <v>0.1982961603166139</v>
      </c>
      <c r="B15">
        <f t="shared" ca="1" si="1"/>
        <v>0</v>
      </c>
      <c r="C15">
        <f ca="1">AVERAGE($B$2:B15)</f>
        <v>1.8571428571428572</v>
      </c>
      <c r="D15">
        <f ca="1">_xlfn.VAR.P($B$2:B15)</f>
        <v>3.8367346938775508</v>
      </c>
      <c r="E15">
        <f t="shared" ca="1" si="2"/>
        <v>0.24493759396761017</v>
      </c>
      <c r="F15">
        <f t="shared" ca="1" si="3"/>
        <v>0</v>
      </c>
      <c r="G15">
        <f t="shared" ca="1" si="4"/>
        <v>0</v>
      </c>
      <c r="H15">
        <f ca="1">AVERAGE($G$2:G15)</f>
        <v>-0.21428571428571427</v>
      </c>
      <c r="I15">
        <f ca="1">_xlfn.VAR.P($G$2:G15)</f>
        <v>5.7397959183673466</v>
      </c>
      <c r="AE15">
        <f t="shared" si="6"/>
        <v>13</v>
      </c>
      <c r="AF15" s="66">
        <f t="shared" si="5"/>
        <v>0.99031109895930003</v>
      </c>
    </row>
    <row r="16" spans="1:33" x14ac:dyDescent="0.3">
      <c r="A16">
        <f t="shared" ca="1" si="0"/>
        <v>0.56955944908754619</v>
      </c>
      <c r="B16">
        <f t="shared" ca="1" si="1"/>
        <v>2</v>
      </c>
      <c r="C16">
        <f ca="1">AVERAGE($B$2:B16)</f>
        <v>1.8666666666666667</v>
      </c>
      <c r="D16">
        <f ca="1">_xlfn.VAR.P($B$2:B16)</f>
        <v>3.5822222222222222</v>
      </c>
      <c r="E16">
        <f t="shared" ca="1" si="2"/>
        <v>0.55550171964153983</v>
      </c>
      <c r="F16">
        <f t="shared" ca="1" si="3"/>
        <v>2</v>
      </c>
      <c r="G16">
        <f t="shared" ca="1" si="4"/>
        <v>0</v>
      </c>
      <c r="H16">
        <f ca="1">AVERAGE($G$2:G16)</f>
        <v>-0.2</v>
      </c>
      <c r="I16">
        <f ca="1">_xlfn.VAR.P($G$2:G16)</f>
        <v>5.36</v>
      </c>
      <c r="AE16">
        <f t="shared" si="6"/>
        <v>14</v>
      </c>
      <c r="AF16" s="66">
        <f t="shared" si="5"/>
        <v>0.99321776927151006</v>
      </c>
    </row>
    <row r="17" spans="1:32" x14ac:dyDescent="0.3">
      <c r="A17">
        <f t="shared" ca="1" si="0"/>
        <v>7.9667256966324596E-2</v>
      </c>
      <c r="B17">
        <f t="shared" ca="1" si="1"/>
        <v>0</v>
      </c>
      <c r="C17">
        <f ca="1">AVERAGE($B$2:B17)</f>
        <v>1.75</v>
      </c>
      <c r="D17">
        <f ca="1">_xlfn.VAR.P($B$2:B17)</f>
        <v>3.5625</v>
      </c>
      <c r="E17">
        <f t="shared" ca="1" si="2"/>
        <v>0.26269739330270958</v>
      </c>
      <c r="F17">
        <f t="shared" ca="1" si="3"/>
        <v>0</v>
      </c>
      <c r="G17">
        <f t="shared" ca="1" si="4"/>
        <v>0</v>
      </c>
      <c r="H17">
        <f ca="1">AVERAGE($G$2:G17)</f>
        <v>-0.1875</v>
      </c>
      <c r="I17">
        <f ca="1">_xlfn.VAR.P($G$2:G17)</f>
        <v>5.02734375</v>
      </c>
      <c r="AE17">
        <f t="shared" si="6"/>
        <v>15</v>
      </c>
      <c r="AF17" s="66">
        <f t="shared" si="5"/>
        <v>0.99525243849005696</v>
      </c>
    </row>
    <row r="18" spans="1:32" x14ac:dyDescent="0.3">
      <c r="A18">
        <f t="shared" ca="1" si="0"/>
        <v>8.5068584123381807E-2</v>
      </c>
      <c r="B18">
        <f t="shared" ca="1" si="1"/>
        <v>0</v>
      </c>
      <c r="C18">
        <f ca="1">AVERAGE($B$2:B18)</f>
        <v>1.6470588235294117</v>
      </c>
      <c r="D18">
        <f ca="1">_xlfn.VAR.P($B$2:B18)</f>
        <v>3.5224913494809686</v>
      </c>
      <c r="E18">
        <f t="shared" ca="1" si="2"/>
        <v>0.98876209592097364</v>
      </c>
      <c r="F18">
        <f t="shared" ca="1" si="3"/>
        <v>12</v>
      </c>
      <c r="G18">
        <f t="shared" ca="1" si="4"/>
        <v>-12</v>
      </c>
      <c r="H18">
        <f ca="1">AVERAGE($G$2:G18)</f>
        <v>-0.88235294117647056</v>
      </c>
      <c r="I18">
        <f ca="1">_xlfn.VAR.P($G$2:G18)</f>
        <v>12.456747404844291</v>
      </c>
      <c r="AE18">
        <f t="shared" si="6"/>
        <v>16</v>
      </c>
      <c r="AF18" s="66">
        <f t="shared" si="5"/>
        <v>0.99667670694303989</v>
      </c>
    </row>
    <row r="19" spans="1:32" x14ac:dyDescent="0.3">
      <c r="A19">
        <f t="shared" ca="1" si="0"/>
        <v>0.54297320471010058</v>
      </c>
      <c r="B19">
        <f t="shared" ca="1" si="1"/>
        <v>2</v>
      </c>
      <c r="C19">
        <f ca="1">AVERAGE($B$2:B19)</f>
        <v>1.6666666666666667</v>
      </c>
      <c r="D19">
        <f ca="1">_xlfn.VAR.P($B$2:B19)</f>
        <v>3.3333333333333335</v>
      </c>
      <c r="E19">
        <f t="shared" ca="1" si="2"/>
        <v>0.67061969864324178</v>
      </c>
      <c r="F19">
        <f t="shared" ca="1" si="3"/>
        <v>3</v>
      </c>
      <c r="G19">
        <f t="shared" ca="1" si="4"/>
        <v>-1</v>
      </c>
      <c r="H19">
        <f ca="1">AVERAGE($G$2:G19)</f>
        <v>-0.88888888888888884</v>
      </c>
      <c r="I19">
        <f ca="1">_xlfn.VAR.P($G$2:G19)</f>
        <v>11.765432098765432</v>
      </c>
      <c r="AE19">
        <f t="shared" si="6"/>
        <v>17</v>
      </c>
      <c r="AF19" s="66">
        <f t="shared" si="5"/>
        <v>0.99767369486012791</v>
      </c>
    </row>
    <row r="20" spans="1:32" x14ac:dyDescent="0.3">
      <c r="A20">
        <f t="shared" ca="1" si="0"/>
        <v>0.40036867946745747</v>
      </c>
      <c r="B20">
        <f t="shared" ca="1" si="1"/>
        <v>1</v>
      </c>
      <c r="C20">
        <f ca="1">AVERAGE($B$2:B20)</f>
        <v>1.631578947368421</v>
      </c>
      <c r="D20">
        <f ca="1">_xlfn.VAR.P($B$2:B20)</f>
        <v>3.1800554016620497</v>
      </c>
      <c r="E20">
        <f t="shared" ca="1" si="2"/>
        <v>0.57507243714463696</v>
      </c>
      <c r="F20">
        <f t="shared" ca="1" si="3"/>
        <v>2</v>
      </c>
      <c r="G20">
        <f t="shared" ca="1" si="4"/>
        <v>-1</v>
      </c>
      <c r="H20">
        <f ca="1">AVERAGE($G$2:G20)</f>
        <v>-0.89473684210526316</v>
      </c>
      <c r="I20">
        <f ca="1">_xlfn.VAR.P($G$2:G20)</f>
        <v>11.146814404432133</v>
      </c>
      <c r="AE20">
        <f t="shared" si="6"/>
        <v>18</v>
      </c>
      <c r="AF20" s="66">
        <f t="shared" si="5"/>
        <v>0.99837158640208956</v>
      </c>
    </row>
    <row r="21" spans="1:32" x14ac:dyDescent="0.3">
      <c r="A21">
        <f t="shared" ca="1" si="0"/>
        <v>0.50616776587464896</v>
      </c>
      <c r="B21">
        <f t="shared" ca="1" si="1"/>
        <v>1</v>
      </c>
      <c r="C21">
        <f ca="1">AVERAGE($B$2:B21)</f>
        <v>1.6</v>
      </c>
      <c r="D21">
        <f ca="1">_xlfn.VAR.P($B$2:B21)</f>
        <v>3.04</v>
      </c>
      <c r="E21">
        <f t="shared" ca="1" si="2"/>
        <v>6.9831145455660937E-2</v>
      </c>
      <c r="F21">
        <f t="shared" ca="1" si="3"/>
        <v>0</v>
      </c>
      <c r="G21">
        <f t="shared" ca="1" si="4"/>
        <v>1</v>
      </c>
      <c r="H21">
        <f ca="1">AVERAGE($G$2:G21)</f>
        <v>-0.8</v>
      </c>
      <c r="I21">
        <f ca="1">_xlfn.VAR.P($G$2:G21)</f>
        <v>10.76</v>
      </c>
      <c r="AE21">
        <f t="shared" si="6"/>
        <v>19</v>
      </c>
      <c r="AF21" s="66">
        <f t="shared" si="5"/>
        <v>0.99886011048146273</v>
      </c>
    </row>
    <row r="22" spans="1:32" x14ac:dyDescent="0.3">
      <c r="A22">
        <f t="shared" ca="1" si="0"/>
        <v>0.72353027929336089</v>
      </c>
      <c r="B22">
        <f t="shared" ca="1" si="1"/>
        <v>3</v>
      </c>
      <c r="C22">
        <f ca="1">AVERAGE($B$2:B22)</f>
        <v>1.6666666666666667</v>
      </c>
      <c r="D22">
        <f ca="1">_xlfn.VAR.P($B$2:B22)</f>
        <v>2.9841269841269842</v>
      </c>
      <c r="E22">
        <f t="shared" ca="1" si="2"/>
        <v>4.6744322600405619E-2</v>
      </c>
      <c r="F22">
        <f t="shared" ca="1" si="3"/>
        <v>0</v>
      </c>
      <c r="G22">
        <f t="shared" ca="1" si="4"/>
        <v>3</v>
      </c>
      <c r="H22">
        <f ca="1">AVERAGE($G$2:G22)</f>
        <v>-0.61904761904761907</v>
      </c>
      <c r="I22">
        <f ca="1">_xlfn.VAR.P($G$2:G22)</f>
        <v>10.90249433106576</v>
      </c>
      <c r="AE22">
        <f t="shared" si="6"/>
        <v>20</v>
      </c>
      <c r="AF22" s="66">
        <f t="shared" si="5"/>
        <v>0.99920207733702382</v>
      </c>
    </row>
    <row r="23" spans="1:32" x14ac:dyDescent="0.3">
      <c r="A23">
        <f t="shared" ca="1" si="0"/>
        <v>0.91652440994317841</v>
      </c>
      <c r="B23">
        <f t="shared" ca="1" si="1"/>
        <v>6</v>
      </c>
      <c r="C23">
        <f ca="1">AVERAGE($B$2:B23)</f>
        <v>1.8636363636363635</v>
      </c>
      <c r="D23">
        <f ca="1">_xlfn.VAR.P($B$2:B23)</f>
        <v>3.6632231404958677</v>
      </c>
      <c r="E23">
        <f t="shared" ca="1" si="2"/>
        <v>0.54873895509748183</v>
      </c>
      <c r="F23">
        <f t="shared" ca="1" si="3"/>
        <v>2</v>
      </c>
      <c r="G23">
        <f t="shared" ca="1" si="4"/>
        <v>4</v>
      </c>
      <c r="H23">
        <f ca="1">AVERAGE($G$2:G23)</f>
        <v>-0.40909090909090912</v>
      </c>
      <c r="I23">
        <f ca="1">_xlfn.VAR.P($G$2:G23)</f>
        <v>11.332644628099173</v>
      </c>
      <c r="AE23">
        <f t="shared" si="6"/>
        <v>21</v>
      </c>
      <c r="AF23" s="66">
        <f t="shared" si="5"/>
        <v>0.99944145413591667</v>
      </c>
    </row>
    <row r="24" spans="1:32" x14ac:dyDescent="0.3">
      <c r="A24">
        <f t="shared" ca="1" si="0"/>
        <v>0.81785016558194068</v>
      </c>
      <c r="B24">
        <f t="shared" ca="1" si="1"/>
        <v>4</v>
      </c>
      <c r="C24">
        <f ca="1">AVERAGE($B$2:B24)</f>
        <v>1.9565217391304348</v>
      </c>
      <c r="D24">
        <f ca="1">_xlfn.VAR.P($B$2:B24)</f>
        <v>3.6937618147448017</v>
      </c>
      <c r="E24">
        <f t="shared" ca="1" si="2"/>
        <v>0.87140950160537833</v>
      </c>
      <c r="F24">
        <f t="shared" ca="1" si="3"/>
        <v>5</v>
      </c>
      <c r="G24">
        <f t="shared" ca="1" si="4"/>
        <v>-1</v>
      </c>
      <c r="H24">
        <f ca="1">AVERAGE($G$2:G24)</f>
        <v>-0.43478260869565216</v>
      </c>
      <c r="I24">
        <f ca="1">_xlfn.VAR.P($G$2:G24)</f>
        <v>10.854442344045369</v>
      </c>
      <c r="AE24">
        <f t="shared" si="6"/>
        <v>22</v>
      </c>
      <c r="AF24" s="66">
        <f t="shared" si="5"/>
        <v>0.99960901789514178</v>
      </c>
    </row>
    <row r="25" spans="1:32" x14ac:dyDescent="0.3">
      <c r="A25">
        <f t="shared" ca="1" si="0"/>
        <v>0.16623729403979248</v>
      </c>
      <c r="B25">
        <f t="shared" ca="1" si="1"/>
        <v>0</v>
      </c>
      <c r="C25">
        <f ca="1">AVERAGE($B$2:B25)</f>
        <v>1.875</v>
      </c>
      <c r="D25">
        <f ca="1">_xlfn.VAR.P($B$2:B25)</f>
        <v>3.6927083333333335</v>
      </c>
      <c r="E25">
        <f t="shared" ca="1" si="2"/>
        <v>0.89418172757052194</v>
      </c>
      <c r="F25">
        <f t="shared" ca="1" si="3"/>
        <v>6</v>
      </c>
      <c r="G25">
        <f t="shared" ca="1" si="4"/>
        <v>-6</v>
      </c>
      <c r="H25">
        <f ca="1">AVERAGE($G$2:G25)</f>
        <v>-0.66666666666666663</v>
      </c>
      <c r="I25">
        <f ca="1">_xlfn.VAR.P($G$2:G25)</f>
        <v>11.638888888888889</v>
      </c>
      <c r="AE25">
        <f t="shared" si="6"/>
        <v>23</v>
      </c>
      <c r="AF25" s="66">
        <f t="shared" si="5"/>
        <v>0.99972631252659916</v>
      </c>
    </row>
    <row r="26" spans="1:32" x14ac:dyDescent="0.3">
      <c r="A26">
        <f t="shared" ca="1" si="0"/>
        <v>0.82170116273249572</v>
      </c>
      <c r="B26">
        <f t="shared" ca="1" si="1"/>
        <v>4</v>
      </c>
      <c r="C26">
        <f ca="1">AVERAGE($B$2:B26)</f>
        <v>1.96</v>
      </c>
      <c r="D26">
        <f ca="1">_xlfn.VAR.P($B$2:B26)</f>
        <v>3.7183999999999999</v>
      </c>
      <c r="E26">
        <f t="shared" ca="1" si="2"/>
        <v>0.1587827462675252</v>
      </c>
      <c r="F26">
        <f t="shared" ca="1" si="3"/>
        <v>0</v>
      </c>
      <c r="G26">
        <f t="shared" ca="1" si="4"/>
        <v>4</v>
      </c>
      <c r="H26">
        <f ca="1">AVERAGE($G$2:G26)</f>
        <v>-0.48</v>
      </c>
      <c r="I26">
        <f ca="1">_xlfn.VAR.P($G$2:G26)</f>
        <v>12.009600000000001</v>
      </c>
      <c r="AE26">
        <f t="shared" si="6"/>
        <v>24</v>
      </c>
      <c r="AF26" s="66">
        <f t="shared" si="5"/>
        <v>0.99980841876861937</v>
      </c>
    </row>
    <row r="27" spans="1:32" x14ac:dyDescent="0.3">
      <c r="A27">
        <f t="shared" ca="1" si="0"/>
        <v>9.7478088909998872E-2</v>
      </c>
      <c r="B27">
        <f t="shared" ca="1" si="1"/>
        <v>0</v>
      </c>
      <c r="C27">
        <f ca="1">AVERAGE($B$2:B27)</f>
        <v>1.8846153846153846</v>
      </c>
      <c r="D27">
        <f ca="1">_xlfn.VAR.P($B$2:B27)</f>
        <v>3.7174556213017751</v>
      </c>
      <c r="E27">
        <f t="shared" ca="1" si="2"/>
        <v>0.35646534368736416</v>
      </c>
      <c r="F27">
        <f t="shared" ca="1" si="3"/>
        <v>1</v>
      </c>
      <c r="G27">
        <f t="shared" ca="1" si="4"/>
        <v>-1</v>
      </c>
      <c r="H27">
        <f ca="1">AVERAGE($G$2:G27)</f>
        <v>-0.5</v>
      </c>
      <c r="I27">
        <f ca="1">_xlfn.VAR.P($G$2:G27)</f>
        <v>11.557692307692308</v>
      </c>
      <c r="AE27">
        <f t="shared" si="6"/>
        <v>25</v>
      </c>
      <c r="AF27" s="66">
        <f t="shared" si="5"/>
        <v>0.99986589313803353</v>
      </c>
    </row>
    <row r="28" spans="1:32" x14ac:dyDescent="0.3">
      <c r="A28">
        <f t="shared" ca="1" si="0"/>
        <v>0.99142852631456735</v>
      </c>
      <c r="B28">
        <f t="shared" ca="1" si="1"/>
        <v>13</v>
      </c>
      <c r="C28">
        <f ca="1">AVERAGE($B$2:B28)</f>
        <v>2.2962962962962963</v>
      </c>
      <c r="D28">
        <f ca="1">_xlfn.VAR.P($B$2:B28)</f>
        <v>7.9862825788751719</v>
      </c>
      <c r="E28">
        <f t="shared" ca="1" si="2"/>
        <v>0.8175236230401085</v>
      </c>
      <c r="F28">
        <f t="shared" ca="1" si="3"/>
        <v>4</v>
      </c>
      <c r="G28">
        <f t="shared" ca="1" si="4"/>
        <v>9</v>
      </c>
      <c r="H28">
        <f ca="1">AVERAGE($G$2:G28)</f>
        <v>-0.14814814814814814</v>
      </c>
      <c r="I28">
        <f ca="1">_xlfn.VAR.P($G$2:G28)</f>
        <v>14.348422496570645</v>
      </c>
      <c r="AE28">
        <f t="shared" si="6"/>
        <v>26</v>
      </c>
      <c r="AF28" s="66">
        <f t="shared" si="5"/>
        <v>0.99990612519662347</v>
      </c>
    </row>
    <row r="29" spans="1:32" x14ac:dyDescent="0.3">
      <c r="A29">
        <f t="shared" ca="1" si="0"/>
        <v>0.78600349255730317</v>
      </c>
      <c r="B29">
        <f t="shared" ca="1" si="1"/>
        <v>4</v>
      </c>
      <c r="C29">
        <f ca="1">AVERAGE($B$2:B29)</f>
        <v>2.3571428571428572</v>
      </c>
      <c r="D29">
        <f ca="1">_xlfn.VAR.P($B$2:B29)</f>
        <v>7.8010204081632653</v>
      </c>
      <c r="E29">
        <f t="shared" ca="1" si="2"/>
        <v>0.17690783823739498</v>
      </c>
      <c r="F29">
        <f t="shared" ca="1" si="3"/>
        <v>0</v>
      </c>
      <c r="G29">
        <f t="shared" ca="1" si="4"/>
        <v>4</v>
      </c>
      <c r="H29">
        <f ca="1">AVERAGE($G$2:G29)</f>
        <v>0</v>
      </c>
      <c r="I29">
        <f ca="1">_xlfn.VAR.P($G$2:G29)</f>
        <v>14.428571428571429</v>
      </c>
      <c r="AE29">
        <f t="shared" si="6"/>
        <v>27</v>
      </c>
      <c r="AF29" s="66">
        <f t="shared" si="5"/>
        <v>0.99993428763763648</v>
      </c>
    </row>
    <row r="30" spans="1:32" x14ac:dyDescent="0.3">
      <c r="A30">
        <f t="shared" ca="1" si="0"/>
        <v>0.57916804575600511</v>
      </c>
      <c r="B30">
        <f t="shared" ca="1" si="1"/>
        <v>2</v>
      </c>
      <c r="C30">
        <f ca="1">AVERAGE($B$2:B30)</f>
        <v>2.3448275862068964</v>
      </c>
      <c r="D30">
        <f ca="1">_xlfn.VAR.P($B$2:B30)</f>
        <v>7.5362663495838289</v>
      </c>
      <c r="E30">
        <f t="shared" ca="1" si="2"/>
        <v>0.29313252477650598</v>
      </c>
      <c r="F30">
        <f t="shared" ca="1" si="3"/>
        <v>0</v>
      </c>
      <c r="G30">
        <f t="shared" ca="1" si="4"/>
        <v>2</v>
      </c>
      <c r="H30">
        <f ca="1">AVERAGE($G$2:G30)</f>
        <v>6.8965517241379309E-2</v>
      </c>
      <c r="I30">
        <f ca="1">_xlfn.VAR.P($G$2:G30)</f>
        <v>14.064209274673008</v>
      </c>
      <c r="AE30">
        <f t="shared" si="6"/>
        <v>28</v>
      </c>
      <c r="AF30" s="66">
        <f t="shared" si="5"/>
        <v>0.99995400134634549</v>
      </c>
    </row>
    <row r="31" spans="1:32" x14ac:dyDescent="0.3">
      <c r="A31">
        <f t="shared" ca="1" si="0"/>
        <v>0.37766231481289003</v>
      </c>
      <c r="B31">
        <f t="shared" ca="1" si="1"/>
        <v>1</v>
      </c>
      <c r="C31">
        <f ca="1">AVERAGE($B$2:B31)</f>
        <v>2.2999999999999998</v>
      </c>
      <c r="D31">
        <f ca="1">_xlfn.VAR.P($B$2:B31)</f>
        <v>7.3433333333333337</v>
      </c>
      <c r="E31">
        <f t="shared" ca="1" si="2"/>
        <v>0.18442202159088517</v>
      </c>
      <c r="F31">
        <f t="shared" ca="1" si="3"/>
        <v>0</v>
      </c>
      <c r="G31">
        <f t="shared" ca="1" si="4"/>
        <v>1</v>
      </c>
      <c r="H31">
        <f ca="1">AVERAGE($G$2:G31)</f>
        <v>0.1</v>
      </c>
      <c r="I31">
        <f ca="1">_xlfn.VAR.P($G$2:G31)</f>
        <v>13.623333333333333</v>
      </c>
      <c r="AE31">
        <f t="shared" si="6"/>
        <v>29</v>
      </c>
      <c r="AF31" s="66">
        <f t="shared" si="5"/>
        <v>0.99996780094244186</v>
      </c>
    </row>
    <row r="32" spans="1:32" x14ac:dyDescent="0.3">
      <c r="A32">
        <f t="shared" ca="1" si="0"/>
        <v>9.6432189475803787E-2</v>
      </c>
      <c r="B32">
        <f t="shared" ca="1" si="1"/>
        <v>0</v>
      </c>
      <c r="C32">
        <f ca="1">AVERAGE($B$2:B32)</f>
        <v>2.225806451612903</v>
      </c>
      <c r="D32">
        <f ca="1">_xlfn.VAR.P($B$2:B32)</f>
        <v>7.2715920915712795</v>
      </c>
      <c r="E32">
        <f t="shared" ca="1" si="2"/>
        <v>0.68884618092793848</v>
      </c>
      <c r="F32">
        <f t="shared" ca="1" si="3"/>
        <v>3</v>
      </c>
      <c r="G32">
        <f t="shared" ca="1" si="4"/>
        <v>-3</v>
      </c>
      <c r="H32">
        <f ca="1">AVERAGE($G$2:G32)</f>
        <v>0</v>
      </c>
      <c r="I32">
        <f ca="1">_xlfn.VAR.P($G$2:G32)</f>
        <v>13.483870967741936</v>
      </c>
      <c r="AE32">
        <f t="shared" si="6"/>
        <v>30</v>
      </c>
      <c r="AF32" s="66">
        <f t="shared" si="5"/>
        <v>0.99997746065970938</v>
      </c>
    </row>
    <row r="33" spans="1:32" x14ac:dyDescent="0.3">
      <c r="A33">
        <f t="shared" ca="1" si="0"/>
        <v>2.2272385560265895E-2</v>
      </c>
      <c r="B33">
        <f t="shared" ca="1" si="1"/>
        <v>0</v>
      </c>
      <c r="C33">
        <f ca="1">AVERAGE($B$2:B33)</f>
        <v>2.15625</v>
      </c>
      <c r="D33">
        <f ca="1">_xlfn.VAR.P($B$2:B33)</f>
        <v>7.1943359375</v>
      </c>
      <c r="E33">
        <f t="shared" ca="1" si="2"/>
        <v>0.62786611364088729</v>
      </c>
      <c r="F33">
        <f t="shared" ca="1" si="3"/>
        <v>2</v>
      </c>
      <c r="G33">
        <f t="shared" ca="1" si="4"/>
        <v>-2</v>
      </c>
      <c r="H33">
        <f ca="1">AVERAGE($G$2:G33)</f>
        <v>-6.25E-2</v>
      </c>
      <c r="I33">
        <f ca="1">_xlfn.VAR.P($G$2:G33)</f>
        <v>13.18359375</v>
      </c>
      <c r="AE33">
        <f t="shared" si="6"/>
        <v>31</v>
      </c>
      <c r="AF33" s="66">
        <f t="shared" si="5"/>
        <v>0.99998422246179652</v>
      </c>
    </row>
    <row r="34" spans="1:32" x14ac:dyDescent="0.3">
      <c r="A34">
        <f t="shared" ca="1" si="0"/>
        <v>4.336043504727527E-2</v>
      </c>
      <c r="B34">
        <f t="shared" ca="1" si="1"/>
        <v>0</v>
      </c>
      <c r="C34">
        <f ca="1">AVERAGE($B$2:B34)</f>
        <v>2.0909090909090908</v>
      </c>
      <c r="D34">
        <f ca="1">_xlfn.VAR.P($B$2:B34)</f>
        <v>7.112947658402204</v>
      </c>
      <c r="E34">
        <f t="shared" ca="1" si="2"/>
        <v>0.33150426796710231</v>
      </c>
      <c r="F34">
        <f t="shared" ca="1" si="3"/>
        <v>1</v>
      </c>
      <c r="G34">
        <f t="shared" ca="1" si="4"/>
        <v>-1</v>
      </c>
      <c r="H34">
        <f ca="1">AVERAGE($G$2:G34)</f>
        <v>-9.0909090909090912E-2</v>
      </c>
      <c r="I34">
        <f ca="1">_xlfn.VAR.P($G$2:G34)</f>
        <v>12.809917355371901</v>
      </c>
      <c r="AE34">
        <f t="shared" si="6"/>
        <v>32</v>
      </c>
      <c r="AF34" s="66">
        <f t="shared" si="5"/>
        <v>0.99998895572325752</v>
      </c>
    </row>
    <row r="35" spans="1:32" x14ac:dyDescent="0.3">
      <c r="A35">
        <f t="shared" ca="1" si="0"/>
        <v>0.4411650210868534</v>
      </c>
      <c r="B35">
        <f t="shared" ca="1" si="1"/>
        <v>1</v>
      </c>
      <c r="C35">
        <f ca="1">AVERAGE($B$2:B35)</f>
        <v>2.0588235294117645</v>
      </c>
      <c r="D35">
        <f ca="1">_xlfn.VAR.P($B$2:B35)</f>
        <v>6.9377162629757789</v>
      </c>
      <c r="E35">
        <f t="shared" ca="1" si="2"/>
        <v>0.24477872034690562</v>
      </c>
      <c r="F35">
        <f t="shared" ca="1" si="3"/>
        <v>0</v>
      </c>
      <c r="G35">
        <f t="shared" ca="1" si="4"/>
        <v>1</v>
      </c>
      <c r="H35">
        <f ca="1">AVERAGE($G$2:G35)</f>
        <v>-5.8823529411764705E-2</v>
      </c>
      <c r="I35">
        <f ca="1">_xlfn.VAR.P($G$2:G35)</f>
        <v>12.46712802768166</v>
      </c>
      <c r="AE35">
        <f t="shared" si="6"/>
        <v>33</v>
      </c>
      <c r="AF35" s="66">
        <f t="shared" si="5"/>
        <v>0.99999226900628035</v>
      </c>
    </row>
    <row r="36" spans="1:32" x14ac:dyDescent="0.3">
      <c r="A36">
        <f t="shared" ca="1" si="0"/>
        <v>0.44396080961848539</v>
      </c>
      <c r="B36">
        <f t="shared" ca="1" si="1"/>
        <v>1</v>
      </c>
      <c r="C36">
        <f ca="1">AVERAGE($B$2:B36)</f>
        <v>2.0285714285714285</v>
      </c>
      <c r="D36">
        <f ca="1">_xlfn.VAR.P($B$2:B36)</f>
        <v>6.7706122448979595</v>
      </c>
      <c r="E36">
        <f t="shared" ca="1" si="2"/>
        <v>0.46466781011643643</v>
      </c>
      <c r="F36">
        <f t="shared" ca="1" si="3"/>
        <v>1</v>
      </c>
      <c r="G36">
        <f t="shared" ca="1" si="4"/>
        <v>0</v>
      </c>
      <c r="H36">
        <f ca="1">AVERAGE($G$2:G36)</f>
        <v>-5.7142857142857141E-2</v>
      </c>
      <c r="I36">
        <f ca="1">_xlfn.VAR.P($G$2:G36)</f>
        <v>12.111020408163265</v>
      </c>
      <c r="AE36">
        <f t="shared" si="6"/>
        <v>34</v>
      </c>
      <c r="AF36" s="66">
        <f t="shared" si="5"/>
        <v>0.99999458830439614</v>
      </c>
    </row>
    <row r="37" spans="1:32" x14ac:dyDescent="0.3">
      <c r="A37">
        <f t="shared" ca="1" si="0"/>
        <v>0.52582253379314414</v>
      </c>
      <c r="B37">
        <f t="shared" ca="1" si="1"/>
        <v>2</v>
      </c>
      <c r="C37">
        <f ca="1">AVERAGE($B$2:B37)</f>
        <v>2.0277777777777777</v>
      </c>
      <c r="D37">
        <f ca="1">_xlfn.VAR.P($B$2:B37)</f>
        <v>6.5825617283950617</v>
      </c>
      <c r="E37">
        <f t="shared" ca="1" si="2"/>
        <v>0.28980939684134199</v>
      </c>
      <c r="F37">
        <f t="shared" ca="1" si="3"/>
        <v>0</v>
      </c>
      <c r="G37">
        <f t="shared" ca="1" si="4"/>
        <v>2</v>
      </c>
      <c r="H37">
        <f ca="1">AVERAGE($G$2:G37)</f>
        <v>0</v>
      </c>
      <c r="I37">
        <f ca="1">_xlfn.VAR.P($G$2:G37)</f>
        <v>11.888888888888889</v>
      </c>
      <c r="AE37">
        <f t="shared" si="6"/>
        <v>35</v>
      </c>
      <c r="AF37" s="66">
        <f t="shared" si="5"/>
        <v>0.99999621181307741</v>
      </c>
    </row>
    <row r="38" spans="1:32" x14ac:dyDescent="0.3">
      <c r="A38">
        <f t="shared" ca="1" si="0"/>
        <v>0.37938852790832767</v>
      </c>
      <c r="B38">
        <f t="shared" ca="1" si="1"/>
        <v>1</v>
      </c>
      <c r="C38">
        <f ca="1">AVERAGE($B$2:B38)</f>
        <v>2</v>
      </c>
      <c r="D38">
        <f ca="1">_xlfn.VAR.P($B$2:B38)</f>
        <v>6.4324324324324325</v>
      </c>
      <c r="E38">
        <f t="shared" ca="1" si="2"/>
        <v>0.74975497254459467</v>
      </c>
      <c r="F38">
        <f t="shared" ca="1" si="3"/>
        <v>3</v>
      </c>
      <c r="G38">
        <f t="shared" ca="1" si="4"/>
        <v>-2</v>
      </c>
      <c r="H38">
        <f ca="1">AVERAGE($G$2:G38)</f>
        <v>-5.4054054054054057E-2</v>
      </c>
      <c r="I38">
        <f ca="1">_xlfn.VAR.P($G$2:G38)</f>
        <v>11.672753834915998</v>
      </c>
      <c r="AE38">
        <f t="shared" si="6"/>
        <v>36</v>
      </c>
      <c r="AF38" s="66">
        <f t="shared" si="5"/>
        <v>0.99999734826915421</v>
      </c>
    </row>
    <row r="39" spans="1:32" x14ac:dyDescent="0.3">
      <c r="A39">
        <f t="shared" ca="1" si="0"/>
        <v>0.85408589138757229</v>
      </c>
      <c r="B39">
        <f t="shared" ca="1" si="1"/>
        <v>5</v>
      </c>
      <c r="C39">
        <f ca="1">AVERAGE($B$2:B39)</f>
        <v>2.0789473684210527</v>
      </c>
      <c r="D39">
        <f ca="1">_xlfn.VAR.P($B$2:B39)</f>
        <v>6.4937673130193909</v>
      </c>
      <c r="E39">
        <f t="shared" ca="1" si="2"/>
        <v>0.86010842804345189</v>
      </c>
      <c r="F39">
        <f t="shared" ca="1" si="3"/>
        <v>5</v>
      </c>
      <c r="G39">
        <f t="shared" ca="1" si="4"/>
        <v>0</v>
      </c>
      <c r="H39">
        <f ca="1">AVERAGE($G$2:G39)</f>
        <v>-5.2631578947368418E-2</v>
      </c>
      <c r="I39">
        <f ca="1">_xlfn.VAR.P($G$2:G39)</f>
        <v>11.365650969529085</v>
      </c>
      <c r="AE39">
        <f t="shared" si="6"/>
        <v>37</v>
      </c>
      <c r="AF39" s="66">
        <f t="shared" si="5"/>
        <v>0.9999981437884079</v>
      </c>
    </row>
    <row r="40" spans="1:32" x14ac:dyDescent="0.3">
      <c r="A40">
        <f t="shared" ca="1" si="0"/>
        <v>0.87835023346033736</v>
      </c>
      <c r="B40">
        <f t="shared" ca="1" si="1"/>
        <v>5</v>
      </c>
      <c r="C40">
        <f ca="1">AVERAGE($B$2:B40)</f>
        <v>2.1538461538461537</v>
      </c>
      <c r="D40">
        <f ca="1">_xlfn.VAR.P($B$2:B40)</f>
        <v>6.5404339250493093</v>
      </c>
      <c r="E40">
        <f t="shared" ca="1" si="2"/>
        <v>0.23079464777189662</v>
      </c>
      <c r="F40">
        <f t="shared" ca="1" si="3"/>
        <v>0</v>
      </c>
      <c r="G40">
        <f t="shared" ca="1" si="4"/>
        <v>5</v>
      </c>
      <c r="H40">
        <f ca="1">AVERAGE($G$2:G40)</f>
        <v>7.6923076923076927E-2</v>
      </c>
      <c r="I40">
        <f ca="1">_xlfn.VAR.P($G$2:G40)</f>
        <v>11.712031558185405</v>
      </c>
      <c r="AE40">
        <f t="shared" si="6"/>
        <v>38</v>
      </c>
      <c r="AF40" s="66">
        <f t="shared" si="5"/>
        <v>0.99999870065188556</v>
      </c>
    </row>
    <row r="41" spans="1:32" x14ac:dyDescent="0.3">
      <c r="A41">
        <f t="shared" ca="1" si="0"/>
        <v>0.84243041414102571</v>
      </c>
      <c r="B41">
        <f t="shared" ca="1" si="1"/>
        <v>5</v>
      </c>
      <c r="C41">
        <f ca="1">AVERAGE($B$2:B41)</f>
        <v>2.2250000000000001</v>
      </c>
      <c r="D41">
        <f ca="1">_xlfn.VAR.P($B$2:B41)</f>
        <v>6.5743749999999999</v>
      </c>
      <c r="E41">
        <f t="shared" ca="1" si="2"/>
        <v>0.12812305099943233</v>
      </c>
      <c r="F41">
        <f t="shared" ca="1" si="3"/>
        <v>0</v>
      </c>
      <c r="G41">
        <f t="shared" ca="1" si="4"/>
        <v>5</v>
      </c>
      <c r="H41">
        <f ca="1">AVERAGE($G$2:G41)</f>
        <v>0.2</v>
      </c>
      <c r="I41">
        <f ca="1">_xlfn.VAR.P($G$2:G41)</f>
        <v>12.01</v>
      </c>
      <c r="AE41">
        <f t="shared" si="6"/>
        <v>39</v>
      </c>
      <c r="AF41" s="66">
        <f t="shared" si="5"/>
        <v>0.99999909045631985</v>
      </c>
    </row>
    <row r="42" spans="1:32" x14ac:dyDescent="0.3">
      <c r="A42">
        <f t="shared" ca="1" si="0"/>
        <v>0.14932556256559248</v>
      </c>
      <c r="B42">
        <f t="shared" ca="1" si="1"/>
        <v>0</v>
      </c>
      <c r="C42">
        <f ca="1">AVERAGE($B$2:B42)</f>
        <v>2.1707317073170733</v>
      </c>
      <c r="D42">
        <f ca="1">_xlfn.VAR.P($B$2:B42)</f>
        <v>6.5318262938726948</v>
      </c>
      <c r="E42">
        <f t="shared" ca="1" si="2"/>
        <v>0.24947621316981861</v>
      </c>
      <c r="F42">
        <f t="shared" ca="1" si="3"/>
        <v>0</v>
      </c>
      <c r="G42">
        <f t="shared" ca="1" si="4"/>
        <v>0</v>
      </c>
      <c r="H42">
        <f ca="1">AVERAGE($G$2:G42)</f>
        <v>0.1951219512195122</v>
      </c>
      <c r="I42">
        <f ca="1">_xlfn.VAR.P($G$2:G42)</f>
        <v>11.718024985127901</v>
      </c>
      <c r="AE42">
        <f t="shared" si="6"/>
        <v>40</v>
      </c>
      <c r="AF42" s="66">
        <f t="shared" si="5"/>
        <v>0.99999936331942396</v>
      </c>
    </row>
    <row r="43" spans="1:32" x14ac:dyDescent="0.3">
      <c r="A43">
        <f t="shared" ca="1" si="0"/>
        <v>0.6721937617610787</v>
      </c>
      <c r="B43">
        <f t="shared" ca="1" si="1"/>
        <v>3</v>
      </c>
      <c r="C43">
        <f ca="1">AVERAGE($B$2:B43)</f>
        <v>2.1904761904761907</v>
      </c>
      <c r="D43">
        <f ca="1">_xlfn.VAR.P($B$2:B43)</f>
        <v>6.3922902494331062</v>
      </c>
      <c r="E43">
        <f t="shared" ca="1" si="2"/>
        <v>0.67985101756520461</v>
      </c>
      <c r="F43">
        <f t="shared" ca="1" si="3"/>
        <v>3</v>
      </c>
      <c r="G43">
        <f t="shared" ca="1" si="4"/>
        <v>0</v>
      </c>
      <c r="H43">
        <f ca="1">AVERAGE($G$2:G43)</f>
        <v>0.19047619047619047</v>
      </c>
      <c r="I43">
        <f ca="1">_xlfn.VAR.P($G$2:G43)</f>
        <v>11.439909297052154</v>
      </c>
      <c r="AE43">
        <f t="shared" si="6"/>
        <v>41</v>
      </c>
      <c r="AF43" s="66">
        <f t="shared" si="5"/>
        <v>0.99999955432359666</v>
      </c>
    </row>
    <row r="44" spans="1:32" x14ac:dyDescent="0.3">
      <c r="A44">
        <f t="shared" ca="1" si="0"/>
        <v>5.0043388720343418E-2</v>
      </c>
      <c r="B44">
        <f t="shared" ca="1" si="1"/>
        <v>0</v>
      </c>
      <c r="C44">
        <f ca="1">AVERAGE($B$2:B44)</f>
        <v>2.13953488372093</v>
      </c>
      <c r="D44">
        <f ca="1">_xlfn.VAR.P($B$2:B44)</f>
        <v>6.3526230394808003</v>
      </c>
      <c r="E44">
        <f t="shared" ca="1" si="2"/>
        <v>0.77645563180830102</v>
      </c>
      <c r="F44">
        <f t="shared" ca="1" si="3"/>
        <v>4</v>
      </c>
      <c r="G44">
        <f t="shared" ca="1" si="4"/>
        <v>-4</v>
      </c>
      <c r="H44">
        <f ca="1">AVERAGE($G$2:G44)</f>
        <v>9.3023255813953487E-2</v>
      </c>
      <c r="I44">
        <f ca="1">_xlfn.VAR.P($G$2:G44)</f>
        <v>11.572742022714982</v>
      </c>
      <c r="AE44">
        <f t="shared" si="6"/>
        <v>42</v>
      </c>
      <c r="AF44" s="66">
        <f t="shared" si="5"/>
        <v>0.99999968802651773</v>
      </c>
    </row>
    <row r="45" spans="1:32" x14ac:dyDescent="0.3">
      <c r="A45">
        <f t="shared" ca="1" si="0"/>
        <v>0.28045175715301829</v>
      </c>
      <c r="B45">
        <f t="shared" ca="1" si="1"/>
        <v>0</v>
      </c>
      <c r="C45">
        <f ca="1">AVERAGE($B$2:B45)</f>
        <v>2.0909090909090908</v>
      </c>
      <c r="D45">
        <f ca="1">_xlfn.VAR.P($B$2:B45)</f>
        <v>6.3099173553719012</v>
      </c>
      <c r="E45">
        <f t="shared" ca="1" si="2"/>
        <v>0.60696872787086364</v>
      </c>
      <c r="F45">
        <f t="shared" ca="1" si="3"/>
        <v>2</v>
      </c>
      <c r="G45">
        <f t="shared" ca="1" si="4"/>
        <v>-2</v>
      </c>
      <c r="H45">
        <f ca="1">AVERAGE($G$2:G45)</f>
        <v>4.5454545454545456E-2</v>
      </c>
      <c r="I45">
        <f ca="1">_xlfn.VAR.P($G$2:G45)</f>
        <v>11.40702479338843</v>
      </c>
      <c r="AE45">
        <f t="shared" si="6"/>
        <v>43</v>
      </c>
      <c r="AF45" s="66">
        <f t="shared" si="5"/>
        <v>0.9999997816185624</v>
      </c>
    </row>
    <row r="46" spans="1:32" x14ac:dyDescent="0.3">
      <c r="A46">
        <f t="shared" ca="1" si="0"/>
        <v>0.67068978050176498</v>
      </c>
      <c r="B46">
        <f t="shared" ca="1" si="1"/>
        <v>3</v>
      </c>
      <c r="C46">
        <f ca="1">AVERAGE($B$2:B46)</f>
        <v>2.1111111111111112</v>
      </c>
      <c r="D46">
        <f ca="1">_xlfn.VAR.P($B$2:B46)</f>
        <v>6.1876543209876544</v>
      </c>
      <c r="E46">
        <f t="shared" ca="1" si="2"/>
        <v>0.81480297920094236</v>
      </c>
      <c r="F46">
        <f t="shared" ca="1" si="3"/>
        <v>4</v>
      </c>
      <c r="G46">
        <f t="shared" ca="1" si="4"/>
        <v>-1</v>
      </c>
      <c r="H46">
        <f ca="1">AVERAGE($G$2:G46)</f>
        <v>2.2222222222222223E-2</v>
      </c>
      <c r="I46">
        <f ca="1">_xlfn.VAR.P($G$2:G46)</f>
        <v>11.177283950617284</v>
      </c>
      <c r="AE46">
        <f t="shared" si="6"/>
        <v>44</v>
      </c>
      <c r="AF46" s="66">
        <f t="shared" si="5"/>
        <v>0.99999984713299361</v>
      </c>
    </row>
    <row r="47" spans="1:32" x14ac:dyDescent="0.3">
      <c r="A47">
        <f t="shared" ca="1" si="0"/>
        <v>0.11182433087250343</v>
      </c>
      <c r="B47">
        <f t="shared" ca="1" si="1"/>
        <v>0</v>
      </c>
      <c r="C47">
        <f ca="1">AVERAGE($B$2:B47)</f>
        <v>2.0652173913043477</v>
      </c>
      <c r="D47">
        <f ca="1">_xlfn.VAR.P($B$2:B47)</f>
        <v>6.1479206049149342</v>
      </c>
      <c r="E47">
        <f t="shared" ca="1" si="2"/>
        <v>0.52587948399628492</v>
      </c>
      <c r="F47">
        <f t="shared" ca="1" si="3"/>
        <v>2</v>
      </c>
      <c r="G47">
        <f t="shared" ca="1" si="4"/>
        <v>-2</v>
      </c>
      <c r="H47">
        <f ca="1">AVERAGE($G$2:G47)</f>
        <v>-2.1739130434782608E-2</v>
      </c>
      <c r="I47">
        <f ca="1">_xlfn.VAR.P($G$2:G47)</f>
        <v>11.021266540642722</v>
      </c>
      <c r="AE47">
        <f t="shared" si="6"/>
        <v>45</v>
      </c>
      <c r="AF47" s="66">
        <f t="shared" si="5"/>
        <v>0.99999989299309555</v>
      </c>
    </row>
    <row r="48" spans="1:32" x14ac:dyDescent="0.3">
      <c r="A48">
        <f t="shared" ca="1" si="0"/>
        <v>0.40947633358483915</v>
      </c>
      <c r="B48">
        <f t="shared" ca="1" si="1"/>
        <v>1</v>
      </c>
      <c r="C48">
        <f ca="1">AVERAGE($B$2:B48)</f>
        <v>2.0425531914893615</v>
      </c>
      <c r="D48">
        <f ca="1">_xlfn.VAR.P($B$2:B48)</f>
        <v>6.0407424173834317</v>
      </c>
      <c r="E48">
        <f t="shared" ca="1" si="2"/>
        <v>0.51141192692737103</v>
      </c>
      <c r="F48">
        <f t="shared" ca="1" si="3"/>
        <v>2</v>
      </c>
      <c r="G48">
        <f t="shared" ca="1" si="4"/>
        <v>-1</v>
      </c>
      <c r="H48">
        <f ca="1">AVERAGE($G$2:G48)</f>
        <v>-4.2553191489361701E-2</v>
      </c>
      <c r="I48">
        <f ca="1">_xlfn.VAR.P($G$2:G48)</f>
        <v>10.806699864191941</v>
      </c>
      <c r="AE48">
        <f t="shared" si="6"/>
        <v>46</v>
      </c>
      <c r="AF48" s="66">
        <f t="shared" si="5"/>
        <v>0.99999992509516689</v>
      </c>
    </row>
    <row r="49" spans="1:32" x14ac:dyDescent="0.3">
      <c r="A49">
        <f t="shared" ca="1" si="0"/>
        <v>0.19261100313305912</v>
      </c>
      <c r="B49">
        <f t="shared" ca="1" si="1"/>
        <v>0</v>
      </c>
      <c r="C49">
        <f ca="1">AVERAGE($B$2:B49)</f>
        <v>2</v>
      </c>
      <c r="D49">
        <f ca="1">_xlfn.VAR.P($B$2:B49)</f>
        <v>6</v>
      </c>
      <c r="E49">
        <f t="shared" ca="1" si="2"/>
        <v>0.45560177874719143</v>
      </c>
      <c r="F49">
        <f t="shared" ca="1" si="3"/>
        <v>1</v>
      </c>
      <c r="G49">
        <f t="shared" ca="1" si="4"/>
        <v>-1</v>
      </c>
      <c r="H49">
        <f ca="1">AVERAGE($G$2:G49)</f>
        <v>-6.25E-2</v>
      </c>
      <c r="I49">
        <f ca="1">_xlfn.VAR.P($G$2:G49)</f>
        <v>10.600260416666666</v>
      </c>
      <c r="AE49">
        <f t="shared" si="6"/>
        <v>47</v>
      </c>
      <c r="AF49" s="66">
        <f t="shared" si="5"/>
        <v>0.99999994756661681</v>
      </c>
    </row>
    <row r="50" spans="1:32" x14ac:dyDescent="0.3">
      <c r="A50">
        <f t="shared" ca="1" si="0"/>
        <v>0.32715152805027681</v>
      </c>
      <c r="B50">
        <f t="shared" ca="1" si="1"/>
        <v>1</v>
      </c>
      <c r="C50">
        <f ca="1">AVERAGE($B$2:B50)</f>
        <v>1.9795918367346939</v>
      </c>
      <c r="D50">
        <f ca="1">_xlfn.VAR.P($B$2:B50)</f>
        <v>5.8975426905456061</v>
      </c>
      <c r="E50">
        <f t="shared" ca="1" si="2"/>
        <v>0.38433061955685932</v>
      </c>
      <c r="F50">
        <f t="shared" ca="1" si="3"/>
        <v>1</v>
      </c>
      <c r="G50">
        <f t="shared" ca="1" si="4"/>
        <v>0</v>
      </c>
      <c r="H50">
        <f ca="1">AVERAGE($G$2:G50)</f>
        <v>-6.1224489795918366E-2</v>
      </c>
      <c r="I50">
        <f ca="1">_xlfn.VAR.P($G$2:G50)</f>
        <v>10.384006663890046</v>
      </c>
      <c r="AE50">
        <f t="shared" si="6"/>
        <v>48</v>
      </c>
      <c r="AF50" s="66">
        <f t="shared" si="5"/>
        <v>0.99999996329663177</v>
      </c>
    </row>
    <row r="51" spans="1:32" x14ac:dyDescent="0.3">
      <c r="A51">
        <f t="shared" ca="1" si="0"/>
        <v>0.13822782603567996</v>
      </c>
      <c r="B51">
        <f t="shared" ca="1" si="1"/>
        <v>0</v>
      </c>
      <c r="C51">
        <f ca="1">AVERAGE($B$2:B51)</f>
        <v>1.94</v>
      </c>
      <c r="D51">
        <f ca="1">_xlfn.VAR.P($B$2:B51)</f>
        <v>5.8563999999999998</v>
      </c>
      <c r="E51">
        <f t="shared" ca="1" si="2"/>
        <v>0.48984312745689307</v>
      </c>
      <c r="F51">
        <f t="shared" ca="1" si="3"/>
        <v>1</v>
      </c>
      <c r="G51">
        <f t="shared" ca="1" si="4"/>
        <v>-1</v>
      </c>
      <c r="H51">
        <f ca="1">AVERAGE($G$2:G51)</f>
        <v>-0.08</v>
      </c>
      <c r="I51">
        <f ca="1">_xlfn.VAR.P($G$2:G51)</f>
        <v>10.1936</v>
      </c>
      <c r="AE51">
        <f t="shared" si="6"/>
        <v>49</v>
      </c>
      <c r="AF51" s="66">
        <f t="shared" si="5"/>
        <v>0.9999999743076422</v>
      </c>
    </row>
    <row r="52" spans="1:32" x14ac:dyDescent="0.3">
      <c r="A52">
        <f t="shared" ca="1" si="0"/>
        <v>0.94624104768484296</v>
      </c>
      <c r="B52">
        <f t="shared" ca="1" si="1"/>
        <v>8</v>
      </c>
      <c r="C52">
        <f ca="1">AVERAGE($B$2:B52)</f>
        <v>2.0588235294117645</v>
      </c>
      <c r="D52">
        <f ca="1">_xlfn.VAR.P($B$2:B52)</f>
        <v>6.4475201845444063</v>
      </c>
      <c r="E52">
        <f t="shared" ca="1" si="2"/>
        <v>0.27966179500404764</v>
      </c>
      <c r="F52">
        <f t="shared" ca="1" si="3"/>
        <v>0</v>
      </c>
      <c r="G52">
        <f t="shared" ca="1" si="4"/>
        <v>8</v>
      </c>
      <c r="H52">
        <f ca="1">AVERAGE($G$2:G52)</f>
        <v>7.8431372549019607E-2</v>
      </c>
      <c r="I52">
        <f ca="1">_xlfn.VAR.P($G$2:G52)</f>
        <v>11.248750480584391</v>
      </c>
      <c r="AE52">
        <f t="shared" si="6"/>
        <v>50</v>
      </c>
      <c r="AF52" s="66">
        <f t="shared" si="5"/>
        <v>0.99999998201534956</v>
      </c>
    </row>
    <row r="53" spans="1:32" x14ac:dyDescent="0.3">
      <c r="A53">
        <f t="shared" ca="1" si="0"/>
        <v>0.87508177033428125</v>
      </c>
      <c r="B53">
        <f t="shared" ca="1" si="1"/>
        <v>5</v>
      </c>
      <c r="C53">
        <f ca="1">AVERAGE($B$2:B53)</f>
        <v>2.1153846153846154</v>
      </c>
      <c r="D53">
        <f ca="1">_xlfn.VAR.P($B$2:B53)</f>
        <v>6.4866863905325447</v>
      </c>
      <c r="E53">
        <f t="shared" ca="1" si="2"/>
        <v>0.59110970936399287</v>
      </c>
      <c r="F53">
        <f t="shared" ca="1" si="3"/>
        <v>2</v>
      </c>
      <c r="G53">
        <f t="shared" ca="1" si="4"/>
        <v>3</v>
      </c>
      <c r="H53">
        <f ca="1">AVERAGE($G$2:G53)</f>
        <v>0.13461538461538461</v>
      </c>
      <c r="I53">
        <f ca="1">_xlfn.VAR.P($G$2:G53)</f>
        <v>11.193417159763314</v>
      </c>
      <c r="AE53">
        <f t="shared" si="6"/>
        <v>51</v>
      </c>
      <c r="AF53" s="66">
        <f t="shared" si="5"/>
        <v>0.9999999874107447</v>
      </c>
    </row>
    <row r="54" spans="1:32" x14ac:dyDescent="0.3">
      <c r="A54">
        <f t="shared" ca="1" si="0"/>
        <v>0.16123478719951434</v>
      </c>
      <c r="B54">
        <f t="shared" ca="1" si="1"/>
        <v>0</v>
      </c>
      <c r="C54">
        <f ca="1">AVERAGE($B$2:B54)</f>
        <v>2.0754716981132075</v>
      </c>
      <c r="D54">
        <f ca="1">_xlfn.VAR.P($B$2:B54)</f>
        <v>6.4471342114631538</v>
      </c>
      <c r="E54">
        <f t="shared" ca="1" si="2"/>
        <v>0.69822107837273184</v>
      </c>
      <c r="F54">
        <f t="shared" ca="1" si="3"/>
        <v>3</v>
      </c>
      <c r="G54">
        <f t="shared" ca="1" si="4"/>
        <v>-3</v>
      </c>
      <c r="H54">
        <f ca="1">AVERAGE($G$2:G54)</f>
        <v>7.5471698113207544E-2</v>
      </c>
      <c r="I54">
        <f ca="1">_xlfn.VAR.P($G$2:G54)</f>
        <v>11.164115343538626</v>
      </c>
      <c r="AE54">
        <f t="shared" si="6"/>
        <v>52</v>
      </c>
      <c r="AF54" s="66">
        <f t="shared" si="5"/>
        <v>0.99999999118752125</v>
      </c>
    </row>
    <row r="55" spans="1:32" x14ac:dyDescent="0.3">
      <c r="A55">
        <f t="shared" ca="1" si="0"/>
        <v>0.26273689814127932</v>
      </c>
      <c r="B55">
        <f t="shared" ca="1" si="1"/>
        <v>0</v>
      </c>
      <c r="C55">
        <f ca="1">AVERAGE($B$2:B55)</f>
        <v>2.0370370370370372</v>
      </c>
      <c r="D55">
        <f ca="1">_xlfn.VAR.P($B$2:B55)</f>
        <v>6.4060356652949242</v>
      </c>
      <c r="E55">
        <f t="shared" ca="1" si="2"/>
        <v>0.99775635249579064</v>
      </c>
      <c r="F55">
        <f t="shared" ca="1" si="3"/>
        <v>17</v>
      </c>
      <c r="G55">
        <f t="shared" ca="1" si="4"/>
        <v>-17</v>
      </c>
      <c r="H55">
        <f ca="1">AVERAGE($G$2:G55)</f>
        <v>-0.24074074074074073</v>
      </c>
      <c r="I55">
        <f ca="1">_xlfn.VAR.P($G$2:G55)</f>
        <v>16.256858710562415</v>
      </c>
      <c r="AE55">
        <f t="shared" si="6"/>
        <v>53</v>
      </c>
      <c r="AF55" s="66">
        <f t="shared" si="5"/>
        <v>0.99999999383126492</v>
      </c>
    </row>
    <row r="56" spans="1:32" x14ac:dyDescent="0.3">
      <c r="A56">
        <f t="shared" ca="1" si="0"/>
        <v>0.26574449372933284</v>
      </c>
      <c r="B56">
        <f t="shared" ca="1" si="1"/>
        <v>0</v>
      </c>
      <c r="C56">
        <f ca="1">AVERAGE($B$2:B56)</f>
        <v>2</v>
      </c>
      <c r="D56">
        <f ca="1">_xlfn.VAR.P($B$2:B56)</f>
        <v>6.3636363636363633</v>
      </c>
      <c r="E56">
        <f t="shared" ca="1" si="2"/>
        <v>0.64735565027905573</v>
      </c>
      <c r="F56">
        <f t="shared" ca="1" si="3"/>
        <v>2</v>
      </c>
      <c r="G56">
        <f t="shared" ca="1" si="4"/>
        <v>-2</v>
      </c>
      <c r="H56">
        <f ca="1">AVERAGE($G$2:G56)</f>
        <v>-0.27272727272727271</v>
      </c>
      <c r="I56">
        <f ca="1">_xlfn.VAR.P($G$2:G56)</f>
        <v>16.016528925619834</v>
      </c>
      <c r="AE56">
        <f t="shared" si="6"/>
        <v>54</v>
      </c>
      <c r="AF56" s="66">
        <f t="shared" si="5"/>
        <v>0.99999999568188547</v>
      </c>
    </row>
    <row r="57" spans="1:32" x14ac:dyDescent="0.3">
      <c r="A57">
        <f t="shared" ca="1" si="0"/>
        <v>0.42625789621934973</v>
      </c>
      <c r="B57">
        <f t="shared" ca="1" si="1"/>
        <v>1</v>
      </c>
      <c r="C57">
        <f ca="1">AVERAGE($B$2:B57)</f>
        <v>1.9821428571428572</v>
      </c>
      <c r="D57">
        <f ca="1">_xlfn.VAR.P($B$2:B57)</f>
        <v>6.267538265306122</v>
      </c>
      <c r="E57">
        <f t="shared" ca="1" si="2"/>
        <v>0.83849352658685949</v>
      </c>
      <c r="F57">
        <f t="shared" ca="1" si="3"/>
        <v>5</v>
      </c>
      <c r="G57">
        <f t="shared" ca="1" si="4"/>
        <v>-4</v>
      </c>
      <c r="H57">
        <f ca="1">AVERAGE($G$2:G57)</f>
        <v>-0.3392857142857143</v>
      </c>
      <c r="I57">
        <f ca="1">_xlfn.VAR.P($G$2:G57)</f>
        <v>15.974170918367347</v>
      </c>
      <c r="AE57">
        <f t="shared" si="6"/>
        <v>55</v>
      </c>
      <c r="AF57" s="66">
        <f t="shared" si="5"/>
        <v>0.99999999697731978</v>
      </c>
    </row>
    <row r="58" spans="1:32" x14ac:dyDescent="0.3">
      <c r="A58">
        <f t="shared" ca="1" si="0"/>
        <v>0.45966259608493998</v>
      </c>
      <c r="B58">
        <f t="shared" ca="1" si="1"/>
        <v>1</v>
      </c>
      <c r="C58">
        <f ca="1">AVERAGE($B$2:B58)</f>
        <v>1.9649122807017543</v>
      </c>
      <c r="D58">
        <f ca="1">_xlfn.VAR.P($B$2:B58)</f>
        <v>6.1742074484456753</v>
      </c>
      <c r="E58">
        <f t="shared" ca="1" si="2"/>
        <v>0.68663643240751127</v>
      </c>
      <c r="F58">
        <f t="shared" ca="1" si="3"/>
        <v>3</v>
      </c>
      <c r="G58">
        <f t="shared" ca="1" si="4"/>
        <v>-2</v>
      </c>
      <c r="H58">
        <f ca="1">AVERAGE($G$2:G58)</f>
        <v>-0.36842105263157893</v>
      </c>
      <c r="I58">
        <f ca="1">_xlfn.VAR.P($G$2:G58)</f>
        <v>15.74145891043398</v>
      </c>
      <c r="AE58">
        <f t="shared" si="6"/>
        <v>56</v>
      </c>
      <c r="AF58" s="66">
        <f t="shared" si="5"/>
        <v>0.99999999788412386</v>
      </c>
    </row>
    <row r="59" spans="1:32" x14ac:dyDescent="0.3">
      <c r="A59">
        <f t="shared" ca="1" si="0"/>
        <v>2.58632505999421E-2</v>
      </c>
      <c r="B59">
        <f t="shared" ca="1" si="1"/>
        <v>0</v>
      </c>
      <c r="C59">
        <f ca="1">AVERAGE($B$2:B59)</f>
        <v>1.9310344827586208</v>
      </c>
      <c r="D59">
        <f ca="1">_xlfn.VAR.P($B$2:B59)</f>
        <v>6.1331747919143877</v>
      </c>
      <c r="E59">
        <f t="shared" ca="1" si="2"/>
        <v>0.92197723937067833</v>
      </c>
      <c r="F59">
        <f t="shared" ca="1" si="3"/>
        <v>7</v>
      </c>
      <c r="G59">
        <f t="shared" ca="1" si="4"/>
        <v>-7</v>
      </c>
      <c r="H59">
        <f ca="1">AVERAGE($G$2:G59)</f>
        <v>-0.48275862068965519</v>
      </c>
      <c r="I59">
        <f ca="1">_xlfn.VAR.P($G$2:G59)</f>
        <v>16.215219976218787</v>
      </c>
      <c r="AE59">
        <f t="shared" si="6"/>
        <v>57</v>
      </c>
      <c r="AF59" s="66">
        <f t="shared" si="5"/>
        <v>0.99999999851888677</v>
      </c>
    </row>
    <row r="60" spans="1:32" x14ac:dyDescent="0.3">
      <c r="A60">
        <f t="shared" ca="1" si="0"/>
        <v>0.301307191685527</v>
      </c>
      <c r="B60">
        <f t="shared" ca="1" si="1"/>
        <v>1</v>
      </c>
      <c r="C60">
        <f ca="1">AVERAGE($B$2:B60)</f>
        <v>1.9152542372881356</v>
      </c>
      <c r="D60">
        <f ca="1">_xlfn.VAR.P($B$2:B60)</f>
        <v>6.0436656133295026</v>
      </c>
      <c r="E60">
        <f t="shared" ca="1" si="2"/>
        <v>0.40728566058380078</v>
      </c>
      <c r="F60">
        <f t="shared" ca="1" si="3"/>
        <v>1</v>
      </c>
      <c r="G60">
        <f t="shared" ca="1" si="4"/>
        <v>0</v>
      </c>
      <c r="H60">
        <f ca="1">AVERAGE($G$2:G60)</f>
        <v>-0.47457627118644069</v>
      </c>
      <c r="I60">
        <f ca="1">_xlfn.VAR.P($G$2:G60)</f>
        <v>15.944268888250503</v>
      </c>
      <c r="AE60">
        <f t="shared" si="6"/>
        <v>58</v>
      </c>
      <c r="AF60" s="66">
        <f t="shared" si="5"/>
        <v>0.99999999896322067</v>
      </c>
    </row>
    <row r="61" spans="1:32" x14ac:dyDescent="0.3">
      <c r="A61">
        <f t="shared" ca="1" si="0"/>
        <v>0.83420396737362701</v>
      </c>
      <c r="B61">
        <f t="shared" ca="1" si="1"/>
        <v>5</v>
      </c>
      <c r="C61">
        <f ca="1">AVERAGE($B$2:B61)</f>
        <v>1.9666666666666666</v>
      </c>
      <c r="D61">
        <f ca="1">_xlfn.VAR.P($B$2:B61)</f>
        <v>6.0988888888888892</v>
      </c>
      <c r="E61">
        <f t="shared" ca="1" si="2"/>
        <v>5.2238357412839664E-2</v>
      </c>
      <c r="F61">
        <f t="shared" ca="1" si="3"/>
        <v>0</v>
      </c>
      <c r="G61">
        <f t="shared" ca="1" si="4"/>
        <v>5</v>
      </c>
      <c r="H61">
        <f ca="1">AVERAGE($G$2:G61)</f>
        <v>-0.38333333333333336</v>
      </c>
      <c r="I61">
        <f ca="1">_xlfn.VAR.P($G$2:G61)</f>
        <v>16.169722222222223</v>
      </c>
      <c r="AE61">
        <f t="shared" si="6"/>
        <v>59</v>
      </c>
      <c r="AF61" s="66">
        <f t="shared" si="5"/>
        <v>0.99999999927425454</v>
      </c>
    </row>
    <row r="62" spans="1:32" x14ac:dyDescent="0.3">
      <c r="A62">
        <f t="shared" ca="1" si="0"/>
        <v>0.40819290884154402</v>
      </c>
      <c r="B62">
        <f t="shared" ca="1" si="1"/>
        <v>1</v>
      </c>
      <c r="C62">
        <f ca="1">AVERAGE($B$2:B62)</f>
        <v>1.9508196721311475</v>
      </c>
      <c r="D62">
        <f ca="1">_xlfn.VAR.P($B$2:B62)</f>
        <v>6.0139747379736628</v>
      </c>
      <c r="E62">
        <f t="shared" ca="1" si="2"/>
        <v>0.12950111915404539</v>
      </c>
      <c r="F62">
        <f t="shared" ca="1" si="3"/>
        <v>0</v>
      </c>
      <c r="G62">
        <f t="shared" ca="1" si="4"/>
        <v>1</v>
      </c>
      <c r="H62">
        <f ca="1">AVERAGE($G$2:G62)</f>
        <v>-0.36065573770491804</v>
      </c>
      <c r="I62">
        <f ca="1">_xlfn.VAR.P($G$2:G62)</f>
        <v>15.935501209352324</v>
      </c>
      <c r="AE62">
        <f t="shared" si="6"/>
        <v>60</v>
      </c>
      <c r="AF62" s="66">
        <f t="shared" si="5"/>
        <v>0.99999999949197815</v>
      </c>
    </row>
    <row r="63" spans="1:32" x14ac:dyDescent="0.3">
      <c r="A63">
        <f t="shared" ca="1" si="0"/>
        <v>2.9903746995391334E-2</v>
      </c>
      <c r="B63">
        <f t="shared" ca="1" si="1"/>
        <v>0</v>
      </c>
      <c r="C63">
        <f ca="1">AVERAGE($B$2:B63)</f>
        <v>1.9193548387096775</v>
      </c>
      <c r="D63">
        <f ca="1">_xlfn.VAR.P($B$2:B63)</f>
        <v>5.9773673257023932</v>
      </c>
      <c r="E63">
        <f t="shared" ca="1" si="2"/>
        <v>0.59485622842566777</v>
      </c>
      <c r="F63">
        <f t="shared" ca="1" si="3"/>
        <v>2</v>
      </c>
      <c r="G63">
        <f t="shared" ca="1" si="4"/>
        <v>-2</v>
      </c>
      <c r="H63">
        <f ca="1">AVERAGE($G$2:G63)</f>
        <v>-0.38709677419354838</v>
      </c>
      <c r="I63">
        <f ca="1">_xlfn.VAR.P($G$2:G63)</f>
        <v>15.721123829344434</v>
      </c>
      <c r="AE63">
        <f t="shared" si="6"/>
        <v>61</v>
      </c>
      <c r="AF63" s="66">
        <f t="shared" si="5"/>
        <v>0.99999999964438469</v>
      </c>
    </row>
    <row r="64" spans="1:32" x14ac:dyDescent="0.3">
      <c r="A64">
        <f t="shared" ca="1" si="0"/>
        <v>0.89883773841256465</v>
      </c>
      <c r="B64">
        <f t="shared" ca="1" si="1"/>
        <v>6</v>
      </c>
      <c r="C64">
        <f ca="1">AVERAGE($B$2:B64)</f>
        <v>1.9841269841269842</v>
      </c>
      <c r="D64">
        <f ca="1">_xlfn.VAR.P($B$2:B64)</f>
        <v>6.1426051902242378</v>
      </c>
      <c r="E64">
        <f t="shared" ca="1" si="2"/>
        <v>0.79066870812597301</v>
      </c>
      <c r="F64">
        <f t="shared" ca="1" si="3"/>
        <v>4</v>
      </c>
      <c r="G64">
        <f t="shared" ca="1" si="4"/>
        <v>2</v>
      </c>
      <c r="H64">
        <f ca="1">AVERAGE($G$2:G64)</f>
        <v>-0.34920634920634919</v>
      </c>
      <c r="I64">
        <f ca="1">_xlfn.VAR.P($G$2:G64)</f>
        <v>15.560594608213655</v>
      </c>
      <c r="AE64">
        <f t="shared" si="6"/>
        <v>62</v>
      </c>
      <c r="AF64" s="66">
        <f t="shared" si="5"/>
        <v>0.99999999975106935</v>
      </c>
    </row>
    <row r="65" spans="1:32" x14ac:dyDescent="0.3">
      <c r="A65">
        <f t="shared" ca="1" si="0"/>
        <v>0.69367937238075006</v>
      </c>
      <c r="B65">
        <f t="shared" ca="1" si="1"/>
        <v>3</v>
      </c>
      <c r="C65">
        <f ca="1">AVERAGE($B$2:B65)</f>
        <v>2</v>
      </c>
      <c r="D65">
        <f ca="1">_xlfn.VAR.P($B$2:B65)</f>
        <v>6.0625</v>
      </c>
      <c r="E65">
        <f t="shared" ca="1" si="2"/>
        <v>8.3333444343062335E-2</v>
      </c>
      <c r="F65">
        <f t="shared" ca="1" si="3"/>
        <v>0</v>
      </c>
      <c r="G65">
        <f t="shared" ca="1" si="4"/>
        <v>3</v>
      </c>
      <c r="H65">
        <f ca="1">AVERAGE($G$2:G65)</f>
        <v>-0.296875</v>
      </c>
      <c r="I65">
        <f ca="1">_xlfn.VAR.P($G$2:G65)</f>
        <v>15.489990234375</v>
      </c>
      <c r="AE65">
        <f t="shared" si="6"/>
        <v>63</v>
      </c>
      <c r="AF65" s="66">
        <f t="shared" si="5"/>
        <v>0.9999999998257485</v>
      </c>
    </row>
    <row r="66" spans="1:32" x14ac:dyDescent="0.3">
      <c r="A66">
        <f t="shared" ca="1" si="0"/>
        <v>0.22921631826015831</v>
      </c>
      <c r="B66">
        <f t="shared" ca="1" si="1"/>
        <v>0</v>
      </c>
      <c r="C66">
        <f ca="1">AVERAGE($B$2:B66)</f>
        <v>1.9692307692307693</v>
      </c>
      <c r="D66">
        <f ca="1">_xlfn.VAR.P($B$2:B66)</f>
        <v>6.0298224852071005</v>
      </c>
      <c r="E66">
        <f t="shared" ca="1" si="2"/>
        <v>0.49067261317186572</v>
      </c>
      <c r="F66">
        <f t="shared" ca="1" si="3"/>
        <v>1</v>
      </c>
      <c r="G66">
        <f t="shared" ca="1" si="4"/>
        <v>-1</v>
      </c>
      <c r="H66">
        <f ca="1">AVERAGE($G$2:G66)</f>
        <v>-0.30769230769230771</v>
      </c>
      <c r="I66">
        <f ca="1">_xlfn.VAR.P($G$2:G66)</f>
        <v>15.259171597633136</v>
      </c>
      <c r="AE66">
        <f t="shared" si="6"/>
        <v>64</v>
      </c>
      <c r="AF66" s="66">
        <f t="shared" si="5"/>
        <v>0.99999999987802402</v>
      </c>
    </row>
    <row r="67" spans="1:32" x14ac:dyDescent="0.3">
      <c r="A67">
        <f t="shared" ref="A67:A130" ca="1" si="7">RAND()</f>
        <v>0.88264966405362144</v>
      </c>
      <c r="B67">
        <f t="shared" ref="B67:B130" ca="1" si="8">LOOKUP(A67,$AF$2:$AF$1002,$AE$2:$AE$1002)</f>
        <v>6</v>
      </c>
      <c r="C67">
        <f ca="1">AVERAGE($B$2:B67)</f>
        <v>2.0303030303030303</v>
      </c>
      <c r="D67">
        <f ca="1">_xlfn.VAR.P($B$2:B67)</f>
        <v>6.180899908172635</v>
      </c>
      <c r="E67">
        <f t="shared" ref="E67:E130" ca="1" si="9">RAND()</f>
        <v>5.2498659253348623E-2</v>
      </c>
      <c r="F67">
        <f t="shared" ref="F67:F130" ca="1" si="10">LOOKUP(E67,$AF$2:$AF$1002,$AE$2:$AE$1002)</f>
        <v>0</v>
      </c>
      <c r="G67">
        <f t="shared" ref="G67:G130" ca="1" si="11">B67-F67</f>
        <v>6</v>
      </c>
      <c r="H67">
        <f ca="1">AVERAGE($G$2:G67)</f>
        <v>-0.21212121212121213</v>
      </c>
      <c r="I67">
        <f ca="1">_xlfn.VAR.P($G$2:G67)</f>
        <v>15.621671258034894</v>
      </c>
      <c r="AE67">
        <f t="shared" si="6"/>
        <v>65</v>
      </c>
      <c r="AF67" s="66">
        <f t="shared" ref="AF67:AF130" si="12">_xlfn.NEGBINOM.DIST(AE67-1,1,$K$1,TRUE)</f>
        <v>0.99999999991461674</v>
      </c>
    </row>
    <row r="68" spans="1:32" x14ac:dyDescent="0.3">
      <c r="A68">
        <f t="shared" ca="1" si="7"/>
        <v>0.44026879212849479</v>
      </c>
      <c r="B68">
        <f t="shared" ca="1" si="8"/>
        <v>1</v>
      </c>
      <c r="C68">
        <f ca="1">AVERAGE($B$2:B68)</f>
        <v>2.0149253731343282</v>
      </c>
      <c r="D68">
        <f ca="1">_xlfn.VAR.P($B$2:B68)</f>
        <v>6.1042548451770999</v>
      </c>
      <c r="E68">
        <f t="shared" ca="1" si="9"/>
        <v>0.60403134017536919</v>
      </c>
      <c r="F68">
        <f t="shared" ca="1" si="10"/>
        <v>2</v>
      </c>
      <c r="G68">
        <f t="shared" ca="1" si="11"/>
        <v>-1</v>
      </c>
      <c r="H68">
        <f ca="1">AVERAGE($G$2:G68)</f>
        <v>-0.22388059701492538</v>
      </c>
      <c r="I68">
        <f ca="1">_xlfn.VAR.P($G$2:G68)</f>
        <v>15.397638672310091</v>
      </c>
      <c r="AE68">
        <f t="shared" si="6"/>
        <v>66</v>
      </c>
      <c r="AF68" s="66">
        <f t="shared" si="12"/>
        <v>0.99999999994023181</v>
      </c>
    </row>
    <row r="69" spans="1:32" x14ac:dyDescent="0.3">
      <c r="A69">
        <f t="shared" ca="1" si="7"/>
        <v>0.79058503334073271</v>
      </c>
      <c r="B69">
        <f t="shared" ca="1" si="8"/>
        <v>4</v>
      </c>
      <c r="C69">
        <f ca="1">AVERAGE($B$2:B69)</f>
        <v>2.0441176470588234</v>
      </c>
      <c r="D69">
        <f ca="1">_xlfn.VAR.P($B$2:B69)</f>
        <v>6.0715830449826989</v>
      </c>
      <c r="E69">
        <f t="shared" ca="1" si="9"/>
        <v>0.1250585117499734</v>
      </c>
      <c r="F69">
        <f t="shared" ca="1" si="10"/>
        <v>0</v>
      </c>
      <c r="G69">
        <f t="shared" ca="1" si="11"/>
        <v>4</v>
      </c>
      <c r="H69">
        <f ca="1">AVERAGE($G$2:G69)</f>
        <v>-0.16176470588235295</v>
      </c>
      <c r="I69">
        <f ca="1">_xlfn.VAR.P($G$2:G69)</f>
        <v>15.429714532871973</v>
      </c>
      <c r="AE69">
        <f t="shared" ref="AE69:AE132" si="13">AE68+1</f>
        <v>67</v>
      </c>
      <c r="AF69" s="66">
        <f t="shared" si="12"/>
        <v>0.99999999995816213</v>
      </c>
    </row>
    <row r="70" spans="1:32" x14ac:dyDescent="0.3">
      <c r="A70">
        <f t="shared" ca="1" si="7"/>
        <v>0.50701268466597105</v>
      </c>
      <c r="B70">
        <f t="shared" ca="1" si="8"/>
        <v>1</v>
      </c>
      <c r="C70">
        <f ca="1">AVERAGE($B$2:B70)</f>
        <v>2.0289855072463769</v>
      </c>
      <c r="D70">
        <f ca="1">_xlfn.VAR.P($B$2:B70)</f>
        <v>5.9991598403696704</v>
      </c>
      <c r="E70">
        <f t="shared" ca="1" si="9"/>
        <v>0.39523784979939325</v>
      </c>
      <c r="F70">
        <f t="shared" ca="1" si="10"/>
        <v>1</v>
      </c>
      <c r="G70">
        <f t="shared" ca="1" si="11"/>
        <v>0</v>
      </c>
      <c r="H70">
        <f ca="1">AVERAGE($G$2:G70)</f>
        <v>-0.15942028985507245</v>
      </c>
      <c r="I70">
        <f ca="1">_xlfn.VAR.P($G$2:G70)</f>
        <v>15.206469229153539</v>
      </c>
      <c r="AE70">
        <f t="shared" si="13"/>
        <v>68</v>
      </c>
      <c r="AF70" s="66">
        <f t="shared" si="12"/>
        <v>0.99999999997071354</v>
      </c>
    </row>
    <row r="71" spans="1:32" x14ac:dyDescent="0.3">
      <c r="A71">
        <f t="shared" ca="1" si="7"/>
        <v>0.9518451079018132</v>
      </c>
      <c r="B71">
        <f t="shared" ca="1" si="8"/>
        <v>8</v>
      </c>
      <c r="C71">
        <f ca="1">AVERAGE($B$2:B71)</f>
        <v>2.1142857142857143</v>
      </c>
      <c r="D71">
        <f ca="1">_xlfn.VAR.P($B$2:B71)</f>
        <v>6.4155102040816328</v>
      </c>
      <c r="E71">
        <f t="shared" ca="1" si="9"/>
        <v>0.35636908338913897</v>
      </c>
      <c r="F71">
        <f t="shared" ca="1" si="10"/>
        <v>1</v>
      </c>
      <c r="G71">
        <f t="shared" ca="1" si="11"/>
        <v>7</v>
      </c>
      <c r="H71">
        <f ca="1">AVERAGE($G$2:G71)</f>
        <v>-5.7142857142857141E-2</v>
      </c>
      <c r="I71">
        <f ca="1">_xlfn.VAR.P($G$2:G71)</f>
        <v>15.711020408163265</v>
      </c>
      <c r="AE71">
        <f t="shared" si="13"/>
        <v>69</v>
      </c>
      <c r="AF71" s="66">
        <f t="shared" si="12"/>
        <v>0.99999999997949951</v>
      </c>
    </row>
    <row r="72" spans="1:32" x14ac:dyDescent="0.3">
      <c r="A72">
        <f t="shared" ca="1" si="7"/>
        <v>0.89454333412826359</v>
      </c>
      <c r="B72">
        <f t="shared" ca="1" si="8"/>
        <v>6</v>
      </c>
      <c r="C72">
        <f ca="1">AVERAGE($B$2:B72)</f>
        <v>2.1690140845070425</v>
      </c>
      <c r="D72">
        <f ca="1">_xlfn.VAR.P($B$2:B72)</f>
        <v>6.5348145209283874</v>
      </c>
      <c r="E72">
        <f t="shared" ca="1" si="9"/>
        <v>0.14746035365939603</v>
      </c>
      <c r="F72">
        <f t="shared" ca="1" si="10"/>
        <v>0</v>
      </c>
      <c r="G72">
        <f t="shared" ca="1" si="11"/>
        <v>6</v>
      </c>
      <c r="H72">
        <f ca="1">AVERAGE($G$2:G72)</f>
        <v>2.8169014084507043E-2</v>
      </c>
      <c r="I72">
        <f ca="1">_xlfn.VAR.P($G$2:G72)</f>
        <v>15.999206506645507</v>
      </c>
      <c r="AE72">
        <f t="shared" si="13"/>
        <v>70</v>
      </c>
      <c r="AF72" s="66">
        <f t="shared" si="12"/>
        <v>0.9999999999856497</v>
      </c>
    </row>
    <row r="73" spans="1:32" x14ac:dyDescent="0.3">
      <c r="A73">
        <f t="shared" ca="1" si="7"/>
        <v>0.36649165360765001</v>
      </c>
      <c r="B73">
        <f t="shared" ca="1" si="8"/>
        <v>1</v>
      </c>
      <c r="C73">
        <f ca="1">AVERAGE($B$2:B73)</f>
        <v>2.1527777777777777</v>
      </c>
      <c r="D73">
        <f ca="1">_xlfn.VAR.P($B$2:B73)</f>
        <v>6.4627700617283947</v>
      </c>
      <c r="E73">
        <f t="shared" ca="1" si="9"/>
        <v>4.8267434356913164E-2</v>
      </c>
      <c r="F73">
        <f t="shared" ca="1" si="10"/>
        <v>0</v>
      </c>
      <c r="G73">
        <f t="shared" ca="1" si="11"/>
        <v>1</v>
      </c>
      <c r="H73">
        <f ca="1">AVERAGE($G$2:G73)</f>
        <v>4.1666666666666664E-2</v>
      </c>
      <c r="I73">
        <f ca="1">_xlfn.VAR.P($G$2:G73)</f>
        <v>15.789930555555555</v>
      </c>
      <c r="AE73">
        <f t="shared" si="13"/>
        <v>71</v>
      </c>
      <c r="AF73" s="66">
        <f t="shared" si="12"/>
        <v>0.9999999999899547</v>
      </c>
    </row>
    <row r="74" spans="1:32" x14ac:dyDescent="0.3">
      <c r="A74">
        <f t="shared" ca="1" si="7"/>
        <v>0.57196273529371333</v>
      </c>
      <c r="B74">
        <f t="shared" ca="1" si="8"/>
        <v>2</v>
      </c>
      <c r="C74">
        <f ca="1">AVERAGE($B$2:B74)</f>
        <v>2.1506849315068495</v>
      </c>
      <c r="D74">
        <f ca="1">_xlfn.VAR.P($B$2:B74)</f>
        <v>6.3745543253893793</v>
      </c>
      <c r="E74">
        <f t="shared" ca="1" si="9"/>
        <v>0.17591603308051118</v>
      </c>
      <c r="F74">
        <f t="shared" ca="1" si="10"/>
        <v>0</v>
      </c>
      <c r="G74">
        <f t="shared" ca="1" si="11"/>
        <v>2</v>
      </c>
      <c r="H74">
        <f ca="1">AVERAGE($G$2:G74)</f>
        <v>6.8493150684931503E-2</v>
      </c>
      <c r="I74">
        <f ca="1">_xlfn.VAR.P($G$2:G74)</f>
        <v>15.625445674610621</v>
      </c>
      <c r="AE74">
        <f t="shared" si="13"/>
        <v>72</v>
      </c>
      <c r="AF74" s="66">
        <f t="shared" si="12"/>
        <v>0.99999999999296829</v>
      </c>
    </row>
    <row r="75" spans="1:32" x14ac:dyDescent="0.3">
      <c r="A75">
        <f t="shared" ca="1" si="7"/>
        <v>0.96398288208373428</v>
      </c>
      <c r="B75">
        <f t="shared" ca="1" si="8"/>
        <v>9</v>
      </c>
      <c r="C75">
        <f ca="1">AVERAGE($B$2:B75)</f>
        <v>2.2432432432432434</v>
      </c>
      <c r="D75">
        <f ca="1">_xlfn.VAR.P($B$2:B75)</f>
        <v>6.9138056975894813</v>
      </c>
      <c r="E75">
        <f t="shared" ca="1" si="9"/>
        <v>0.36643213872490998</v>
      </c>
      <c r="F75">
        <f t="shared" ca="1" si="10"/>
        <v>1</v>
      </c>
      <c r="G75">
        <f t="shared" ca="1" si="11"/>
        <v>8</v>
      </c>
      <c r="H75">
        <f ca="1">AVERAGE($G$2:G75)</f>
        <v>0.17567567567567569</v>
      </c>
      <c r="I75">
        <f ca="1">_xlfn.VAR.P($G$2:G75)</f>
        <v>16.252921840759679</v>
      </c>
      <c r="AE75">
        <f t="shared" si="13"/>
        <v>73</v>
      </c>
      <c r="AF75" s="66">
        <f t="shared" si="12"/>
        <v>0.99999999999507783</v>
      </c>
    </row>
    <row r="76" spans="1:32" x14ac:dyDescent="0.3">
      <c r="A76">
        <f t="shared" ca="1" si="7"/>
        <v>0.69695641345430259</v>
      </c>
      <c r="B76">
        <f t="shared" ca="1" si="8"/>
        <v>3</v>
      </c>
      <c r="C76">
        <f ca="1">AVERAGE($B$2:B76)</f>
        <v>2.2533333333333334</v>
      </c>
      <c r="D76">
        <f ca="1">_xlfn.VAR.P($B$2:B76)</f>
        <v>6.8291555555555554</v>
      </c>
      <c r="E76">
        <f t="shared" ca="1" si="9"/>
        <v>0.29642265198190987</v>
      </c>
      <c r="F76">
        <f t="shared" ca="1" si="10"/>
        <v>0</v>
      </c>
      <c r="G76">
        <f t="shared" ca="1" si="11"/>
        <v>3</v>
      </c>
      <c r="H76">
        <f ca="1">AVERAGE($G$2:G76)</f>
        <v>0.21333333333333335</v>
      </c>
      <c r="I76">
        <f ca="1">_xlfn.VAR.P($G$2:G76)</f>
        <v>16.141155555555557</v>
      </c>
      <c r="AE76">
        <f t="shared" si="13"/>
        <v>74</v>
      </c>
      <c r="AF76" s="66">
        <f t="shared" si="12"/>
        <v>0.99999999999655453</v>
      </c>
    </row>
    <row r="77" spans="1:32" x14ac:dyDescent="0.3">
      <c r="A77">
        <f t="shared" ca="1" si="7"/>
        <v>0.5673172626736408</v>
      </c>
      <c r="B77">
        <f t="shared" ca="1" si="8"/>
        <v>2</v>
      </c>
      <c r="C77">
        <f ca="1">AVERAGE($B$2:B77)</f>
        <v>2.25</v>
      </c>
      <c r="D77">
        <f ca="1">_xlfn.VAR.P($B$2:B77)</f>
        <v>6.7401315789473681</v>
      </c>
      <c r="E77">
        <f t="shared" ca="1" si="9"/>
        <v>0.32230034789661144</v>
      </c>
      <c r="F77">
        <f t="shared" ca="1" si="10"/>
        <v>1</v>
      </c>
      <c r="G77">
        <f t="shared" ca="1" si="11"/>
        <v>1</v>
      </c>
      <c r="H77">
        <f ca="1">AVERAGE($G$2:G77)</f>
        <v>0.22368421052631579</v>
      </c>
      <c r="I77">
        <f ca="1">_xlfn.VAR.P($G$2:G77)</f>
        <v>15.936807479224377</v>
      </c>
      <c r="AE77">
        <f t="shared" si="13"/>
        <v>75</v>
      </c>
      <c r="AF77" s="66">
        <f t="shared" si="12"/>
        <v>0.99999999999758815</v>
      </c>
    </row>
    <row r="78" spans="1:32" x14ac:dyDescent="0.3">
      <c r="A78">
        <f t="shared" ca="1" si="7"/>
        <v>0.95410683781815686</v>
      </c>
      <c r="B78">
        <f t="shared" ca="1" si="8"/>
        <v>8</v>
      </c>
      <c r="C78">
        <f ca="1">AVERAGE($B$2:B78)</f>
        <v>2.3246753246753249</v>
      </c>
      <c r="D78">
        <f ca="1">_xlfn.VAR.P($B$2:B78)</f>
        <v>7.076404115365154</v>
      </c>
      <c r="E78">
        <f t="shared" ca="1" si="9"/>
        <v>0.98675515479842468</v>
      </c>
      <c r="F78">
        <f t="shared" ca="1" si="10"/>
        <v>12</v>
      </c>
      <c r="G78">
        <f t="shared" ca="1" si="11"/>
        <v>-4</v>
      </c>
      <c r="H78">
        <f ca="1">AVERAGE($G$2:G78)</f>
        <v>0.16883116883116883</v>
      </c>
      <c r="I78">
        <f ca="1">_xlfn.VAR.P($G$2:G78)</f>
        <v>15.958509023444089</v>
      </c>
      <c r="AE78">
        <f t="shared" si="13"/>
        <v>76</v>
      </c>
      <c r="AF78" s="66">
        <f t="shared" si="12"/>
        <v>0.99999999999831168</v>
      </c>
    </row>
    <row r="79" spans="1:32" x14ac:dyDescent="0.3">
      <c r="A79">
        <f t="shared" ca="1" si="7"/>
        <v>0.30820282186707448</v>
      </c>
      <c r="B79">
        <f t="shared" ca="1" si="8"/>
        <v>1</v>
      </c>
      <c r="C79">
        <f ca="1">AVERAGE($B$2:B79)</f>
        <v>2.3076923076923075</v>
      </c>
      <c r="D79">
        <f ca="1">_xlfn.VAR.P($B$2:B79)</f>
        <v>7.0078895463510849</v>
      </c>
      <c r="E79">
        <f t="shared" ca="1" si="9"/>
        <v>0.23577325513454039</v>
      </c>
      <c r="F79">
        <f t="shared" ca="1" si="10"/>
        <v>0</v>
      </c>
      <c r="G79">
        <f t="shared" ca="1" si="11"/>
        <v>1</v>
      </c>
      <c r="H79">
        <f ca="1">AVERAGE($G$2:G79)</f>
        <v>0.17948717948717949</v>
      </c>
      <c r="I79">
        <f ca="1">_xlfn.VAR.P($G$2:G79)</f>
        <v>15.762656147271532</v>
      </c>
      <c r="AE79">
        <f t="shared" si="13"/>
        <v>77</v>
      </c>
      <c r="AF79" s="66">
        <f t="shared" si="12"/>
        <v>0.99999999999881817</v>
      </c>
    </row>
    <row r="80" spans="1:32" x14ac:dyDescent="0.3">
      <c r="A80">
        <f t="shared" ca="1" si="7"/>
        <v>0.58654510310488017</v>
      </c>
      <c r="B80">
        <f t="shared" ca="1" si="8"/>
        <v>2</v>
      </c>
      <c r="C80">
        <f ca="1">AVERAGE($B$2:B80)</f>
        <v>2.3037974683544302</v>
      </c>
      <c r="D80">
        <f ca="1">_xlfn.VAR.P($B$2:B80)</f>
        <v>6.9203653260695406</v>
      </c>
      <c r="E80">
        <f t="shared" ca="1" si="9"/>
        <v>0.37353123249486553</v>
      </c>
      <c r="F80">
        <f t="shared" ca="1" si="10"/>
        <v>1</v>
      </c>
      <c r="G80">
        <f t="shared" ca="1" si="11"/>
        <v>1</v>
      </c>
      <c r="H80">
        <f ca="1">AVERAGE($G$2:G80)</f>
        <v>0.189873417721519</v>
      </c>
      <c r="I80">
        <f ca="1">_xlfn.VAR.P($G$2:G80)</f>
        <v>15.57154302195161</v>
      </c>
      <c r="AE80">
        <f t="shared" si="13"/>
        <v>78</v>
      </c>
      <c r="AF80" s="66">
        <f t="shared" si="12"/>
        <v>0.99999999999917266</v>
      </c>
    </row>
    <row r="81" spans="1:32" x14ac:dyDescent="0.3">
      <c r="A81">
        <f t="shared" ca="1" si="7"/>
        <v>3.5758424182161241E-2</v>
      </c>
      <c r="B81">
        <f t="shared" ca="1" si="8"/>
        <v>0</v>
      </c>
      <c r="C81">
        <f ca="1">AVERAGE($B$2:B81)</f>
        <v>2.2749999999999999</v>
      </c>
      <c r="D81">
        <f ca="1">_xlfn.VAR.P($B$2:B81)</f>
        <v>6.899375</v>
      </c>
      <c r="E81">
        <f t="shared" ca="1" si="9"/>
        <v>0.15804286710583071</v>
      </c>
      <c r="F81">
        <f t="shared" ca="1" si="10"/>
        <v>0</v>
      </c>
      <c r="G81">
        <f t="shared" ca="1" si="11"/>
        <v>0</v>
      </c>
      <c r="H81">
        <f ca="1">AVERAGE($G$2:G81)</f>
        <v>0.1875</v>
      </c>
      <c r="I81">
        <f ca="1">_xlfn.VAR.P($G$2:G81)</f>
        <v>15.37734375</v>
      </c>
      <c r="AE81">
        <f t="shared" si="13"/>
        <v>79</v>
      </c>
      <c r="AF81" s="66">
        <f t="shared" si="12"/>
        <v>0.99999999999942091</v>
      </c>
    </row>
    <row r="82" spans="1:32" x14ac:dyDescent="0.3">
      <c r="A82">
        <f t="shared" ca="1" si="7"/>
        <v>0.40523980623345512</v>
      </c>
      <c r="B82">
        <f t="shared" ca="1" si="8"/>
        <v>1</v>
      </c>
      <c r="C82">
        <f ca="1">AVERAGE($B$2:B82)</f>
        <v>2.2592592592592591</v>
      </c>
      <c r="D82">
        <f ca="1">_xlfn.VAR.P($B$2:B82)</f>
        <v>6.8340192043895751</v>
      </c>
      <c r="E82">
        <f t="shared" ca="1" si="9"/>
        <v>0.85963881100224915</v>
      </c>
      <c r="F82">
        <f t="shared" ca="1" si="10"/>
        <v>5</v>
      </c>
      <c r="G82">
        <f t="shared" ca="1" si="11"/>
        <v>-4</v>
      </c>
      <c r="H82">
        <f ca="1">AVERAGE($G$2:G82)</f>
        <v>0.13580246913580246</v>
      </c>
      <c r="I82">
        <f ca="1">_xlfn.VAR.P($G$2:G82)</f>
        <v>15.401310775796372</v>
      </c>
      <c r="AE82">
        <f t="shared" si="13"/>
        <v>80</v>
      </c>
      <c r="AF82" s="66">
        <f t="shared" si="12"/>
        <v>0.99999999999959466</v>
      </c>
    </row>
    <row r="83" spans="1:32" x14ac:dyDescent="0.3">
      <c r="A83">
        <f t="shared" ca="1" si="7"/>
        <v>0.6719965124368309</v>
      </c>
      <c r="B83">
        <f t="shared" ca="1" si="8"/>
        <v>3</v>
      </c>
      <c r="C83">
        <f ca="1">AVERAGE($B$2:B83)</f>
        <v>2.2682926829268291</v>
      </c>
      <c r="D83">
        <f ca="1">_xlfn.VAR.P($B$2:B83)</f>
        <v>6.7572873289708504</v>
      </c>
      <c r="E83">
        <f t="shared" ca="1" si="9"/>
        <v>0.67608486708308591</v>
      </c>
      <c r="F83">
        <f t="shared" ca="1" si="10"/>
        <v>3</v>
      </c>
      <c r="G83">
        <f t="shared" ca="1" si="11"/>
        <v>0</v>
      </c>
      <c r="H83">
        <f ca="1">AVERAGE($G$2:G83)</f>
        <v>0.13414634146341464</v>
      </c>
      <c r="I83">
        <f ca="1">_xlfn.VAR.P($G$2:G83)</f>
        <v>15.213712076145152</v>
      </c>
      <c r="AE83">
        <f t="shared" si="13"/>
        <v>81</v>
      </c>
      <c r="AF83" s="66">
        <f t="shared" si="12"/>
        <v>0.99999999999971623</v>
      </c>
    </row>
    <row r="84" spans="1:32" x14ac:dyDescent="0.3">
      <c r="A84">
        <f t="shared" ca="1" si="7"/>
        <v>0.1584244462898815</v>
      </c>
      <c r="B84">
        <f t="shared" ca="1" si="8"/>
        <v>0</v>
      </c>
      <c r="C84">
        <f ca="1">AVERAGE($B$2:B84)</f>
        <v>2.2409638554216866</v>
      </c>
      <c r="D84">
        <f ca="1">_xlfn.VAR.P($B$2:B84)</f>
        <v>6.7371171432718828</v>
      </c>
      <c r="E84">
        <f t="shared" ca="1" si="9"/>
        <v>0.61474386066753484</v>
      </c>
      <c r="F84">
        <f t="shared" ca="1" si="10"/>
        <v>2</v>
      </c>
      <c r="G84">
        <f t="shared" ca="1" si="11"/>
        <v>-2</v>
      </c>
      <c r="H84">
        <f ca="1">AVERAGE($G$2:G84)</f>
        <v>0.10843373493975904</v>
      </c>
      <c r="I84">
        <f ca="1">_xlfn.VAR.P($G$2:G84)</f>
        <v>15.084627667295688</v>
      </c>
      <c r="AE84">
        <f t="shared" si="13"/>
        <v>82</v>
      </c>
      <c r="AF84" s="66">
        <f t="shared" si="12"/>
        <v>0.99999999999980138</v>
      </c>
    </row>
    <row r="85" spans="1:32" x14ac:dyDescent="0.3">
      <c r="A85">
        <f t="shared" ca="1" si="7"/>
        <v>0.79426160283974467</v>
      </c>
      <c r="B85">
        <f t="shared" ca="1" si="8"/>
        <v>4</v>
      </c>
      <c r="C85">
        <f ca="1">AVERAGE($B$2:B85)</f>
        <v>2.2619047619047619</v>
      </c>
      <c r="D85">
        <f ca="1">_xlfn.VAR.P($B$2:B85)</f>
        <v>6.6933106575963714</v>
      </c>
      <c r="E85">
        <f t="shared" ca="1" si="9"/>
        <v>0.86870387464316867</v>
      </c>
      <c r="F85">
        <f t="shared" ca="1" si="10"/>
        <v>5</v>
      </c>
      <c r="G85">
        <f t="shared" ca="1" si="11"/>
        <v>-1</v>
      </c>
      <c r="H85">
        <f ca="1">AVERAGE($G$2:G85)</f>
        <v>9.5238095238095233E-2</v>
      </c>
      <c r="I85">
        <f ca="1">_xlfn.VAR.P($G$2:G85)</f>
        <v>14.919501133786849</v>
      </c>
      <c r="AE85">
        <f t="shared" si="13"/>
        <v>83</v>
      </c>
      <c r="AF85" s="66">
        <f t="shared" si="12"/>
        <v>0.999999999999861</v>
      </c>
    </row>
    <row r="86" spans="1:32" x14ac:dyDescent="0.3">
      <c r="A86">
        <f t="shared" ca="1" si="7"/>
        <v>0.69441539562191557</v>
      </c>
      <c r="B86">
        <f t="shared" ca="1" si="8"/>
        <v>3</v>
      </c>
      <c r="C86">
        <f ca="1">AVERAGE($B$2:B86)</f>
        <v>2.2705882352941176</v>
      </c>
      <c r="D86">
        <f ca="1">_xlfn.VAR.P($B$2:B86)</f>
        <v>6.6208996539792384</v>
      </c>
      <c r="E86">
        <f t="shared" ca="1" si="9"/>
        <v>0.18062374243575008</v>
      </c>
      <c r="F86">
        <f t="shared" ca="1" si="10"/>
        <v>0</v>
      </c>
      <c r="G86">
        <f t="shared" ca="1" si="11"/>
        <v>3</v>
      </c>
      <c r="H86">
        <f ca="1">AVERAGE($G$2:G86)</f>
        <v>0.12941176470588237</v>
      </c>
      <c r="I86">
        <f ca="1">_xlfn.VAR.P($G$2:G86)</f>
        <v>14.842076124567473</v>
      </c>
      <c r="AE86">
        <f t="shared" si="13"/>
        <v>84</v>
      </c>
      <c r="AF86" s="66">
        <f t="shared" si="12"/>
        <v>0.99999999999990274</v>
      </c>
    </row>
    <row r="87" spans="1:32" x14ac:dyDescent="0.3">
      <c r="A87">
        <f t="shared" ca="1" si="7"/>
        <v>0.80483758432452157</v>
      </c>
      <c r="B87">
        <f t="shared" ca="1" si="8"/>
        <v>4</v>
      </c>
      <c r="C87">
        <f ca="1">AVERAGE($B$2:B87)</f>
        <v>2.2906976744186047</v>
      </c>
      <c r="D87">
        <f ca="1">_xlfn.VAR.P($B$2:B87)</f>
        <v>6.5782855597620333</v>
      </c>
      <c r="E87">
        <f t="shared" ca="1" si="9"/>
        <v>0.1444052827305482</v>
      </c>
      <c r="F87">
        <f t="shared" ca="1" si="10"/>
        <v>0</v>
      </c>
      <c r="G87">
        <f t="shared" ca="1" si="11"/>
        <v>4</v>
      </c>
      <c r="H87">
        <f ca="1">AVERAGE($G$2:G87)</f>
        <v>0.1744186046511628</v>
      </c>
      <c r="I87">
        <f ca="1">_xlfn.VAR.P($G$2:G87)</f>
        <v>14.841671173607356</v>
      </c>
      <c r="AE87">
        <f t="shared" si="13"/>
        <v>85</v>
      </c>
      <c r="AF87" s="66">
        <f t="shared" si="12"/>
        <v>0.99999999999993183</v>
      </c>
    </row>
    <row r="88" spans="1:32" x14ac:dyDescent="0.3">
      <c r="A88">
        <f t="shared" ca="1" si="7"/>
        <v>0.59093043861579497</v>
      </c>
      <c r="B88">
        <f t="shared" ca="1" si="8"/>
        <v>2</v>
      </c>
      <c r="C88">
        <f ca="1">AVERAGE($B$2:B88)</f>
        <v>2.2873563218390807</v>
      </c>
      <c r="D88">
        <f ca="1">_xlfn.VAR.P($B$2:B88)</f>
        <v>6.5036332408508386</v>
      </c>
      <c r="E88">
        <f t="shared" ca="1" si="9"/>
        <v>0.94277536989848854</v>
      </c>
      <c r="F88">
        <f t="shared" ca="1" si="10"/>
        <v>8</v>
      </c>
      <c r="G88">
        <f t="shared" ca="1" si="11"/>
        <v>-6</v>
      </c>
      <c r="H88">
        <f ca="1">AVERAGE($G$2:G88)</f>
        <v>0.10344827586206896</v>
      </c>
      <c r="I88">
        <f ca="1">_xlfn.VAR.P($G$2:G88)</f>
        <v>15.104240982956798</v>
      </c>
      <c r="AE88">
        <f t="shared" si="13"/>
        <v>86</v>
      </c>
      <c r="AF88" s="66">
        <f t="shared" si="12"/>
        <v>0.99999999999995226</v>
      </c>
    </row>
    <row r="89" spans="1:32" x14ac:dyDescent="0.3">
      <c r="A89">
        <f t="shared" ca="1" si="7"/>
        <v>0.96883282381168701</v>
      </c>
      <c r="B89">
        <f t="shared" ca="1" si="8"/>
        <v>9</v>
      </c>
      <c r="C89">
        <f ca="1">AVERAGE($B$2:B89)</f>
        <v>2.3636363636363638</v>
      </c>
      <c r="D89">
        <f ca="1">_xlfn.VAR.P($B$2:B89)</f>
        <v>6.9359504132231402</v>
      </c>
      <c r="E89">
        <f t="shared" ca="1" si="9"/>
        <v>0.94762529394892947</v>
      </c>
      <c r="F89">
        <f t="shared" ca="1" si="10"/>
        <v>8</v>
      </c>
      <c r="G89">
        <f t="shared" ca="1" si="11"/>
        <v>1</v>
      </c>
      <c r="H89">
        <f ca="1">AVERAGE($G$2:G89)</f>
        <v>0.11363636363636363</v>
      </c>
      <c r="I89">
        <f ca="1">_xlfn.VAR.P($G$2:G89)</f>
        <v>14.941632231404959</v>
      </c>
      <c r="AE89">
        <f t="shared" si="13"/>
        <v>87</v>
      </c>
      <c r="AF89" s="66">
        <f t="shared" si="12"/>
        <v>0.99999999999996669</v>
      </c>
    </row>
    <row r="90" spans="1:32" x14ac:dyDescent="0.3">
      <c r="A90">
        <f t="shared" ca="1" si="7"/>
        <v>0.77637398479720554</v>
      </c>
      <c r="B90">
        <f t="shared" ca="1" si="8"/>
        <v>4</v>
      </c>
      <c r="C90">
        <f ca="1">AVERAGE($B$2:B90)</f>
        <v>2.3820224719101124</v>
      </c>
      <c r="D90">
        <f ca="1">_xlfn.VAR.P($B$2:B90)</f>
        <v>6.8877666961242268</v>
      </c>
      <c r="E90">
        <f t="shared" ca="1" si="9"/>
        <v>0.5934363367488279</v>
      </c>
      <c r="F90">
        <f t="shared" ca="1" si="10"/>
        <v>2</v>
      </c>
      <c r="G90">
        <f t="shared" ca="1" si="11"/>
        <v>2</v>
      </c>
      <c r="H90">
        <f ca="1">AVERAGE($G$2:G90)</f>
        <v>0.1348314606741573</v>
      </c>
      <c r="I90">
        <f ca="1">_xlfn.VAR.P($G$2:G90)</f>
        <v>14.813281151369777</v>
      </c>
      <c r="AE90">
        <f t="shared" si="13"/>
        <v>88</v>
      </c>
      <c r="AF90" s="66">
        <f t="shared" si="12"/>
        <v>0.99999999999997669</v>
      </c>
    </row>
    <row r="91" spans="1:32" x14ac:dyDescent="0.3">
      <c r="A91">
        <f t="shared" ca="1" si="7"/>
        <v>0.66312676319464381</v>
      </c>
      <c r="B91">
        <f t="shared" ca="1" si="8"/>
        <v>3</v>
      </c>
      <c r="C91">
        <f ca="1">AVERAGE($B$2:B91)</f>
        <v>2.3888888888888888</v>
      </c>
      <c r="D91">
        <f ca="1">_xlfn.VAR.P($B$2:B91)</f>
        <v>6.8154320987654318</v>
      </c>
      <c r="E91">
        <f t="shared" ca="1" si="9"/>
        <v>0.54011534542410289</v>
      </c>
      <c r="F91">
        <f t="shared" ca="1" si="10"/>
        <v>2</v>
      </c>
      <c r="G91">
        <f t="shared" ca="1" si="11"/>
        <v>1</v>
      </c>
      <c r="H91">
        <f ca="1">AVERAGE($G$2:G91)</f>
        <v>0.14444444444444443</v>
      </c>
      <c r="I91">
        <f ca="1">_xlfn.VAR.P($G$2:G91)</f>
        <v>14.656913580246913</v>
      </c>
      <c r="AE91">
        <f t="shared" si="13"/>
        <v>89</v>
      </c>
      <c r="AF91" s="66">
        <f t="shared" si="12"/>
        <v>0.99999999999998357</v>
      </c>
    </row>
    <row r="92" spans="1:32" x14ac:dyDescent="0.3">
      <c r="A92">
        <f t="shared" ca="1" si="7"/>
        <v>5.2924377832675118E-2</v>
      </c>
      <c r="B92">
        <f t="shared" ca="1" si="8"/>
        <v>0</v>
      </c>
      <c r="C92">
        <f ca="1">AVERAGE($B$2:B92)</f>
        <v>2.3626373626373627</v>
      </c>
      <c r="D92">
        <f ca="1">_xlfn.VAR.P($B$2:B92)</f>
        <v>6.8025600772853521</v>
      </c>
      <c r="E92">
        <f t="shared" ca="1" si="9"/>
        <v>0.89805748332905466</v>
      </c>
      <c r="F92">
        <f t="shared" ca="1" si="10"/>
        <v>6</v>
      </c>
      <c r="G92">
        <f t="shared" ca="1" si="11"/>
        <v>-6</v>
      </c>
      <c r="H92">
        <f ca="1">AVERAGE($G$2:G92)</f>
        <v>7.6923076923076927E-2</v>
      </c>
      <c r="I92">
        <f ca="1">_xlfn.VAR.P($G$2:G92)</f>
        <v>14.906170752324599</v>
      </c>
      <c r="AE92">
        <f t="shared" si="13"/>
        <v>90</v>
      </c>
      <c r="AF92" s="66">
        <f t="shared" si="12"/>
        <v>0.99999999999998856</v>
      </c>
    </row>
    <row r="93" spans="1:32" x14ac:dyDescent="0.3">
      <c r="A93">
        <f t="shared" ca="1" si="7"/>
        <v>0.65701877311351298</v>
      </c>
      <c r="B93">
        <f t="shared" ca="1" si="8"/>
        <v>3</v>
      </c>
      <c r="C93">
        <f ca="1">AVERAGE($B$2:B93)</f>
        <v>2.3695652173913042</v>
      </c>
      <c r="D93">
        <f ca="1">_xlfn.VAR.P($B$2:B93)</f>
        <v>6.7329867674858219</v>
      </c>
      <c r="E93">
        <f t="shared" ca="1" si="9"/>
        <v>0.17883469238684058</v>
      </c>
      <c r="F93">
        <f t="shared" ca="1" si="10"/>
        <v>0</v>
      </c>
      <c r="G93">
        <f t="shared" ca="1" si="11"/>
        <v>3</v>
      </c>
      <c r="H93">
        <f ca="1">AVERAGE($G$2:G93)</f>
        <v>0.10869565217391304</v>
      </c>
      <c r="I93">
        <f ca="1">_xlfn.VAR.P($G$2:G93)</f>
        <v>14.836011342155009</v>
      </c>
      <c r="AE93">
        <f t="shared" si="13"/>
        <v>91</v>
      </c>
      <c r="AF93" s="66">
        <f t="shared" si="12"/>
        <v>0.99999999999999201</v>
      </c>
    </row>
    <row r="94" spans="1:32" x14ac:dyDescent="0.3">
      <c r="A94">
        <f t="shared" ca="1" si="7"/>
        <v>0.31466445045642755</v>
      </c>
      <c r="B94">
        <f t="shared" ca="1" si="8"/>
        <v>1</v>
      </c>
      <c r="C94">
        <f ca="1">AVERAGE($B$2:B94)</f>
        <v>2.3548387096774195</v>
      </c>
      <c r="D94">
        <f ca="1">_xlfn.VAR.P($B$2:B94)</f>
        <v>6.6805411030176902</v>
      </c>
      <c r="E94">
        <f t="shared" ca="1" si="9"/>
        <v>0.33076749881456013</v>
      </c>
      <c r="F94">
        <f t="shared" ca="1" si="10"/>
        <v>1</v>
      </c>
      <c r="G94">
        <f t="shared" ca="1" si="11"/>
        <v>0</v>
      </c>
      <c r="H94">
        <f ca="1">AVERAGE($G$2:G94)</f>
        <v>0.10752688172043011</v>
      </c>
      <c r="I94">
        <f ca="1">_xlfn.VAR.P($G$2:G94)</f>
        <v>14.676610012718234</v>
      </c>
      <c r="AE94">
        <f t="shared" si="13"/>
        <v>92</v>
      </c>
      <c r="AF94" s="66">
        <f t="shared" si="12"/>
        <v>0.99999999999999445</v>
      </c>
    </row>
    <row r="95" spans="1:32" x14ac:dyDescent="0.3">
      <c r="A95">
        <f t="shared" ca="1" si="7"/>
        <v>0.64774688401429859</v>
      </c>
      <c r="B95">
        <f t="shared" ca="1" si="8"/>
        <v>2</v>
      </c>
      <c r="C95">
        <f ca="1">AVERAGE($B$2:B95)</f>
        <v>2.3510638297872339</v>
      </c>
      <c r="D95">
        <f ca="1">_xlfn.VAR.P($B$2:B95)</f>
        <v>6.6107967406066095</v>
      </c>
      <c r="E95">
        <f t="shared" ca="1" si="9"/>
        <v>3.3726073182498206E-2</v>
      </c>
      <c r="F95">
        <f t="shared" ca="1" si="10"/>
        <v>0</v>
      </c>
      <c r="G95">
        <f t="shared" ca="1" si="11"/>
        <v>2</v>
      </c>
      <c r="H95">
        <f ca="1">AVERAGE($G$2:G95)</f>
        <v>0.1276595744680851</v>
      </c>
      <c r="I95">
        <f ca="1">_xlfn.VAR.P($G$2:G95)</f>
        <v>14.558171118153011</v>
      </c>
      <c r="AE95">
        <f t="shared" si="13"/>
        <v>93</v>
      </c>
      <c r="AF95" s="66">
        <f t="shared" si="12"/>
        <v>0.999999999999996</v>
      </c>
    </row>
    <row r="96" spans="1:32" x14ac:dyDescent="0.3">
      <c r="A96">
        <f t="shared" ca="1" si="7"/>
        <v>0.46467890482349361</v>
      </c>
      <c r="B96">
        <f t="shared" ca="1" si="8"/>
        <v>1</v>
      </c>
      <c r="C96">
        <f ca="1">AVERAGE($B$2:B96)</f>
        <v>2.3368421052631581</v>
      </c>
      <c r="D96">
        <f ca="1">_xlfn.VAR.P($B$2:B96)</f>
        <v>6.5602216066481995</v>
      </c>
      <c r="E96">
        <f t="shared" ca="1" si="9"/>
        <v>0.86921849473992219</v>
      </c>
      <c r="F96">
        <f t="shared" ca="1" si="10"/>
        <v>5</v>
      </c>
      <c r="G96">
        <f t="shared" ca="1" si="11"/>
        <v>-4</v>
      </c>
      <c r="H96">
        <f ca="1">AVERAGE($G$2:G96)</f>
        <v>8.4210526315789472E-2</v>
      </c>
      <c r="I96">
        <f ca="1">_xlfn.VAR.P($G$2:G96)</f>
        <v>14.582382271468145</v>
      </c>
      <c r="AE96">
        <f t="shared" si="13"/>
        <v>94</v>
      </c>
      <c r="AF96" s="66">
        <f t="shared" si="12"/>
        <v>0.99999999999999722</v>
      </c>
    </row>
    <row r="97" spans="1:32" x14ac:dyDescent="0.3">
      <c r="A97">
        <f t="shared" ca="1" si="7"/>
        <v>0.27527934568953072</v>
      </c>
      <c r="B97">
        <f t="shared" ca="1" si="8"/>
        <v>0</v>
      </c>
      <c r="C97">
        <f ca="1">AVERAGE($B$2:B97)</f>
        <v>2.3125</v>
      </c>
      <c r="D97">
        <f ca="1">_xlfn.VAR.P($B$2:B97)</f>
        <v>6.548177083333333</v>
      </c>
      <c r="E97">
        <f t="shared" ca="1" si="9"/>
        <v>0.45101495125616908</v>
      </c>
      <c r="F97">
        <f t="shared" ca="1" si="10"/>
        <v>1</v>
      </c>
      <c r="G97">
        <f t="shared" ca="1" si="11"/>
        <v>-1</v>
      </c>
      <c r="H97">
        <f ca="1">AVERAGE($G$2:G97)</f>
        <v>7.2916666666666671E-2</v>
      </c>
      <c r="I97">
        <f ca="1">_xlfn.VAR.P($G$2:G97)</f>
        <v>14.442599826388889</v>
      </c>
      <c r="AE97">
        <f t="shared" si="13"/>
        <v>95</v>
      </c>
      <c r="AF97" s="66">
        <f t="shared" si="12"/>
        <v>0.999999999999998</v>
      </c>
    </row>
    <row r="98" spans="1:32" x14ac:dyDescent="0.3">
      <c r="A98">
        <f t="shared" ca="1" si="7"/>
        <v>0.91080515069711865</v>
      </c>
      <c r="B98">
        <f t="shared" ca="1" si="8"/>
        <v>6</v>
      </c>
      <c r="C98">
        <f ca="1">AVERAGE($B$2:B98)</f>
        <v>2.3505154639175259</v>
      </c>
      <c r="D98">
        <f ca="1">_xlfn.VAR.P($B$2:B98)</f>
        <v>6.6194069507917952</v>
      </c>
      <c r="E98">
        <f t="shared" ca="1" si="9"/>
        <v>0.87314878139868346</v>
      </c>
      <c r="F98">
        <f t="shared" ca="1" si="10"/>
        <v>5</v>
      </c>
      <c r="G98">
        <f t="shared" ca="1" si="11"/>
        <v>1</v>
      </c>
      <c r="H98">
        <f ca="1">AVERAGE($G$2:G98)</f>
        <v>8.247422680412371E-2</v>
      </c>
      <c r="I98">
        <f ca="1">_xlfn.VAR.P($G$2:G98)</f>
        <v>14.302476352428526</v>
      </c>
      <c r="AE98">
        <f t="shared" si="13"/>
        <v>96</v>
      </c>
      <c r="AF98" s="66">
        <f t="shared" si="12"/>
        <v>0.99999999999999867</v>
      </c>
    </row>
    <row r="99" spans="1:32" x14ac:dyDescent="0.3">
      <c r="A99">
        <f t="shared" ca="1" si="7"/>
        <v>0.90527396407082461</v>
      </c>
      <c r="B99">
        <f t="shared" ca="1" si="8"/>
        <v>6</v>
      </c>
      <c r="C99">
        <f ca="1">AVERAGE($B$2:B99)</f>
        <v>2.3877551020408165</v>
      </c>
      <c r="D99">
        <f ca="1">_xlfn.VAR.P($B$2:B99)</f>
        <v>6.6863806747188672</v>
      </c>
      <c r="E99">
        <f t="shared" ca="1" si="9"/>
        <v>0.34523127192780756</v>
      </c>
      <c r="F99">
        <f t="shared" ca="1" si="10"/>
        <v>1</v>
      </c>
      <c r="G99">
        <f t="shared" ca="1" si="11"/>
        <v>5</v>
      </c>
      <c r="H99">
        <f ca="1">AVERAGE($G$2:G99)</f>
        <v>0.1326530612244898</v>
      </c>
      <c r="I99">
        <f ca="1">_xlfn.VAR.P($G$2:G99)</f>
        <v>14.400770512286547</v>
      </c>
      <c r="AE99">
        <f t="shared" si="13"/>
        <v>97</v>
      </c>
      <c r="AF99" s="66">
        <f t="shared" si="12"/>
        <v>0.99999999999999911</v>
      </c>
    </row>
    <row r="100" spans="1:32" x14ac:dyDescent="0.3">
      <c r="A100">
        <f t="shared" ca="1" si="7"/>
        <v>0.32454172326772546</v>
      </c>
      <c r="B100">
        <f t="shared" ca="1" si="8"/>
        <v>1</v>
      </c>
      <c r="C100">
        <f ca="1">AVERAGE($B$2:B100)</f>
        <v>2.3737373737373737</v>
      </c>
      <c r="D100">
        <f ca="1">_xlfn.VAR.P($B$2:B100)</f>
        <v>6.6380981532496683</v>
      </c>
      <c r="E100">
        <f t="shared" ca="1" si="9"/>
        <v>0.2434171314027066</v>
      </c>
      <c r="F100">
        <f t="shared" ca="1" si="10"/>
        <v>0</v>
      </c>
      <c r="G100">
        <f t="shared" ca="1" si="11"/>
        <v>1</v>
      </c>
      <c r="H100">
        <f ca="1">AVERAGE($G$2:G100)</f>
        <v>0.14141414141414141</v>
      </c>
      <c r="I100">
        <f ca="1">_xlfn.VAR.P($G$2:G100)</f>
        <v>14.262830323436384</v>
      </c>
      <c r="AE100">
        <f t="shared" si="13"/>
        <v>98</v>
      </c>
      <c r="AF100" s="66">
        <f t="shared" si="12"/>
        <v>0.99999999999999933</v>
      </c>
    </row>
    <row r="101" spans="1:32" x14ac:dyDescent="0.3">
      <c r="A101">
        <f t="shared" ca="1" si="7"/>
        <v>9.5460852842896959E-2</v>
      </c>
      <c r="B101">
        <f t="shared" ca="1" si="8"/>
        <v>0</v>
      </c>
      <c r="C101">
        <f ca="1">AVERAGE($B$2:B101)</f>
        <v>2.35</v>
      </c>
      <c r="D101">
        <f ca="1">_xlfn.VAR.P($B$2:B101)</f>
        <v>6.6275000000000004</v>
      </c>
      <c r="E101">
        <f t="shared" ca="1" si="9"/>
        <v>0.47560014386858107</v>
      </c>
      <c r="F101">
        <f t="shared" ca="1" si="10"/>
        <v>1</v>
      </c>
      <c r="G101">
        <f t="shared" ca="1" si="11"/>
        <v>-1</v>
      </c>
      <c r="H101">
        <f ca="1">AVERAGE($G$2:G101)</f>
        <v>0.13</v>
      </c>
      <c r="I101">
        <f ca="1">_xlfn.VAR.P($G$2:G101)</f>
        <v>14.133100000000001</v>
      </c>
      <c r="AE101">
        <f t="shared" si="13"/>
        <v>99</v>
      </c>
      <c r="AF101" s="66">
        <f t="shared" si="12"/>
        <v>0.99999999999999956</v>
      </c>
    </row>
    <row r="102" spans="1:32" x14ac:dyDescent="0.3">
      <c r="A102">
        <f t="shared" ca="1" si="7"/>
        <v>0.22499575888742984</v>
      </c>
      <c r="B102">
        <f t="shared" ca="1" si="8"/>
        <v>0</v>
      </c>
      <c r="C102">
        <f ca="1">AVERAGE($B$2:B102)</f>
        <v>2.3267326732673266</v>
      </c>
      <c r="D102">
        <f ca="1">_xlfn.VAR.P($B$2:B102)</f>
        <v>6.6160180374473088</v>
      </c>
      <c r="E102">
        <f t="shared" ca="1" si="9"/>
        <v>0.82838937496705045</v>
      </c>
      <c r="F102">
        <f t="shared" ca="1" si="10"/>
        <v>4</v>
      </c>
      <c r="G102">
        <f t="shared" ca="1" si="11"/>
        <v>-4</v>
      </c>
      <c r="H102">
        <f ca="1">AVERAGE($G$2:G102)</f>
        <v>8.9108910891089105E-2</v>
      </c>
      <c r="I102">
        <f ca="1">_xlfn.VAR.P($G$2:G102)</f>
        <v>14.160376433682972</v>
      </c>
      <c r="AE102">
        <f t="shared" si="13"/>
        <v>100</v>
      </c>
      <c r="AF102" s="66">
        <f t="shared" si="12"/>
        <v>0.99999999999999967</v>
      </c>
    </row>
    <row r="103" spans="1:32" x14ac:dyDescent="0.3">
      <c r="A103">
        <f t="shared" ca="1" si="7"/>
        <v>0.97053978496190618</v>
      </c>
      <c r="B103">
        <f t="shared" ca="1" si="8"/>
        <v>9</v>
      </c>
      <c r="C103">
        <f ca="1">AVERAGE($B$2:B103)</f>
        <v>2.392156862745098</v>
      </c>
      <c r="D103">
        <f ca="1">_xlfn.VAR.P($B$2:B103)</f>
        <v>6.9834678969627069</v>
      </c>
      <c r="E103">
        <f t="shared" ca="1" si="9"/>
        <v>0.15594068456216825</v>
      </c>
      <c r="F103">
        <f t="shared" ca="1" si="10"/>
        <v>0</v>
      </c>
      <c r="G103">
        <f t="shared" ca="1" si="11"/>
        <v>9</v>
      </c>
      <c r="H103">
        <f ca="1">AVERAGE($G$2:G103)</f>
        <v>0.17647058823529413</v>
      </c>
      <c r="I103">
        <f ca="1">_xlfn.VAR.P($G$2:G103)</f>
        <v>14.792387543252595</v>
      </c>
      <c r="AE103">
        <f t="shared" si="13"/>
        <v>101</v>
      </c>
      <c r="AF103" s="66">
        <f t="shared" si="12"/>
        <v>0.99999999999999978</v>
      </c>
    </row>
    <row r="104" spans="1:32" x14ac:dyDescent="0.3">
      <c r="A104">
        <f t="shared" ca="1" si="7"/>
        <v>0.92534095527317395</v>
      </c>
      <c r="B104">
        <f t="shared" ca="1" si="8"/>
        <v>7</v>
      </c>
      <c r="C104">
        <f ca="1">AVERAGE($B$2:B104)</f>
        <v>2.436893203883495</v>
      </c>
      <c r="D104">
        <f ca="1">_xlfn.VAR.P($B$2:B104)</f>
        <v>7.1198039400509003</v>
      </c>
      <c r="E104">
        <f t="shared" ca="1" si="9"/>
        <v>0.2698528850147035</v>
      </c>
      <c r="F104">
        <f t="shared" ca="1" si="10"/>
        <v>0</v>
      </c>
      <c r="G104">
        <f t="shared" ca="1" si="11"/>
        <v>7</v>
      </c>
      <c r="H104">
        <f ca="1">AVERAGE($G$2:G104)</f>
        <v>0.24271844660194175</v>
      </c>
      <c r="I104">
        <f ca="1">_xlfn.VAR.P($G$2:G104)</f>
        <v>15.096427561504383</v>
      </c>
      <c r="AE104">
        <f t="shared" si="13"/>
        <v>102</v>
      </c>
      <c r="AF104" s="66">
        <f t="shared" si="12"/>
        <v>0.99999999999999978</v>
      </c>
    </row>
    <row r="105" spans="1:32" x14ac:dyDescent="0.3">
      <c r="A105">
        <f t="shared" ca="1" si="7"/>
        <v>0.13070383957177656</v>
      </c>
      <c r="B105">
        <f t="shared" ca="1" si="8"/>
        <v>0</v>
      </c>
      <c r="C105">
        <f ca="1">AVERAGE($B$2:B105)</f>
        <v>2.4134615384615383</v>
      </c>
      <c r="D105">
        <f ca="1">_xlfn.VAR.P($B$2:B105)</f>
        <v>7.1078957100591715</v>
      </c>
      <c r="E105">
        <f t="shared" ca="1" si="9"/>
        <v>0.63778102939439518</v>
      </c>
      <c r="F105">
        <f t="shared" ca="1" si="10"/>
        <v>2</v>
      </c>
      <c r="G105">
        <f t="shared" ca="1" si="11"/>
        <v>-2</v>
      </c>
      <c r="H105">
        <f ca="1">AVERAGE($G$2:G105)</f>
        <v>0.22115384615384615</v>
      </c>
      <c r="I105">
        <f ca="1">_xlfn.VAR.P($G$2:G105)</f>
        <v>14.999167899408285</v>
      </c>
      <c r="AE105">
        <f t="shared" si="13"/>
        <v>103</v>
      </c>
      <c r="AF105" s="66">
        <f t="shared" si="12"/>
        <v>0.99999999999999989</v>
      </c>
    </row>
    <row r="106" spans="1:32" x14ac:dyDescent="0.3">
      <c r="A106">
        <f t="shared" ca="1" si="7"/>
        <v>0.78452997139232439</v>
      </c>
      <c r="B106">
        <f t="shared" ca="1" si="8"/>
        <v>4</v>
      </c>
      <c r="C106">
        <f ca="1">AVERAGE($B$2:B106)</f>
        <v>2.4285714285714284</v>
      </c>
      <c r="D106">
        <f ca="1">_xlfn.VAR.P($B$2:B106)</f>
        <v>7.0639455782312925</v>
      </c>
      <c r="E106">
        <f t="shared" ca="1" si="9"/>
        <v>0.34080197823957947</v>
      </c>
      <c r="F106">
        <f t="shared" ca="1" si="10"/>
        <v>1</v>
      </c>
      <c r="G106">
        <f t="shared" ca="1" si="11"/>
        <v>3</v>
      </c>
      <c r="H106">
        <f ca="1">AVERAGE($G$2:G106)</f>
        <v>0.24761904761904763</v>
      </c>
      <c r="I106">
        <f ca="1">_xlfn.VAR.P($G$2:G106)</f>
        <v>14.929160997732426</v>
      </c>
      <c r="AE106">
        <f t="shared" si="13"/>
        <v>104</v>
      </c>
      <c r="AF106" s="66">
        <f t="shared" si="12"/>
        <v>1</v>
      </c>
    </row>
    <row r="107" spans="1:32" x14ac:dyDescent="0.3">
      <c r="A107">
        <f t="shared" ca="1" si="7"/>
        <v>0.29777870092645531</v>
      </c>
      <c r="B107">
        <f t="shared" ca="1" si="8"/>
        <v>0</v>
      </c>
      <c r="C107">
        <f ca="1">AVERAGE($B$2:B107)</f>
        <v>2.4056603773584904</v>
      </c>
      <c r="D107">
        <f ca="1">_xlfn.VAR.P($B$2:B107)</f>
        <v>7.0524207903168383</v>
      </c>
      <c r="E107">
        <f t="shared" ca="1" si="9"/>
        <v>0.47171687318565603</v>
      </c>
      <c r="F107">
        <f t="shared" ca="1" si="10"/>
        <v>1</v>
      </c>
      <c r="G107">
        <f t="shared" ca="1" si="11"/>
        <v>-1</v>
      </c>
      <c r="H107">
        <f ca="1">AVERAGE($G$2:G107)</f>
        <v>0.23584905660377359</v>
      </c>
      <c r="I107">
        <f ca="1">_xlfn.VAR.P($G$2:G107)</f>
        <v>14.802865788536845</v>
      </c>
      <c r="AE107">
        <f t="shared" si="13"/>
        <v>105</v>
      </c>
      <c r="AF107" s="66">
        <f t="shared" si="12"/>
        <v>1</v>
      </c>
    </row>
    <row r="108" spans="1:32" x14ac:dyDescent="0.3">
      <c r="A108">
        <f t="shared" ca="1" si="7"/>
        <v>0.99649819172158405</v>
      </c>
      <c r="B108">
        <f t="shared" ca="1" si="8"/>
        <v>15</v>
      </c>
      <c r="C108">
        <f ca="1">AVERAGE($B$2:B108)</f>
        <v>2.5233644859813085</v>
      </c>
      <c r="D108">
        <f ca="1">_xlfn.VAR.P($B$2:B108)</f>
        <v>8.4550615774303441</v>
      </c>
      <c r="E108">
        <f t="shared" ca="1" si="9"/>
        <v>0.17450052940730842</v>
      </c>
      <c r="F108">
        <f t="shared" ca="1" si="10"/>
        <v>0</v>
      </c>
      <c r="G108">
        <f t="shared" ca="1" si="11"/>
        <v>15</v>
      </c>
      <c r="H108">
        <f ca="1">AVERAGE($G$2:G108)</f>
        <v>0.37383177570093457</v>
      </c>
      <c r="I108">
        <f ca="1">_xlfn.VAR.P($G$2:G108)</f>
        <v>16.682679710018341</v>
      </c>
      <c r="AE108">
        <f t="shared" si="13"/>
        <v>106</v>
      </c>
      <c r="AF108" s="66">
        <f t="shared" si="12"/>
        <v>1</v>
      </c>
    </row>
    <row r="109" spans="1:32" x14ac:dyDescent="0.3">
      <c r="A109">
        <f t="shared" ca="1" si="7"/>
        <v>0.69790562995715844</v>
      </c>
      <c r="B109">
        <f t="shared" ca="1" si="8"/>
        <v>3</v>
      </c>
      <c r="C109">
        <f ca="1">AVERAGE($B$2:B109)</f>
        <v>2.5277777777777777</v>
      </c>
      <c r="D109">
        <f ca="1">_xlfn.VAR.P($B$2:B109)</f>
        <v>8.3788580246913575</v>
      </c>
      <c r="E109">
        <f t="shared" ca="1" si="9"/>
        <v>0.84302797355536474</v>
      </c>
      <c r="F109">
        <f t="shared" ca="1" si="10"/>
        <v>5</v>
      </c>
      <c r="G109">
        <f t="shared" ca="1" si="11"/>
        <v>-2</v>
      </c>
      <c r="H109">
        <f ca="1">AVERAGE($G$2:G109)</f>
        <v>0.35185185185185186</v>
      </c>
      <c r="I109">
        <f ca="1">_xlfn.VAR.P($G$2:G109)</f>
        <v>16.579903978052126</v>
      </c>
      <c r="AE109">
        <f t="shared" si="13"/>
        <v>107</v>
      </c>
      <c r="AF109" s="66">
        <f t="shared" si="12"/>
        <v>1</v>
      </c>
    </row>
    <row r="110" spans="1:32" x14ac:dyDescent="0.3">
      <c r="A110">
        <f t="shared" ca="1" si="7"/>
        <v>0.52948669221448785</v>
      </c>
      <c r="B110">
        <f t="shared" ca="1" si="8"/>
        <v>2</v>
      </c>
      <c r="C110">
        <f ca="1">AVERAGE($B$2:B110)</f>
        <v>2.522935779816514</v>
      </c>
      <c r="D110">
        <f ca="1">_xlfn.VAR.P($B$2:B110)</f>
        <v>8.3045198215638418</v>
      </c>
      <c r="E110">
        <f t="shared" ca="1" si="9"/>
        <v>0.63816958201834373</v>
      </c>
      <c r="F110">
        <f t="shared" ca="1" si="10"/>
        <v>2</v>
      </c>
      <c r="G110">
        <f t="shared" ca="1" si="11"/>
        <v>0</v>
      </c>
      <c r="H110">
        <f ca="1">AVERAGE($G$2:G110)</f>
        <v>0.34862385321100919</v>
      </c>
      <c r="I110">
        <f ca="1">_xlfn.VAR.P($G$2:G110)</f>
        <v>16.428920124568638</v>
      </c>
      <c r="AE110">
        <f t="shared" si="13"/>
        <v>108</v>
      </c>
      <c r="AF110" s="66">
        <f t="shared" si="12"/>
        <v>1</v>
      </c>
    </row>
    <row r="111" spans="1:32" x14ac:dyDescent="0.3">
      <c r="A111">
        <f t="shared" ca="1" si="7"/>
        <v>1.8992622593885233E-2</v>
      </c>
      <c r="B111">
        <f t="shared" ca="1" si="8"/>
        <v>0</v>
      </c>
      <c r="C111">
        <f ca="1">AVERAGE($B$2:B111)</f>
        <v>2.5</v>
      </c>
      <c r="D111">
        <f ca="1">_xlfn.VAR.P($B$2:B111)</f>
        <v>8.286363636363637</v>
      </c>
      <c r="E111">
        <f t="shared" ca="1" si="9"/>
        <v>0.64635552413749386</v>
      </c>
      <c r="F111">
        <f t="shared" ca="1" si="10"/>
        <v>2</v>
      </c>
      <c r="G111">
        <f t="shared" ca="1" si="11"/>
        <v>-2</v>
      </c>
      <c r="H111">
        <f ca="1">AVERAGE($G$2:G111)</f>
        <v>0.32727272727272727</v>
      </c>
      <c r="I111">
        <f ca="1">_xlfn.VAR.P($G$2:G111)</f>
        <v>16.329256198347107</v>
      </c>
      <c r="AE111">
        <f t="shared" si="13"/>
        <v>109</v>
      </c>
      <c r="AF111" s="66">
        <f t="shared" si="12"/>
        <v>1</v>
      </c>
    </row>
    <row r="112" spans="1:32" x14ac:dyDescent="0.3">
      <c r="A112">
        <f t="shared" ca="1" si="7"/>
        <v>0.84608341185672886</v>
      </c>
      <c r="B112">
        <f t="shared" ca="1" si="8"/>
        <v>5</v>
      </c>
      <c r="C112">
        <f ca="1">AVERAGE($B$2:B112)</f>
        <v>2.5225225225225225</v>
      </c>
      <c r="D112">
        <f ca="1">_xlfn.VAR.P($B$2:B112)</f>
        <v>8.2675107539972412</v>
      </c>
      <c r="E112">
        <f t="shared" ca="1" si="9"/>
        <v>0.14925795941636766</v>
      </c>
      <c r="F112">
        <f t="shared" ca="1" si="10"/>
        <v>0</v>
      </c>
      <c r="G112">
        <f t="shared" ca="1" si="11"/>
        <v>5</v>
      </c>
      <c r="H112">
        <f ca="1">AVERAGE($G$2:G112)</f>
        <v>0.36936936936936937</v>
      </c>
      <c r="I112">
        <f ca="1">_xlfn.VAR.P($G$2:G112)</f>
        <v>16.377079782485186</v>
      </c>
      <c r="AE112">
        <f t="shared" si="13"/>
        <v>110</v>
      </c>
      <c r="AF112" s="66">
        <f t="shared" si="12"/>
        <v>1</v>
      </c>
    </row>
    <row r="113" spans="1:32" x14ac:dyDescent="0.3">
      <c r="A113">
        <f t="shared" ca="1" si="7"/>
        <v>0.60031632123457823</v>
      </c>
      <c r="B113">
        <f t="shared" ca="1" si="8"/>
        <v>2</v>
      </c>
      <c r="C113">
        <f ca="1">AVERAGE($B$2:B113)</f>
        <v>2.5178571428571428</v>
      </c>
      <c r="D113">
        <f ca="1">_xlfn.VAR.P($B$2:B113)</f>
        <v>8.1961096938775508</v>
      </c>
      <c r="E113">
        <f t="shared" ca="1" si="9"/>
        <v>0.58844401924948209</v>
      </c>
      <c r="F113">
        <f t="shared" ca="1" si="10"/>
        <v>2</v>
      </c>
      <c r="G113">
        <f t="shared" ca="1" si="11"/>
        <v>0</v>
      </c>
      <c r="H113">
        <f ca="1">AVERAGE($G$2:G113)</f>
        <v>0.36607142857142855</v>
      </c>
      <c r="I113">
        <f ca="1">_xlfn.VAR.P($G$2:G113)</f>
        <v>16.232063137755102</v>
      </c>
      <c r="AE113">
        <f t="shared" si="13"/>
        <v>111</v>
      </c>
      <c r="AF113" s="66">
        <f t="shared" si="12"/>
        <v>1</v>
      </c>
    </row>
    <row r="114" spans="1:32" x14ac:dyDescent="0.3">
      <c r="A114">
        <f t="shared" ca="1" si="7"/>
        <v>0.99533076442832069</v>
      </c>
      <c r="B114">
        <f t="shared" ca="1" si="8"/>
        <v>15</v>
      </c>
      <c r="C114">
        <f ca="1">AVERAGE($B$2:B114)</f>
        <v>2.6283185840707963</v>
      </c>
      <c r="D114">
        <f ca="1">_xlfn.VAR.P($B$2:B114)</f>
        <v>9.4901715091236589</v>
      </c>
      <c r="E114">
        <f t="shared" ca="1" si="9"/>
        <v>0.84935193636411999</v>
      </c>
      <c r="F114">
        <f t="shared" ca="1" si="10"/>
        <v>5</v>
      </c>
      <c r="G114">
        <f t="shared" ca="1" si="11"/>
        <v>10</v>
      </c>
      <c r="H114">
        <f ca="1">AVERAGE($G$2:G114)</f>
        <v>0.45132743362831856</v>
      </c>
      <c r="I114">
        <f ca="1">_xlfn.VAR.P($G$2:G114)</f>
        <v>16.902498237919961</v>
      </c>
      <c r="AE114">
        <f t="shared" si="13"/>
        <v>112</v>
      </c>
      <c r="AF114" s="66">
        <f t="shared" si="12"/>
        <v>1</v>
      </c>
    </row>
    <row r="115" spans="1:32" x14ac:dyDescent="0.3">
      <c r="A115">
        <f t="shared" ca="1" si="7"/>
        <v>0.13208669632554249</v>
      </c>
      <c r="B115">
        <f t="shared" ca="1" si="8"/>
        <v>0</v>
      </c>
      <c r="C115">
        <f ca="1">AVERAGE($B$2:B115)</f>
        <v>2.6052631578947367</v>
      </c>
      <c r="D115">
        <f ca="1">_xlfn.VAR.P($B$2:B115)</f>
        <v>9.4669898430286246</v>
      </c>
      <c r="E115">
        <f t="shared" ca="1" si="9"/>
        <v>0.21116004506114039</v>
      </c>
      <c r="F115">
        <f t="shared" ca="1" si="10"/>
        <v>0</v>
      </c>
      <c r="G115">
        <f t="shared" ca="1" si="11"/>
        <v>0</v>
      </c>
      <c r="H115">
        <f ca="1">AVERAGE($G$2:G115)</f>
        <v>0.44736842105263158</v>
      </c>
      <c r="I115">
        <f ca="1">_xlfn.VAR.P($G$2:G115)</f>
        <v>16.756001846722068</v>
      </c>
      <c r="AE115">
        <f t="shared" si="13"/>
        <v>113</v>
      </c>
      <c r="AF115" s="66">
        <f t="shared" si="12"/>
        <v>1</v>
      </c>
    </row>
    <row r="116" spans="1:32" x14ac:dyDescent="0.3">
      <c r="A116">
        <f t="shared" ca="1" si="7"/>
        <v>0.188842913756747</v>
      </c>
      <c r="B116">
        <f t="shared" ca="1" si="8"/>
        <v>0</v>
      </c>
      <c r="C116">
        <f ca="1">AVERAGE($B$2:B116)</f>
        <v>2.5826086956521741</v>
      </c>
      <c r="D116">
        <f ca="1">_xlfn.VAR.P($B$2:B116)</f>
        <v>9.4431758034026458</v>
      </c>
      <c r="E116">
        <f t="shared" ca="1" si="9"/>
        <v>0.95214784769509742</v>
      </c>
      <c r="F116">
        <f t="shared" ca="1" si="10"/>
        <v>8</v>
      </c>
      <c r="G116">
        <f t="shared" ca="1" si="11"/>
        <v>-8</v>
      </c>
      <c r="H116">
        <f ca="1">AVERAGE($G$2:G116)</f>
        <v>0.37391304347826088</v>
      </c>
      <c r="I116">
        <f ca="1">_xlfn.VAR.P($G$2:G116)</f>
        <v>17.225406427221174</v>
      </c>
      <c r="AE116">
        <f t="shared" si="13"/>
        <v>114</v>
      </c>
      <c r="AF116" s="66">
        <f t="shared" si="12"/>
        <v>1</v>
      </c>
    </row>
    <row r="117" spans="1:32" x14ac:dyDescent="0.3">
      <c r="A117">
        <f t="shared" ca="1" si="7"/>
        <v>0.19050239727016005</v>
      </c>
      <c r="B117">
        <f t="shared" ca="1" si="8"/>
        <v>0</v>
      </c>
      <c r="C117">
        <f ca="1">AVERAGE($B$2:B117)</f>
        <v>2.5603448275862069</v>
      </c>
      <c r="D117">
        <f ca="1">_xlfn.VAR.P($B$2:B117)</f>
        <v>9.4187722948870398</v>
      </c>
      <c r="E117">
        <f t="shared" ca="1" si="9"/>
        <v>4.7744290330643313E-2</v>
      </c>
      <c r="F117">
        <f t="shared" ca="1" si="10"/>
        <v>0</v>
      </c>
      <c r="G117">
        <f t="shared" ca="1" si="11"/>
        <v>0</v>
      </c>
      <c r="H117">
        <f ca="1">AVERAGE($G$2:G117)</f>
        <v>0.37068965517241381</v>
      </c>
      <c r="I117">
        <f ca="1">_xlfn.VAR.P($G$2:G117)</f>
        <v>17.078106420927469</v>
      </c>
      <c r="AE117">
        <f t="shared" si="13"/>
        <v>115</v>
      </c>
      <c r="AF117" s="66">
        <f t="shared" si="12"/>
        <v>1</v>
      </c>
    </row>
    <row r="118" spans="1:32" x14ac:dyDescent="0.3">
      <c r="A118">
        <f t="shared" ca="1" si="7"/>
        <v>3.7482993850718183E-2</v>
      </c>
      <c r="B118">
        <f t="shared" ca="1" si="8"/>
        <v>0</v>
      </c>
      <c r="C118">
        <f ca="1">AVERAGE($B$2:B118)</f>
        <v>2.5384615384615383</v>
      </c>
      <c r="D118">
        <f ca="1">_xlfn.VAR.P($B$2:B118)</f>
        <v>9.3938198553583163</v>
      </c>
      <c r="E118">
        <f t="shared" ca="1" si="9"/>
        <v>0.52906871188370597</v>
      </c>
      <c r="F118">
        <f t="shared" ca="1" si="10"/>
        <v>2</v>
      </c>
      <c r="G118">
        <f t="shared" ca="1" si="11"/>
        <v>-2</v>
      </c>
      <c r="H118">
        <f ca="1">AVERAGE($G$2:G118)</f>
        <v>0.3504273504273504</v>
      </c>
      <c r="I118">
        <f ca="1">_xlfn.VAR.P($G$2:G118)</f>
        <v>16.979764774636571</v>
      </c>
      <c r="AE118">
        <f t="shared" si="13"/>
        <v>116</v>
      </c>
      <c r="AF118" s="66">
        <f t="shared" si="12"/>
        <v>1</v>
      </c>
    </row>
    <row r="119" spans="1:32" x14ac:dyDescent="0.3">
      <c r="A119">
        <f t="shared" ca="1" si="7"/>
        <v>0.21311673886122728</v>
      </c>
      <c r="B119">
        <f t="shared" ca="1" si="8"/>
        <v>0</v>
      </c>
      <c r="C119">
        <f ca="1">AVERAGE($B$2:B119)</f>
        <v>2.5169491525423728</v>
      </c>
      <c r="D119">
        <f ca="1">_xlfn.VAR.P($B$2:B119)</f>
        <v>9.3683567940247059</v>
      </c>
      <c r="E119">
        <f t="shared" ca="1" si="9"/>
        <v>0.42025272703836503</v>
      </c>
      <c r="F119">
        <f t="shared" ca="1" si="10"/>
        <v>1</v>
      </c>
      <c r="G119">
        <f t="shared" ca="1" si="11"/>
        <v>-1</v>
      </c>
      <c r="H119">
        <f ca="1">AVERAGE($G$2:G119)</f>
        <v>0.33898305084745761</v>
      </c>
      <c r="I119">
        <f ca="1">_xlfn.VAR.P($G$2:G119)</f>
        <v>16.851192186153405</v>
      </c>
      <c r="AE119">
        <f t="shared" si="13"/>
        <v>117</v>
      </c>
      <c r="AF119" s="66">
        <f t="shared" si="12"/>
        <v>1</v>
      </c>
    </row>
    <row r="120" spans="1:32" x14ac:dyDescent="0.3">
      <c r="A120">
        <f t="shared" ca="1" si="7"/>
        <v>1.8746312856007807E-2</v>
      </c>
      <c r="B120">
        <f t="shared" ca="1" si="8"/>
        <v>0</v>
      </c>
      <c r="C120">
        <f ca="1">AVERAGE($B$2:B120)</f>
        <v>2.4957983193277311</v>
      </c>
      <c r="D120">
        <f ca="1">_xlfn.VAR.P($B$2:B120)</f>
        <v>9.3424193206694444</v>
      </c>
      <c r="E120">
        <f t="shared" ca="1" si="9"/>
        <v>0.63592713501737852</v>
      </c>
      <c r="F120">
        <f t="shared" ca="1" si="10"/>
        <v>2</v>
      </c>
      <c r="G120">
        <f t="shared" ca="1" si="11"/>
        <v>-2</v>
      </c>
      <c r="H120">
        <f ca="1">AVERAGE($G$2:G120)</f>
        <v>0.31932773109243695</v>
      </c>
      <c r="I120">
        <f ca="1">_xlfn.VAR.P($G$2:G120)</f>
        <v>16.755172657298214</v>
      </c>
      <c r="AE120">
        <f t="shared" si="13"/>
        <v>118</v>
      </c>
      <c r="AF120" s="66">
        <f t="shared" si="12"/>
        <v>1</v>
      </c>
    </row>
    <row r="121" spans="1:32" x14ac:dyDescent="0.3">
      <c r="A121">
        <f t="shared" ca="1" si="7"/>
        <v>0.31145570510772358</v>
      </c>
      <c r="B121">
        <f t="shared" ca="1" si="8"/>
        <v>1</v>
      </c>
      <c r="C121">
        <f ca="1">AVERAGE($B$2:B121)</f>
        <v>2.4833333333333334</v>
      </c>
      <c r="D121">
        <f ca="1">_xlfn.VAR.P($B$2:B121)</f>
        <v>9.2830555555555563</v>
      </c>
      <c r="E121">
        <f t="shared" ca="1" si="9"/>
        <v>0.12602220982637957</v>
      </c>
      <c r="F121">
        <f t="shared" ca="1" si="10"/>
        <v>0</v>
      </c>
      <c r="G121">
        <f t="shared" ca="1" si="11"/>
        <v>1</v>
      </c>
      <c r="H121">
        <f ca="1">AVERAGE($G$2:G121)</f>
        <v>0.32500000000000001</v>
      </c>
      <c r="I121">
        <f ca="1">_xlfn.VAR.P($G$2:G121)</f>
        <v>16.619375000000002</v>
      </c>
      <c r="AE121">
        <f t="shared" si="13"/>
        <v>119</v>
      </c>
      <c r="AF121" s="66">
        <f t="shared" si="12"/>
        <v>1</v>
      </c>
    </row>
    <row r="122" spans="1:32" x14ac:dyDescent="0.3">
      <c r="A122">
        <f t="shared" ca="1" si="7"/>
        <v>0.6298455299983674</v>
      </c>
      <c r="B122">
        <f t="shared" ca="1" si="8"/>
        <v>2</v>
      </c>
      <c r="C122">
        <f ca="1">AVERAGE($B$2:B122)</f>
        <v>2.4793388429752068</v>
      </c>
      <c r="D122">
        <f ca="1">_xlfn.VAR.P($B$2:B122)</f>
        <v>9.2082508025408103</v>
      </c>
      <c r="E122">
        <f t="shared" ca="1" si="9"/>
        <v>0.53369983477145233</v>
      </c>
      <c r="F122">
        <f t="shared" ca="1" si="10"/>
        <v>2</v>
      </c>
      <c r="G122">
        <f t="shared" ca="1" si="11"/>
        <v>0</v>
      </c>
      <c r="H122">
        <f ca="1">AVERAGE($G$2:G122)</f>
        <v>0.32231404958677684</v>
      </c>
      <c r="I122">
        <f ca="1">_xlfn.VAR.P($G$2:G122)</f>
        <v>16.482890512943104</v>
      </c>
      <c r="AE122">
        <f t="shared" si="13"/>
        <v>120</v>
      </c>
      <c r="AF122" s="66">
        <f t="shared" si="12"/>
        <v>1</v>
      </c>
    </row>
    <row r="123" spans="1:32" x14ac:dyDescent="0.3">
      <c r="A123">
        <f t="shared" ca="1" si="7"/>
        <v>0.87817688995489507</v>
      </c>
      <c r="B123">
        <f t="shared" ca="1" si="8"/>
        <v>5</v>
      </c>
      <c r="C123">
        <f ca="1">AVERAGE($B$2:B123)</f>
        <v>2.5</v>
      </c>
      <c r="D123">
        <f ca="1">_xlfn.VAR.P($B$2:B123)</f>
        <v>9.1844262295081975</v>
      </c>
      <c r="E123">
        <f t="shared" ca="1" si="9"/>
        <v>2.903302360894533E-3</v>
      </c>
      <c r="F123">
        <f t="shared" ca="1" si="10"/>
        <v>0</v>
      </c>
      <c r="G123">
        <f t="shared" ca="1" si="11"/>
        <v>5</v>
      </c>
      <c r="H123">
        <f ca="1">AVERAGE($G$2:G123)</f>
        <v>0.36065573770491804</v>
      </c>
      <c r="I123">
        <f ca="1">_xlfn.VAR.P($G$2:G123)</f>
        <v>16.525665143778554</v>
      </c>
      <c r="AE123">
        <f t="shared" si="13"/>
        <v>121</v>
      </c>
      <c r="AF123" s="66">
        <f t="shared" si="12"/>
        <v>1</v>
      </c>
    </row>
    <row r="124" spans="1:32" x14ac:dyDescent="0.3">
      <c r="A124">
        <f t="shared" ca="1" si="7"/>
        <v>8.4527737782327694E-2</v>
      </c>
      <c r="B124">
        <f t="shared" ca="1" si="8"/>
        <v>0</v>
      </c>
      <c r="C124">
        <f ca="1">AVERAGE($B$2:B124)</f>
        <v>2.4796747967479673</v>
      </c>
      <c r="D124">
        <f ca="1">_xlfn.VAR.P($B$2:B124)</f>
        <v>9.1601559918038209</v>
      </c>
      <c r="E124">
        <f t="shared" ca="1" si="9"/>
        <v>0.36137403407772017</v>
      </c>
      <c r="F124">
        <f t="shared" ca="1" si="10"/>
        <v>1</v>
      </c>
      <c r="G124">
        <f t="shared" ca="1" si="11"/>
        <v>-1</v>
      </c>
      <c r="H124">
        <f ca="1">AVERAGE($G$2:G124)</f>
        <v>0.34959349593495936</v>
      </c>
      <c r="I124">
        <f ca="1">_xlfn.VAR.P($G$2:G124)</f>
        <v>16.406239672152818</v>
      </c>
      <c r="AE124">
        <f t="shared" si="13"/>
        <v>122</v>
      </c>
      <c r="AF124" s="66">
        <f t="shared" si="12"/>
        <v>1</v>
      </c>
    </row>
    <row r="125" spans="1:32" x14ac:dyDescent="0.3">
      <c r="A125">
        <f t="shared" ca="1" si="7"/>
        <v>0.11451250891031084</v>
      </c>
      <c r="B125">
        <f t="shared" ca="1" si="8"/>
        <v>0</v>
      </c>
      <c r="C125">
        <f ca="1">AVERAGE($B$2:B125)</f>
        <v>2.4596774193548385</v>
      </c>
      <c r="D125">
        <f ca="1">_xlfn.VAR.P($B$2:B125)</f>
        <v>9.135470863683663</v>
      </c>
      <c r="E125">
        <f t="shared" ca="1" si="9"/>
        <v>0.17863598066052877</v>
      </c>
      <c r="F125">
        <f t="shared" ca="1" si="10"/>
        <v>0</v>
      </c>
      <c r="G125">
        <f t="shared" ca="1" si="11"/>
        <v>0</v>
      </c>
      <c r="H125">
        <f ca="1">AVERAGE($G$2:G125)</f>
        <v>0.34677419354838712</v>
      </c>
      <c r="I125">
        <f ca="1">_xlfn.VAR.P($G$2:G125)</f>
        <v>16.274908949011447</v>
      </c>
      <c r="AE125">
        <f t="shared" si="13"/>
        <v>123</v>
      </c>
      <c r="AF125" s="66">
        <f t="shared" si="12"/>
        <v>1</v>
      </c>
    </row>
    <row r="126" spans="1:32" x14ac:dyDescent="0.3">
      <c r="A126">
        <f t="shared" ca="1" si="7"/>
        <v>0.80084076945463323</v>
      </c>
      <c r="B126">
        <f t="shared" ca="1" si="8"/>
        <v>4</v>
      </c>
      <c r="C126">
        <f ca="1">AVERAGE($B$2:B126)</f>
        <v>2.472</v>
      </c>
      <c r="D126">
        <f ca="1">_xlfn.VAR.P($B$2:B126)</f>
        <v>9.0812159999999995</v>
      </c>
      <c r="E126">
        <f t="shared" ca="1" si="9"/>
        <v>8.2623317913617433E-2</v>
      </c>
      <c r="F126">
        <f t="shared" ca="1" si="10"/>
        <v>0</v>
      </c>
      <c r="G126">
        <f t="shared" ca="1" si="11"/>
        <v>4</v>
      </c>
      <c r="H126">
        <f ca="1">AVERAGE($G$2:G126)</f>
        <v>0.376</v>
      </c>
      <c r="I126">
        <f ca="1">_xlfn.VAR.P($G$2:G126)</f>
        <v>16.250623999999998</v>
      </c>
      <c r="AE126">
        <f t="shared" si="13"/>
        <v>124</v>
      </c>
      <c r="AF126" s="66">
        <f t="shared" si="12"/>
        <v>1</v>
      </c>
    </row>
    <row r="127" spans="1:32" x14ac:dyDescent="0.3">
      <c r="A127">
        <f t="shared" ca="1" si="7"/>
        <v>0.67043091972695512</v>
      </c>
      <c r="B127">
        <f t="shared" ca="1" si="8"/>
        <v>3</v>
      </c>
      <c r="C127">
        <f ca="1">AVERAGE($B$2:B127)</f>
        <v>2.4761904761904763</v>
      </c>
      <c r="D127">
        <f ca="1">_xlfn.VAR.P($B$2:B127)</f>
        <v>9.0113378684807248</v>
      </c>
      <c r="E127">
        <f t="shared" ca="1" si="9"/>
        <v>0.25519436373822046</v>
      </c>
      <c r="F127">
        <f t="shared" ca="1" si="10"/>
        <v>0</v>
      </c>
      <c r="G127">
        <f t="shared" ca="1" si="11"/>
        <v>3</v>
      </c>
      <c r="H127">
        <f ca="1">AVERAGE($G$2:G127)</f>
        <v>0.3968253968253968</v>
      </c>
      <c r="I127">
        <f ca="1">_xlfn.VAR.P($G$2:G127)</f>
        <v>16.1758629377677</v>
      </c>
      <c r="AE127">
        <f t="shared" si="13"/>
        <v>125</v>
      </c>
      <c r="AF127" s="66">
        <f t="shared" si="12"/>
        <v>1</v>
      </c>
    </row>
    <row r="128" spans="1:32" x14ac:dyDescent="0.3">
      <c r="A128">
        <f t="shared" ca="1" si="7"/>
        <v>5.7158044996815427E-2</v>
      </c>
      <c r="B128">
        <f t="shared" ca="1" si="8"/>
        <v>0</v>
      </c>
      <c r="C128">
        <f ca="1">AVERAGE($B$2:B128)</f>
        <v>2.4566929133858268</v>
      </c>
      <c r="D128">
        <f ca="1">_xlfn.VAR.P($B$2:B128)</f>
        <v>8.9882819765639539</v>
      </c>
      <c r="E128">
        <f t="shared" ca="1" si="9"/>
        <v>0.99060112608889106</v>
      </c>
      <c r="F128">
        <f t="shared" ca="1" si="10"/>
        <v>13</v>
      </c>
      <c r="G128">
        <f t="shared" ca="1" si="11"/>
        <v>-13</v>
      </c>
      <c r="H128">
        <f ca="1">AVERAGE($G$2:G128)</f>
        <v>0.29133858267716534</v>
      </c>
      <c r="I128">
        <f ca="1">_xlfn.VAR.P($G$2:G128)</f>
        <v>17.4505549011098</v>
      </c>
      <c r="AE128">
        <f t="shared" si="13"/>
        <v>126</v>
      </c>
      <c r="AF128" s="66">
        <f t="shared" si="12"/>
        <v>1</v>
      </c>
    </row>
    <row r="129" spans="1:32" x14ac:dyDescent="0.3">
      <c r="A129">
        <f t="shared" ca="1" si="7"/>
        <v>0.17721196175820431</v>
      </c>
      <c r="B129">
        <f t="shared" ca="1" si="8"/>
        <v>0</v>
      </c>
      <c r="C129">
        <f ca="1">AVERAGE($B$2:B129)</f>
        <v>2.4375</v>
      </c>
      <c r="D129">
        <f ca="1">_xlfn.VAR.P($B$2:B129)</f>
        <v>8.96484375</v>
      </c>
      <c r="E129">
        <f t="shared" ca="1" si="9"/>
        <v>0.23555506471923882</v>
      </c>
      <c r="F129">
        <f t="shared" ca="1" si="10"/>
        <v>0</v>
      </c>
      <c r="G129">
        <f t="shared" ca="1" si="11"/>
        <v>0</v>
      </c>
      <c r="H129">
        <f ca="1">AVERAGE($G$2:G129)</f>
        <v>0.2890625</v>
      </c>
      <c r="I129">
        <f ca="1">_xlfn.VAR.P($G$2:G129)</f>
        <v>17.31488037109375</v>
      </c>
      <c r="AE129">
        <f t="shared" si="13"/>
        <v>127</v>
      </c>
      <c r="AF129" s="66">
        <f t="shared" si="12"/>
        <v>1</v>
      </c>
    </row>
    <row r="130" spans="1:32" x14ac:dyDescent="0.3">
      <c r="A130">
        <f t="shared" ca="1" si="7"/>
        <v>0.26172875004070839</v>
      </c>
      <c r="B130">
        <f t="shared" ca="1" si="8"/>
        <v>0</v>
      </c>
      <c r="C130">
        <f ca="1">AVERAGE($B$2:B130)</f>
        <v>2.4186046511627906</v>
      </c>
      <c r="D130">
        <f ca="1">_xlfn.VAR.P($B$2:B130)</f>
        <v>8.9410492157923205</v>
      </c>
      <c r="E130">
        <f t="shared" ca="1" si="9"/>
        <v>0.27692725093807202</v>
      </c>
      <c r="F130">
        <f t="shared" ca="1" si="10"/>
        <v>0</v>
      </c>
      <c r="G130">
        <f t="shared" ca="1" si="11"/>
        <v>0</v>
      </c>
      <c r="H130">
        <f ca="1">AVERAGE($G$2:G130)</f>
        <v>0.2868217054263566</v>
      </c>
      <c r="I130">
        <f ca="1">_xlfn.VAR.P($G$2:G130)</f>
        <v>17.181299200769185</v>
      </c>
      <c r="AE130">
        <f t="shared" si="13"/>
        <v>128</v>
      </c>
      <c r="AF130" s="66">
        <f t="shared" si="12"/>
        <v>1</v>
      </c>
    </row>
    <row r="131" spans="1:32" x14ac:dyDescent="0.3">
      <c r="A131">
        <f t="shared" ref="A131:A194" ca="1" si="14">RAND()</f>
        <v>0.10683468551894926</v>
      </c>
      <c r="B131">
        <f t="shared" ref="B131:B194" ca="1" si="15">LOOKUP(A131,$AF$2:$AF$1002,$AE$2:$AE$1002)</f>
        <v>0</v>
      </c>
      <c r="C131">
        <f ca="1">AVERAGE($B$2:B131)</f>
        <v>2.4</v>
      </c>
      <c r="D131">
        <f ca="1">_xlfn.VAR.P($B$2:B131)</f>
        <v>8.9169230769230765</v>
      </c>
      <c r="E131">
        <f t="shared" ref="E131:E194" ca="1" si="16">RAND()</f>
        <v>0.33818606319427813</v>
      </c>
      <c r="F131">
        <f t="shared" ref="F131:F194" ca="1" si="17">LOOKUP(E131,$AF$2:$AF$1002,$AE$2:$AE$1002)</f>
        <v>1</v>
      </c>
      <c r="G131">
        <f t="shared" ref="G131:G194" ca="1" si="18">B131-F131</f>
        <v>-1</v>
      </c>
      <c r="H131">
        <f ca="1">AVERAGE($G$2:G131)</f>
        <v>0.27692307692307694</v>
      </c>
      <c r="I131">
        <f ca="1">_xlfn.VAR.P($G$2:G131)</f>
        <v>17.061775147928994</v>
      </c>
      <c r="AE131">
        <f t="shared" si="13"/>
        <v>129</v>
      </c>
      <c r="AF131" s="66">
        <f t="shared" ref="AF131:AF194" si="19">_xlfn.NEGBINOM.DIST(AE131-1,1,$K$1,TRUE)</f>
        <v>1</v>
      </c>
    </row>
    <row r="132" spans="1:32" x14ac:dyDescent="0.3">
      <c r="A132">
        <f t="shared" ca="1" si="14"/>
        <v>0.40514886495967373</v>
      </c>
      <c r="B132">
        <f t="shared" ca="1" si="15"/>
        <v>1</v>
      </c>
      <c r="C132">
        <f ca="1">AVERAGE($B$2:B132)</f>
        <v>2.3893129770992365</v>
      </c>
      <c r="D132">
        <f ca="1">_xlfn.VAR.P($B$2:B132)</f>
        <v>8.863702581434648</v>
      </c>
      <c r="E132">
        <f t="shared" ca="1" si="16"/>
        <v>0.9435997088989837</v>
      </c>
      <c r="F132">
        <f t="shared" ca="1" si="17"/>
        <v>8</v>
      </c>
      <c r="G132">
        <f t="shared" ca="1" si="18"/>
        <v>-7</v>
      </c>
      <c r="H132">
        <f ca="1">AVERAGE($G$2:G132)</f>
        <v>0.22137404580152673</v>
      </c>
      <c r="I132">
        <f ca="1">_xlfn.VAR.P($G$2:G132)</f>
        <v>17.332672921158441</v>
      </c>
      <c r="AE132">
        <f t="shared" si="13"/>
        <v>130</v>
      </c>
      <c r="AF132" s="66">
        <f t="shared" si="19"/>
        <v>1</v>
      </c>
    </row>
    <row r="133" spans="1:32" x14ac:dyDescent="0.3">
      <c r="A133">
        <f t="shared" ca="1" si="14"/>
        <v>0.34303989970385385</v>
      </c>
      <c r="B133">
        <f t="shared" ca="1" si="15"/>
        <v>1</v>
      </c>
      <c r="C133">
        <f ca="1">AVERAGE($B$2:B133)</f>
        <v>2.3787878787878789</v>
      </c>
      <c r="D133">
        <f ca="1">_xlfn.VAR.P($B$2:B133)</f>
        <v>8.8110651974288334</v>
      </c>
      <c r="E133">
        <f t="shared" ca="1" si="16"/>
        <v>0.59258798710357374</v>
      </c>
      <c r="F133">
        <f t="shared" ca="1" si="17"/>
        <v>2</v>
      </c>
      <c r="G133">
        <f t="shared" ca="1" si="18"/>
        <v>-1</v>
      </c>
      <c r="H133">
        <f ca="1">AVERAGE($G$2:G133)</f>
        <v>0.21212121212121213</v>
      </c>
      <c r="I133">
        <f ca="1">_xlfn.VAR.P($G$2:G133)</f>
        <v>17.212580348943984</v>
      </c>
      <c r="AE133">
        <f t="shared" ref="AE133:AE196" si="20">AE132+1</f>
        <v>131</v>
      </c>
      <c r="AF133" s="66">
        <f t="shared" si="19"/>
        <v>1</v>
      </c>
    </row>
    <row r="134" spans="1:32" x14ac:dyDescent="0.3">
      <c r="A134">
        <f t="shared" ca="1" si="14"/>
        <v>0.31272692738217911</v>
      </c>
      <c r="B134">
        <f t="shared" ca="1" si="15"/>
        <v>1</v>
      </c>
      <c r="C134">
        <f ca="1">AVERAGE($B$2:B134)</f>
        <v>2.3684210526315788</v>
      </c>
      <c r="D134">
        <f ca="1">_xlfn.VAR.P($B$2:B134)</f>
        <v>8.7590027700831019</v>
      </c>
      <c r="E134">
        <f t="shared" ca="1" si="16"/>
        <v>4.036201386600069E-2</v>
      </c>
      <c r="F134">
        <f t="shared" ca="1" si="17"/>
        <v>0</v>
      </c>
      <c r="G134">
        <f t="shared" ca="1" si="18"/>
        <v>1</v>
      </c>
      <c r="H134">
        <f ca="1">AVERAGE($G$2:G134)</f>
        <v>0.21804511278195488</v>
      </c>
      <c r="I134">
        <f ca="1">_xlfn.VAR.P($G$2:G134)</f>
        <v>17.087794674656568</v>
      </c>
      <c r="AE134">
        <f t="shared" si="20"/>
        <v>132</v>
      </c>
      <c r="AF134" s="66">
        <f t="shared" si="19"/>
        <v>1</v>
      </c>
    </row>
    <row r="135" spans="1:32" x14ac:dyDescent="0.3">
      <c r="A135">
        <f t="shared" ca="1" si="14"/>
        <v>0.94866026144874493</v>
      </c>
      <c r="B135">
        <f t="shared" ca="1" si="15"/>
        <v>8</v>
      </c>
      <c r="C135">
        <f ca="1">AVERAGE($B$2:B135)</f>
        <v>2.41044776119403</v>
      </c>
      <c r="D135">
        <f ca="1">_xlfn.VAR.P($B$2:B135)</f>
        <v>8.9285475607039437</v>
      </c>
      <c r="E135">
        <f t="shared" ca="1" si="16"/>
        <v>0.51853350047509816</v>
      </c>
      <c r="F135">
        <f t="shared" ca="1" si="17"/>
        <v>2</v>
      </c>
      <c r="G135">
        <f t="shared" ca="1" si="18"/>
        <v>6</v>
      </c>
      <c r="H135">
        <f ca="1">AVERAGE($G$2:G135)</f>
        <v>0.26119402985074625</v>
      </c>
      <c r="I135">
        <f ca="1">_xlfn.VAR.P($G$2:G135)</f>
        <v>17.207897081755402</v>
      </c>
      <c r="AE135">
        <f t="shared" si="20"/>
        <v>133</v>
      </c>
      <c r="AF135" s="66">
        <f t="shared" si="19"/>
        <v>1</v>
      </c>
    </row>
    <row r="136" spans="1:32" x14ac:dyDescent="0.3">
      <c r="A136">
        <f t="shared" ca="1" si="14"/>
        <v>0.68134374204152637</v>
      </c>
      <c r="B136">
        <f t="shared" ca="1" si="15"/>
        <v>3</v>
      </c>
      <c r="C136">
        <f ca="1">AVERAGE($B$2:B136)</f>
        <v>2.414814814814815</v>
      </c>
      <c r="D136">
        <f ca="1">_xlfn.VAR.P($B$2:B136)</f>
        <v>8.8649657064471885</v>
      </c>
      <c r="E136">
        <f t="shared" ca="1" si="16"/>
        <v>1.1860586340001866E-2</v>
      </c>
      <c r="F136">
        <f t="shared" ca="1" si="17"/>
        <v>0</v>
      </c>
      <c r="G136">
        <f t="shared" ca="1" si="18"/>
        <v>3</v>
      </c>
      <c r="H136">
        <f ca="1">AVERAGE($G$2:G136)</f>
        <v>0.2814814814814815</v>
      </c>
      <c r="I136">
        <f ca="1">_xlfn.VAR.P($G$2:G136)</f>
        <v>17.135582990397804</v>
      </c>
      <c r="AE136">
        <f t="shared" si="20"/>
        <v>134</v>
      </c>
      <c r="AF136" s="66">
        <f t="shared" si="19"/>
        <v>1</v>
      </c>
    </row>
    <row r="137" spans="1:32" x14ac:dyDescent="0.3">
      <c r="A137">
        <f t="shared" ca="1" si="14"/>
        <v>0.94348476707320128</v>
      </c>
      <c r="B137">
        <f t="shared" ca="1" si="15"/>
        <v>8</v>
      </c>
      <c r="C137">
        <f ca="1">AVERAGE($B$2:B137)</f>
        <v>2.4558823529411766</v>
      </c>
      <c r="D137">
        <f ca="1">_xlfn.VAR.P($B$2:B137)</f>
        <v>9.0274653979238746</v>
      </c>
      <c r="E137">
        <f t="shared" ca="1" si="16"/>
        <v>0.83214300329514101</v>
      </c>
      <c r="F137">
        <f t="shared" ca="1" si="17"/>
        <v>5</v>
      </c>
      <c r="G137">
        <f t="shared" ca="1" si="18"/>
        <v>3</v>
      </c>
      <c r="H137">
        <f ca="1">AVERAGE($G$2:G137)</f>
        <v>0.3014705882352941</v>
      </c>
      <c r="I137">
        <f ca="1">_xlfn.VAR.P($G$2:G137)</f>
        <v>17.06352724913495</v>
      </c>
      <c r="AE137">
        <f t="shared" si="20"/>
        <v>135</v>
      </c>
      <c r="AF137" s="66">
        <f t="shared" si="19"/>
        <v>1</v>
      </c>
    </row>
    <row r="138" spans="1:32" x14ac:dyDescent="0.3">
      <c r="A138">
        <f t="shared" ca="1" si="14"/>
        <v>0.78495824618355525</v>
      </c>
      <c r="B138">
        <f t="shared" ca="1" si="15"/>
        <v>4</v>
      </c>
      <c r="C138">
        <f ca="1">AVERAGE($B$2:B138)</f>
        <v>2.4671532846715327</v>
      </c>
      <c r="D138">
        <f ca="1">_xlfn.VAR.P($B$2:B138)</f>
        <v>8.9788481005914011</v>
      </c>
      <c r="E138">
        <f t="shared" ca="1" si="16"/>
        <v>0.11047350918717336</v>
      </c>
      <c r="F138">
        <f t="shared" ca="1" si="17"/>
        <v>0</v>
      </c>
      <c r="G138">
        <f t="shared" ca="1" si="18"/>
        <v>4</v>
      </c>
      <c r="H138">
        <f ca="1">AVERAGE($G$2:G138)</f>
        <v>0.32846715328467152</v>
      </c>
      <c r="I138">
        <f ca="1">_xlfn.VAR.P($G$2:G138)</f>
        <v>17.038094730672917</v>
      </c>
      <c r="AE138">
        <f t="shared" si="20"/>
        <v>136</v>
      </c>
      <c r="AF138" s="66">
        <f t="shared" si="19"/>
        <v>1</v>
      </c>
    </row>
    <row r="139" spans="1:32" x14ac:dyDescent="0.3">
      <c r="A139">
        <f t="shared" ca="1" si="14"/>
        <v>0.95055457813881861</v>
      </c>
      <c r="B139">
        <f t="shared" ca="1" si="15"/>
        <v>8</v>
      </c>
      <c r="C139">
        <f ca="1">AVERAGE($B$2:B139)</f>
        <v>2.5072463768115942</v>
      </c>
      <c r="D139">
        <f ca="1">_xlfn.VAR.P($B$2:B139)</f>
        <v>9.1340054610375976</v>
      </c>
      <c r="E139">
        <f t="shared" ca="1" si="16"/>
        <v>0.48043139834003878</v>
      </c>
      <c r="F139">
        <f t="shared" ca="1" si="17"/>
        <v>1</v>
      </c>
      <c r="G139">
        <f t="shared" ca="1" si="18"/>
        <v>7</v>
      </c>
      <c r="H139">
        <f ca="1">AVERAGE($G$2:G139)</f>
        <v>0.37681159420289856</v>
      </c>
      <c r="I139">
        <f ca="1">_xlfn.VAR.P($G$2:G139)</f>
        <v>17.234824616677169</v>
      </c>
      <c r="AE139">
        <f t="shared" si="20"/>
        <v>137</v>
      </c>
      <c r="AF139" s="66">
        <f t="shared" si="19"/>
        <v>1</v>
      </c>
    </row>
    <row r="140" spans="1:32" x14ac:dyDescent="0.3">
      <c r="A140">
        <f t="shared" ca="1" si="14"/>
        <v>0.13150090489356991</v>
      </c>
      <c r="B140">
        <f t="shared" ca="1" si="15"/>
        <v>0</v>
      </c>
      <c r="C140">
        <f ca="1">AVERAGE($B$2:B140)</f>
        <v>2.4892086330935252</v>
      </c>
      <c r="D140">
        <f ca="1">_xlfn.VAR.P($B$2:B140)</f>
        <v>9.1131928989182747</v>
      </c>
      <c r="E140">
        <f t="shared" ca="1" si="16"/>
        <v>0.39735136734997889</v>
      </c>
      <c r="F140">
        <f t="shared" ca="1" si="17"/>
        <v>1</v>
      </c>
      <c r="G140">
        <f t="shared" ca="1" si="18"/>
        <v>-1</v>
      </c>
      <c r="H140">
        <f ca="1">AVERAGE($G$2:G140)</f>
        <v>0.36690647482014388</v>
      </c>
      <c r="I140">
        <f ca="1">_xlfn.VAR.P($G$2:G140)</f>
        <v>17.124372444490451</v>
      </c>
      <c r="AE140">
        <f t="shared" si="20"/>
        <v>138</v>
      </c>
      <c r="AF140" s="66">
        <f t="shared" si="19"/>
        <v>1</v>
      </c>
    </row>
    <row r="141" spans="1:32" x14ac:dyDescent="0.3">
      <c r="A141">
        <f t="shared" ca="1" si="14"/>
        <v>0.51935288186468798</v>
      </c>
      <c r="B141">
        <f t="shared" ca="1" si="15"/>
        <v>2</v>
      </c>
      <c r="C141">
        <f ca="1">AVERAGE($B$2:B141)</f>
        <v>2.4857142857142858</v>
      </c>
      <c r="D141">
        <f ca="1">_xlfn.VAR.P($B$2:B141)</f>
        <v>9.0497959183673462</v>
      </c>
      <c r="E141">
        <f t="shared" ca="1" si="16"/>
        <v>0.67864915968327055</v>
      </c>
      <c r="F141">
        <f t="shared" ca="1" si="17"/>
        <v>3</v>
      </c>
      <c r="G141">
        <f t="shared" ca="1" si="18"/>
        <v>-1</v>
      </c>
      <c r="H141">
        <f ca="1">AVERAGE($G$2:G141)</f>
        <v>0.35714285714285715</v>
      </c>
      <c r="I141">
        <f ca="1">_xlfn.VAR.P($G$2:G141)</f>
        <v>17.01530612244898</v>
      </c>
      <c r="AE141">
        <f t="shared" si="20"/>
        <v>139</v>
      </c>
      <c r="AF141" s="66">
        <f t="shared" si="19"/>
        <v>1</v>
      </c>
    </row>
    <row r="142" spans="1:32" x14ac:dyDescent="0.3">
      <c r="A142">
        <f t="shared" ca="1" si="14"/>
        <v>0.88624250097144308</v>
      </c>
      <c r="B142">
        <f t="shared" ca="1" si="15"/>
        <v>6</v>
      </c>
      <c r="C142">
        <f ca="1">AVERAGE($B$2:B142)</f>
        <v>2.5106382978723403</v>
      </c>
      <c r="D142">
        <f ca="1">_xlfn.VAR.P($B$2:B142)</f>
        <v>9.0725818620793728</v>
      </c>
      <c r="E142">
        <f t="shared" ca="1" si="16"/>
        <v>0.89383225244662978</v>
      </c>
      <c r="F142">
        <f t="shared" ca="1" si="17"/>
        <v>6</v>
      </c>
      <c r="G142">
        <f t="shared" ca="1" si="18"/>
        <v>0</v>
      </c>
      <c r="H142">
        <f ca="1">AVERAGE($G$2:G142)</f>
        <v>0.3546099290780142</v>
      </c>
      <c r="I142">
        <f ca="1">_xlfn.VAR.P($G$2:G142)</f>
        <v>16.895528393943966</v>
      </c>
      <c r="AE142">
        <f t="shared" si="20"/>
        <v>140</v>
      </c>
      <c r="AF142" s="66">
        <f t="shared" si="19"/>
        <v>1</v>
      </c>
    </row>
    <row r="143" spans="1:32" x14ac:dyDescent="0.3">
      <c r="A143">
        <f t="shared" ca="1" si="14"/>
        <v>0.77615108665740895</v>
      </c>
      <c r="B143">
        <f t="shared" ca="1" si="15"/>
        <v>4</v>
      </c>
      <c r="C143">
        <f ca="1">AVERAGE($B$2:B143)</f>
        <v>2.5211267605633805</v>
      </c>
      <c r="D143">
        <f ca="1">_xlfn.VAR.P($B$2:B143)</f>
        <v>9.0242015473120407</v>
      </c>
      <c r="E143">
        <f t="shared" ca="1" si="16"/>
        <v>0.7399040157131942</v>
      </c>
      <c r="F143">
        <f t="shared" ca="1" si="17"/>
        <v>3</v>
      </c>
      <c r="G143">
        <f t="shared" ca="1" si="18"/>
        <v>1</v>
      </c>
      <c r="H143">
        <f ca="1">AVERAGE($G$2:G143)</f>
        <v>0.35915492957746481</v>
      </c>
      <c r="I143">
        <f ca="1">_xlfn.VAR.P($G$2:G143)</f>
        <v>16.779458440785557</v>
      </c>
      <c r="AE143">
        <f t="shared" si="20"/>
        <v>141</v>
      </c>
      <c r="AF143" s="66">
        <f t="shared" si="19"/>
        <v>1</v>
      </c>
    </row>
    <row r="144" spans="1:32" x14ac:dyDescent="0.3">
      <c r="A144">
        <f t="shared" ca="1" si="14"/>
        <v>0.98073854768359336</v>
      </c>
      <c r="B144">
        <f t="shared" ca="1" si="15"/>
        <v>11</v>
      </c>
      <c r="C144">
        <f ca="1">AVERAGE($B$2:B144)</f>
        <v>2.5804195804195804</v>
      </c>
      <c r="D144">
        <f ca="1">_xlfn.VAR.P($B$2:B144)</f>
        <v>9.4603159078683561</v>
      </c>
      <c r="E144">
        <f t="shared" ca="1" si="16"/>
        <v>0.28744508230753596</v>
      </c>
      <c r="F144">
        <f t="shared" ca="1" si="17"/>
        <v>0</v>
      </c>
      <c r="G144">
        <f t="shared" ca="1" si="18"/>
        <v>11</v>
      </c>
      <c r="H144">
        <f ca="1">AVERAGE($G$2:G144)</f>
        <v>0.43356643356643354</v>
      </c>
      <c r="I144">
        <f ca="1">_xlfn.VAR.P($G$2:G144)</f>
        <v>17.448383784048119</v>
      </c>
      <c r="AE144">
        <f t="shared" si="20"/>
        <v>142</v>
      </c>
      <c r="AF144" s="66">
        <f t="shared" si="19"/>
        <v>1</v>
      </c>
    </row>
    <row r="145" spans="1:32" x14ac:dyDescent="0.3">
      <c r="A145">
        <f t="shared" ca="1" si="14"/>
        <v>0.81103282520850073</v>
      </c>
      <c r="B145">
        <f t="shared" ca="1" si="15"/>
        <v>4</v>
      </c>
      <c r="C145">
        <f ca="1">AVERAGE($B$2:B145)</f>
        <v>2.5902777777777777</v>
      </c>
      <c r="D145">
        <f ca="1">_xlfn.VAR.P($B$2:B145)</f>
        <v>9.4085165895061724</v>
      </c>
      <c r="E145">
        <f t="shared" ca="1" si="16"/>
        <v>0.25851470450815095</v>
      </c>
      <c r="F145">
        <f t="shared" ca="1" si="17"/>
        <v>0</v>
      </c>
      <c r="G145">
        <f t="shared" ca="1" si="18"/>
        <v>4</v>
      </c>
      <c r="H145">
        <f ca="1">AVERAGE($G$2:G145)</f>
        <v>0.45833333333333331</v>
      </c>
      <c r="I145">
        <f ca="1">_xlfn.VAR.P($G$2:G145)</f>
        <v>17.414930555555557</v>
      </c>
      <c r="AE145">
        <f t="shared" si="20"/>
        <v>143</v>
      </c>
      <c r="AF145" s="66">
        <f t="shared" si="19"/>
        <v>1</v>
      </c>
    </row>
    <row r="146" spans="1:32" x14ac:dyDescent="0.3">
      <c r="A146">
        <f t="shared" ca="1" si="14"/>
        <v>0.960421865303973</v>
      </c>
      <c r="B146">
        <f t="shared" ca="1" si="15"/>
        <v>9</v>
      </c>
      <c r="C146">
        <f ca="1">AVERAGE($B$2:B146)</f>
        <v>2.6344827586206896</v>
      </c>
      <c r="D146">
        <f ca="1">_xlfn.VAR.P($B$2:B146)</f>
        <v>9.625017835909631</v>
      </c>
      <c r="E146">
        <f t="shared" ca="1" si="16"/>
        <v>8.0067276830854017E-2</v>
      </c>
      <c r="F146">
        <f t="shared" ca="1" si="17"/>
        <v>0</v>
      </c>
      <c r="G146">
        <f t="shared" ca="1" si="18"/>
        <v>9</v>
      </c>
      <c r="H146">
        <f ca="1">AVERAGE($G$2:G146)</f>
        <v>0.51724137931034486</v>
      </c>
      <c r="I146">
        <f ca="1">_xlfn.VAR.P($G$2:G146)</f>
        <v>17.794530321046373</v>
      </c>
      <c r="AE146">
        <f t="shared" si="20"/>
        <v>144</v>
      </c>
      <c r="AF146" s="66">
        <f t="shared" si="19"/>
        <v>1</v>
      </c>
    </row>
    <row r="147" spans="1:32" x14ac:dyDescent="0.3">
      <c r="A147">
        <f t="shared" ca="1" si="14"/>
        <v>0.88168737364446548</v>
      </c>
      <c r="B147">
        <f t="shared" ca="1" si="15"/>
        <v>5</v>
      </c>
      <c r="C147">
        <f ca="1">AVERAGE($B$2:B147)</f>
        <v>2.6506849315068495</v>
      </c>
      <c r="D147">
        <f ca="1">_xlfn.VAR.P($B$2:B147)</f>
        <v>9.5971570651154057</v>
      </c>
      <c r="E147">
        <f t="shared" ca="1" si="16"/>
        <v>0.46241101335623713</v>
      </c>
      <c r="F147">
        <f t="shared" ca="1" si="17"/>
        <v>1</v>
      </c>
      <c r="G147">
        <f t="shared" ca="1" si="18"/>
        <v>4</v>
      </c>
      <c r="H147">
        <f ca="1">AVERAGE($G$2:G147)</f>
        <v>0.54109589041095896</v>
      </c>
      <c r="I147">
        <f ca="1">_xlfn.VAR.P($G$2:G147)</f>
        <v>17.755160442859825</v>
      </c>
      <c r="AE147">
        <f t="shared" si="20"/>
        <v>145</v>
      </c>
      <c r="AF147" s="66">
        <f t="shared" si="19"/>
        <v>1</v>
      </c>
    </row>
    <row r="148" spans="1:32" x14ac:dyDescent="0.3">
      <c r="A148">
        <f t="shared" ca="1" si="14"/>
        <v>0.64076487911141899</v>
      </c>
      <c r="B148">
        <f t="shared" ca="1" si="15"/>
        <v>2</v>
      </c>
      <c r="C148">
        <f ca="1">AVERAGE($B$2:B148)</f>
        <v>2.6462585034013606</v>
      </c>
      <c r="D148">
        <f ca="1">_xlfn.VAR.P($B$2:B148)</f>
        <v>9.5347308991623869</v>
      </c>
      <c r="E148">
        <f t="shared" ca="1" si="16"/>
        <v>0.58909292104860578</v>
      </c>
      <c r="F148">
        <f t="shared" ca="1" si="17"/>
        <v>2</v>
      </c>
      <c r="G148">
        <f t="shared" ca="1" si="18"/>
        <v>0</v>
      </c>
      <c r="H148">
        <f ca="1">AVERAGE($G$2:G148)</f>
        <v>0.5374149659863946</v>
      </c>
      <c r="I148">
        <f ca="1">_xlfn.VAR.P($G$2:G148)</f>
        <v>17.636355222361054</v>
      </c>
      <c r="AE148">
        <f t="shared" si="20"/>
        <v>146</v>
      </c>
      <c r="AF148" s="66">
        <f t="shared" si="19"/>
        <v>1</v>
      </c>
    </row>
    <row r="149" spans="1:32" x14ac:dyDescent="0.3">
      <c r="A149">
        <f t="shared" ca="1" si="14"/>
        <v>0.2050912699741585</v>
      </c>
      <c r="B149">
        <f t="shared" ca="1" si="15"/>
        <v>0</v>
      </c>
      <c r="C149">
        <f ca="1">AVERAGE($B$2:B149)</f>
        <v>2.6283783783783785</v>
      </c>
      <c r="D149">
        <f ca="1">_xlfn.VAR.P($B$2:B149)</f>
        <v>9.5173027757487212</v>
      </c>
      <c r="E149">
        <f t="shared" ca="1" si="16"/>
        <v>0.1595052100866633</v>
      </c>
      <c r="F149">
        <f t="shared" ca="1" si="17"/>
        <v>0</v>
      </c>
      <c r="G149">
        <f t="shared" ca="1" si="18"/>
        <v>0</v>
      </c>
      <c r="H149">
        <f ca="1">AVERAGE($G$2:G149)</f>
        <v>0.53378378378378377</v>
      </c>
      <c r="I149">
        <f ca="1">_xlfn.VAR.P($G$2:G149)</f>
        <v>17.519128926223519</v>
      </c>
      <c r="AE149">
        <f t="shared" si="20"/>
        <v>147</v>
      </c>
      <c r="AF149" s="66">
        <f t="shared" si="19"/>
        <v>1</v>
      </c>
    </row>
    <row r="150" spans="1:32" x14ac:dyDescent="0.3">
      <c r="A150">
        <f t="shared" ca="1" si="14"/>
        <v>0.91940072625022473</v>
      </c>
      <c r="B150">
        <f t="shared" ca="1" si="15"/>
        <v>7</v>
      </c>
      <c r="C150">
        <f ca="1">AVERAGE($B$2:B150)</f>
        <v>2.6577181208053693</v>
      </c>
      <c r="D150">
        <f ca="1">_xlfn.VAR.P($B$2:B150)</f>
        <v>9.5808296923562004</v>
      </c>
      <c r="E150">
        <f t="shared" ca="1" si="16"/>
        <v>0.70046471879552297</v>
      </c>
      <c r="F150">
        <f t="shared" ca="1" si="17"/>
        <v>3</v>
      </c>
      <c r="G150">
        <f t="shared" ca="1" si="18"/>
        <v>4</v>
      </c>
      <c r="H150">
        <f ca="1">AVERAGE($G$2:G150)</f>
        <v>0.55704697986577179</v>
      </c>
      <c r="I150">
        <f ca="1">_xlfn.VAR.P($G$2:G150)</f>
        <v>17.481644970947254</v>
      </c>
      <c r="AE150">
        <f t="shared" si="20"/>
        <v>148</v>
      </c>
      <c r="AF150" s="66">
        <f t="shared" si="19"/>
        <v>1</v>
      </c>
    </row>
    <row r="151" spans="1:32" x14ac:dyDescent="0.3">
      <c r="A151">
        <f t="shared" ca="1" si="14"/>
        <v>0.27095208638717261</v>
      </c>
      <c r="B151">
        <f t="shared" ca="1" si="15"/>
        <v>0</v>
      </c>
      <c r="C151">
        <f ca="1">AVERAGE($B$2:B151)</f>
        <v>2.64</v>
      </c>
      <c r="D151">
        <f ca="1">_xlfn.VAR.P($B$2:B151)</f>
        <v>9.5637333333333334</v>
      </c>
      <c r="E151">
        <f t="shared" ca="1" si="16"/>
        <v>0.38209488873244912</v>
      </c>
      <c r="F151">
        <f t="shared" ca="1" si="17"/>
        <v>1</v>
      </c>
      <c r="G151">
        <f t="shared" ca="1" si="18"/>
        <v>-1</v>
      </c>
      <c r="H151">
        <f ca="1">AVERAGE($G$2:G151)</f>
        <v>0.54666666666666663</v>
      </c>
      <c r="I151">
        <f ca="1">_xlfn.VAR.P($G$2:G151)</f>
        <v>17.381155555555555</v>
      </c>
      <c r="AE151">
        <f t="shared" si="20"/>
        <v>149</v>
      </c>
      <c r="AF151" s="66">
        <f t="shared" si="19"/>
        <v>1</v>
      </c>
    </row>
    <row r="152" spans="1:32" x14ac:dyDescent="0.3">
      <c r="A152">
        <f t="shared" ca="1" si="14"/>
        <v>0.98848132926264631</v>
      </c>
      <c r="B152">
        <f t="shared" ca="1" si="15"/>
        <v>12</v>
      </c>
      <c r="C152">
        <f ca="1">AVERAGE($B$2:B152)</f>
        <v>2.7019867549668874</v>
      </c>
      <c r="D152">
        <f ca="1">_xlfn.VAR.P($B$2:B152)</f>
        <v>10.076751019692118</v>
      </c>
      <c r="E152">
        <f t="shared" ca="1" si="16"/>
        <v>0.65771082975725548</v>
      </c>
      <c r="F152">
        <f t="shared" ca="1" si="17"/>
        <v>3</v>
      </c>
      <c r="G152">
        <f t="shared" ca="1" si="18"/>
        <v>9</v>
      </c>
      <c r="H152">
        <f ca="1">AVERAGE($G$2:G152)</f>
        <v>0.60264900662251653</v>
      </c>
      <c r="I152">
        <f ca="1">_xlfn.VAR.P($G$2:G152)</f>
        <v>17.736151923161266</v>
      </c>
      <c r="AE152">
        <f t="shared" si="20"/>
        <v>150</v>
      </c>
      <c r="AF152" s="66">
        <f t="shared" si="19"/>
        <v>1</v>
      </c>
    </row>
    <row r="153" spans="1:32" x14ac:dyDescent="0.3">
      <c r="A153">
        <f t="shared" ca="1" si="14"/>
        <v>0.72556215920417433</v>
      </c>
      <c r="B153">
        <f t="shared" ca="1" si="15"/>
        <v>3</v>
      </c>
      <c r="C153">
        <f ca="1">AVERAGE($B$2:B153)</f>
        <v>2.7039473684210527</v>
      </c>
      <c r="D153">
        <f ca="1">_xlfn.VAR.P($B$2:B153)</f>
        <v>10.011037049861496</v>
      </c>
      <c r="E153">
        <f t="shared" ca="1" si="16"/>
        <v>0.65174885425560147</v>
      </c>
      <c r="F153">
        <f t="shared" ca="1" si="17"/>
        <v>2</v>
      </c>
      <c r="G153">
        <f t="shared" ca="1" si="18"/>
        <v>1</v>
      </c>
      <c r="H153">
        <f ca="1">AVERAGE($G$2:G153)</f>
        <v>0.60526315789473684</v>
      </c>
      <c r="I153">
        <f ca="1">_xlfn.VAR.P($G$2:G153)</f>
        <v>17.62049861495845</v>
      </c>
      <c r="AE153">
        <f t="shared" si="20"/>
        <v>151</v>
      </c>
      <c r="AF153" s="66">
        <f t="shared" si="19"/>
        <v>1</v>
      </c>
    </row>
    <row r="154" spans="1:32" x14ac:dyDescent="0.3">
      <c r="A154">
        <f t="shared" ca="1" si="14"/>
        <v>8.1690813548403685E-2</v>
      </c>
      <c r="B154">
        <f t="shared" ca="1" si="15"/>
        <v>0</v>
      </c>
      <c r="C154">
        <f ca="1">AVERAGE($B$2:B154)</f>
        <v>2.6862745098039214</v>
      </c>
      <c r="D154">
        <f ca="1">_xlfn.VAR.P($B$2:B154)</f>
        <v>9.9930795847750868</v>
      </c>
      <c r="E154">
        <f t="shared" ca="1" si="16"/>
        <v>0.64529262397206988</v>
      </c>
      <c r="F154">
        <f t="shared" ca="1" si="17"/>
        <v>2</v>
      </c>
      <c r="G154">
        <f t="shared" ca="1" si="18"/>
        <v>-2</v>
      </c>
      <c r="H154">
        <f ca="1">AVERAGE($G$2:G154)</f>
        <v>0.58823529411764708</v>
      </c>
      <c r="I154">
        <f ca="1">_xlfn.VAR.P($G$2:G154)</f>
        <v>17.549404075355632</v>
      </c>
      <c r="AE154">
        <f t="shared" si="20"/>
        <v>152</v>
      </c>
      <c r="AF154" s="66">
        <f t="shared" si="19"/>
        <v>1</v>
      </c>
    </row>
    <row r="155" spans="1:32" x14ac:dyDescent="0.3">
      <c r="A155">
        <f t="shared" ca="1" si="14"/>
        <v>0.88099672179819222</v>
      </c>
      <c r="B155">
        <f t="shared" ca="1" si="15"/>
        <v>5</v>
      </c>
      <c r="C155">
        <f ca="1">AVERAGE($B$2:B155)</f>
        <v>2.7012987012987013</v>
      </c>
      <c r="D155">
        <f ca="1">_xlfn.VAR.P($B$2:B155)</f>
        <v>9.9627255861022093</v>
      </c>
      <c r="E155">
        <f t="shared" ca="1" si="16"/>
        <v>0.21684553636661952</v>
      </c>
      <c r="F155">
        <f t="shared" ca="1" si="17"/>
        <v>0</v>
      </c>
      <c r="G155">
        <f t="shared" ca="1" si="18"/>
        <v>5</v>
      </c>
      <c r="H155">
        <f ca="1">AVERAGE($G$2:G155)</f>
        <v>0.61688311688311692</v>
      </c>
      <c r="I155">
        <f ca="1">_xlfn.VAR.P($G$2:G155)</f>
        <v>17.561013661663011</v>
      </c>
      <c r="AE155">
        <f t="shared" si="20"/>
        <v>153</v>
      </c>
      <c r="AF155" s="66">
        <f t="shared" si="19"/>
        <v>1</v>
      </c>
    </row>
    <row r="156" spans="1:32" x14ac:dyDescent="0.3">
      <c r="A156">
        <f t="shared" ca="1" si="14"/>
        <v>0.6766896719038995</v>
      </c>
      <c r="B156">
        <f t="shared" ca="1" si="15"/>
        <v>3</v>
      </c>
      <c r="C156">
        <f ca="1">AVERAGE($B$2:B156)</f>
        <v>2.7032258064516128</v>
      </c>
      <c r="D156">
        <f ca="1">_xlfn.VAR.P($B$2:B156)</f>
        <v>9.8990218522372526</v>
      </c>
      <c r="E156">
        <f t="shared" ca="1" si="16"/>
        <v>9.2595895869044931E-2</v>
      </c>
      <c r="F156">
        <f t="shared" ca="1" si="17"/>
        <v>0</v>
      </c>
      <c r="G156">
        <f t="shared" ca="1" si="18"/>
        <v>3</v>
      </c>
      <c r="H156">
        <f ca="1">AVERAGE($G$2:G156)</f>
        <v>0.63225806451612898</v>
      </c>
      <c r="I156">
        <f ca="1">_xlfn.VAR.P($G$2:G156)</f>
        <v>17.484120707596254</v>
      </c>
      <c r="AE156">
        <f t="shared" si="20"/>
        <v>154</v>
      </c>
      <c r="AF156" s="66">
        <f t="shared" si="19"/>
        <v>1</v>
      </c>
    </row>
    <row r="157" spans="1:32" x14ac:dyDescent="0.3">
      <c r="A157">
        <f t="shared" ca="1" si="14"/>
        <v>0.95327695653232625</v>
      </c>
      <c r="B157">
        <f t="shared" ca="1" si="15"/>
        <v>8</v>
      </c>
      <c r="C157">
        <f ca="1">AVERAGE($B$2:B157)</f>
        <v>2.7371794871794872</v>
      </c>
      <c r="D157">
        <f ca="1">_xlfn.VAR.P($B$2:B157)</f>
        <v>10.014258711374096</v>
      </c>
      <c r="E157">
        <f t="shared" ca="1" si="16"/>
        <v>0.97531705148429182</v>
      </c>
      <c r="F157">
        <f t="shared" ca="1" si="17"/>
        <v>10</v>
      </c>
      <c r="G157">
        <f t="shared" ca="1" si="18"/>
        <v>-2</v>
      </c>
      <c r="H157">
        <f ca="1">AVERAGE($G$2:G157)</f>
        <v>0.61538461538461542</v>
      </c>
      <c r="I157">
        <f ca="1">_xlfn.VAR.P($G$2:G157)</f>
        <v>17.416173570019723</v>
      </c>
      <c r="AE157">
        <f t="shared" si="20"/>
        <v>155</v>
      </c>
      <c r="AF157" s="66">
        <f t="shared" si="19"/>
        <v>1</v>
      </c>
    </row>
    <row r="158" spans="1:32" x14ac:dyDescent="0.3">
      <c r="A158">
        <f t="shared" ca="1" si="14"/>
        <v>0.19692337758332135</v>
      </c>
      <c r="B158">
        <f t="shared" ca="1" si="15"/>
        <v>0</v>
      </c>
      <c r="C158">
        <f ca="1">AVERAGE($B$2:B158)</f>
        <v>2.7197452229299364</v>
      </c>
      <c r="D158">
        <f ca="1">_xlfn.VAR.P($B$2:B158)</f>
        <v>9.9978903809485171</v>
      </c>
      <c r="E158">
        <f t="shared" ca="1" si="16"/>
        <v>0.59624304850615695</v>
      </c>
      <c r="F158">
        <f t="shared" ca="1" si="17"/>
        <v>2</v>
      </c>
      <c r="G158">
        <f t="shared" ca="1" si="18"/>
        <v>-2</v>
      </c>
      <c r="H158">
        <f ca="1">AVERAGE($G$2:G158)</f>
        <v>0.59872611464968151</v>
      </c>
      <c r="I158">
        <f ca="1">_xlfn.VAR.P($G$2:G158)</f>
        <v>17.348533409063247</v>
      </c>
      <c r="AE158">
        <f t="shared" si="20"/>
        <v>156</v>
      </c>
      <c r="AF158" s="66">
        <f t="shared" si="19"/>
        <v>1</v>
      </c>
    </row>
    <row r="159" spans="1:32" x14ac:dyDescent="0.3">
      <c r="A159">
        <f t="shared" ca="1" si="14"/>
        <v>0.17785451980426636</v>
      </c>
      <c r="B159">
        <f t="shared" ca="1" si="15"/>
        <v>0</v>
      </c>
      <c r="C159">
        <f ca="1">AVERAGE($B$2:B159)</f>
        <v>2.7025316455696204</v>
      </c>
      <c r="D159">
        <f ca="1">_xlfn.VAR.P($B$2:B159)</f>
        <v>9.9811328312770389</v>
      </c>
      <c r="E159">
        <f t="shared" ca="1" si="16"/>
        <v>8.6463427451591746E-2</v>
      </c>
      <c r="F159">
        <f t="shared" ca="1" si="17"/>
        <v>0</v>
      </c>
      <c r="G159">
        <f t="shared" ca="1" si="18"/>
        <v>0</v>
      </c>
      <c r="H159">
        <f ca="1">AVERAGE($G$2:G159)</f>
        <v>0.59493670886075944</v>
      </c>
      <c r="I159">
        <f ca="1">_xlfn.VAR.P($G$2:G159)</f>
        <v>17.240987021310687</v>
      </c>
      <c r="AE159">
        <f t="shared" si="20"/>
        <v>157</v>
      </c>
      <c r="AF159" s="66">
        <f t="shared" si="19"/>
        <v>1</v>
      </c>
    </row>
    <row r="160" spans="1:32" x14ac:dyDescent="0.3">
      <c r="A160">
        <f t="shared" ca="1" si="14"/>
        <v>0.7854192654929002</v>
      </c>
      <c r="B160">
        <f t="shared" ca="1" si="15"/>
        <v>4</v>
      </c>
      <c r="C160">
        <f ca="1">AVERAGE($B$2:B160)</f>
        <v>2.7106918238993711</v>
      </c>
      <c r="D160">
        <f ca="1">_xlfn.VAR.P($B$2:B160)</f>
        <v>9.9288793955935279</v>
      </c>
      <c r="E160">
        <f t="shared" ca="1" si="16"/>
        <v>0.44828310179733033</v>
      </c>
      <c r="F160">
        <f t="shared" ca="1" si="17"/>
        <v>1</v>
      </c>
      <c r="G160">
        <f t="shared" ca="1" si="18"/>
        <v>3</v>
      </c>
      <c r="H160">
        <f ca="1">AVERAGE($G$2:G160)</f>
        <v>0.61006289308176098</v>
      </c>
      <c r="I160">
        <f ca="1">_xlfn.VAR.P($G$2:G160)</f>
        <v>17.168703769629367</v>
      </c>
      <c r="AE160">
        <f t="shared" si="20"/>
        <v>158</v>
      </c>
      <c r="AF160" s="66">
        <f t="shared" si="19"/>
        <v>1</v>
      </c>
    </row>
    <row r="161" spans="1:32" x14ac:dyDescent="0.3">
      <c r="A161">
        <f t="shared" ca="1" si="14"/>
        <v>0.95071598581228134</v>
      </c>
      <c r="B161">
        <f t="shared" ca="1" si="15"/>
        <v>8</v>
      </c>
      <c r="C161">
        <f ca="1">AVERAGE($B$2:B161)</f>
        <v>2.7437499999999999</v>
      </c>
      <c r="D161">
        <f ca="1">_xlfn.VAR.P($B$2:B161)</f>
        <v>10.0405859375</v>
      </c>
      <c r="E161">
        <f t="shared" ca="1" si="16"/>
        <v>0.39419223398175329</v>
      </c>
      <c r="F161">
        <f t="shared" ca="1" si="17"/>
        <v>1</v>
      </c>
      <c r="G161">
        <f t="shared" ca="1" si="18"/>
        <v>7</v>
      </c>
      <c r="H161">
        <f ca="1">AVERAGE($G$2:G161)</f>
        <v>0.65</v>
      </c>
      <c r="I161">
        <f ca="1">_xlfn.VAR.P($G$2:G161)</f>
        <v>17.315000000000001</v>
      </c>
      <c r="AE161">
        <f t="shared" si="20"/>
        <v>159</v>
      </c>
      <c r="AF161" s="66">
        <f t="shared" si="19"/>
        <v>1</v>
      </c>
    </row>
    <row r="162" spans="1:32" x14ac:dyDescent="0.3">
      <c r="A162">
        <f t="shared" ca="1" si="14"/>
        <v>0.9679437562599007</v>
      </c>
      <c r="B162">
        <f t="shared" ca="1" si="15"/>
        <v>9</v>
      </c>
      <c r="C162">
        <f ca="1">AVERAGE($B$2:B162)</f>
        <v>2.7826086956521738</v>
      </c>
      <c r="D162">
        <f ca="1">_xlfn.VAR.P($B$2:B162)</f>
        <v>10.219821766135565</v>
      </c>
      <c r="E162">
        <f t="shared" ca="1" si="16"/>
        <v>0.2045458191056031</v>
      </c>
      <c r="F162">
        <f t="shared" ca="1" si="17"/>
        <v>0</v>
      </c>
      <c r="G162">
        <f t="shared" ca="1" si="18"/>
        <v>9</v>
      </c>
      <c r="H162">
        <f ca="1">AVERAGE($G$2:G162)</f>
        <v>0.70186335403726707</v>
      </c>
      <c r="I162">
        <f ca="1">_xlfn.VAR.P($G$2:G162)</f>
        <v>17.637822614868252</v>
      </c>
      <c r="AE162">
        <f t="shared" si="20"/>
        <v>160</v>
      </c>
      <c r="AF162" s="66">
        <f t="shared" si="19"/>
        <v>1</v>
      </c>
    </row>
    <row r="163" spans="1:32" x14ac:dyDescent="0.3">
      <c r="A163">
        <f t="shared" ca="1" si="14"/>
        <v>0.88420031710619351</v>
      </c>
      <c r="B163">
        <f t="shared" ca="1" si="15"/>
        <v>6</v>
      </c>
      <c r="C163">
        <f ca="1">AVERAGE($B$2:B163)</f>
        <v>2.8024691358024691</v>
      </c>
      <c r="D163">
        <f ca="1">_xlfn.VAR.P($B$2:B163)</f>
        <v>10.220240816948635</v>
      </c>
      <c r="E163">
        <f t="shared" ca="1" si="16"/>
        <v>2.5740851254758446E-2</v>
      </c>
      <c r="F163">
        <f t="shared" ca="1" si="17"/>
        <v>0</v>
      </c>
      <c r="G163">
        <f t="shared" ca="1" si="18"/>
        <v>6</v>
      </c>
      <c r="H163">
        <f ca="1">AVERAGE($G$2:G163)</f>
        <v>0.73456790123456794</v>
      </c>
      <c r="I163">
        <f ca="1">_xlfn.VAR.P($G$2:G163)</f>
        <v>17.701150739216583</v>
      </c>
      <c r="AE163">
        <f t="shared" si="20"/>
        <v>161</v>
      </c>
      <c r="AF163" s="66">
        <f t="shared" si="19"/>
        <v>1</v>
      </c>
    </row>
    <row r="164" spans="1:32" x14ac:dyDescent="0.3">
      <c r="A164">
        <f t="shared" ca="1" si="14"/>
        <v>0.42887894032188945</v>
      </c>
      <c r="B164">
        <f t="shared" ca="1" si="15"/>
        <v>1</v>
      </c>
      <c r="C164">
        <f ca="1">AVERAGE($B$2:B164)</f>
        <v>2.7914110429447851</v>
      </c>
      <c r="D164">
        <f ca="1">_xlfn.VAR.P($B$2:B164)</f>
        <v>10.177349542700139</v>
      </c>
      <c r="E164">
        <f t="shared" ca="1" si="16"/>
        <v>9.4549247533617042E-2</v>
      </c>
      <c r="F164">
        <f t="shared" ca="1" si="17"/>
        <v>0</v>
      </c>
      <c r="G164">
        <f t="shared" ca="1" si="18"/>
        <v>1</v>
      </c>
      <c r="H164">
        <f ca="1">AVERAGE($G$2:G164)</f>
        <v>0.73619631901840488</v>
      </c>
      <c r="I164">
        <f ca="1">_xlfn.VAR.P($G$2:G164)</f>
        <v>17.592984305017126</v>
      </c>
      <c r="AE164">
        <f t="shared" si="20"/>
        <v>162</v>
      </c>
      <c r="AF164" s="66">
        <f t="shared" si="19"/>
        <v>1</v>
      </c>
    </row>
    <row r="165" spans="1:32" x14ac:dyDescent="0.3">
      <c r="A165">
        <f t="shared" ca="1" si="14"/>
        <v>0.26700839058596015</v>
      </c>
      <c r="B165">
        <f t="shared" ca="1" si="15"/>
        <v>0</v>
      </c>
      <c r="C165">
        <f ca="1">AVERAGE($B$2:B165)</f>
        <v>2.774390243902439</v>
      </c>
      <c r="D165">
        <f ca="1">_xlfn.VAR.P($B$2:B165)</f>
        <v>10.162514872099941</v>
      </c>
      <c r="E165">
        <f t="shared" ca="1" si="16"/>
        <v>0.10834352682334936</v>
      </c>
      <c r="F165">
        <f t="shared" ca="1" si="17"/>
        <v>0</v>
      </c>
      <c r="G165">
        <f t="shared" ca="1" si="18"/>
        <v>0</v>
      </c>
      <c r="H165">
        <f ca="1">AVERAGE($G$2:G165)</f>
        <v>0.73170731707317072</v>
      </c>
      <c r="I165">
        <f ca="1">_xlfn.VAR.P($G$2:G165)</f>
        <v>17.48899464604402</v>
      </c>
      <c r="AE165">
        <f t="shared" si="20"/>
        <v>163</v>
      </c>
      <c r="AF165" s="66">
        <f t="shared" si="19"/>
        <v>1</v>
      </c>
    </row>
    <row r="166" spans="1:32" x14ac:dyDescent="0.3">
      <c r="A166">
        <f t="shared" ca="1" si="14"/>
        <v>0.4705232173850542</v>
      </c>
      <c r="B166">
        <f t="shared" ca="1" si="15"/>
        <v>1</v>
      </c>
      <c r="C166">
        <f ca="1">AVERAGE($B$2:B166)</f>
        <v>2.7636363636363637</v>
      </c>
      <c r="D166">
        <f ca="1">_xlfn.VAR.P($B$2:B166)</f>
        <v>10.119889807162535</v>
      </c>
      <c r="E166">
        <f t="shared" ca="1" si="16"/>
        <v>0.85585505102074011</v>
      </c>
      <c r="F166">
        <f t="shared" ca="1" si="17"/>
        <v>5</v>
      </c>
      <c r="G166">
        <f t="shared" ca="1" si="18"/>
        <v>-4</v>
      </c>
      <c r="H166">
        <f ca="1">AVERAGE($G$2:G166)</f>
        <v>0.70303030303030301</v>
      </c>
      <c r="I166">
        <f ca="1">_xlfn.VAR.P($G$2:G166)</f>
        <v>17.517869605142334</v>
      </c>
      <c r="AE166">
        <f t="shared" si="20"/>
        <v>164</v>
      </c>
      <c r="AF166" s="66">
        <f t="shared" si="19"/>
        <v>1</v>
      </c>
    </row>
    <row r="167" spans="1:32" x14ac:dyDescent="0.3">
      <c r="A167">
        <f t="shared" ca="1" si="14"/>
        <v>0.91986843712641009</v>
      </c>
      <c r="B167">
        <f t="shared" ca="1" si="15"/>
        <v>7</v>
      </c>
      <c r="C167">
        <f ca="1">AVERAGE($B$2:B167)</f>
        <v>2.7891566265060241</v>
      </c>
      <c r="D167">
        <f ca="1">_xlfn.VAR.P($B$2:B167)</f>
        <v>10.166388445347655</v>
      </c>
      <c r="E167">
        <f t="shared" ca="1" si="16"/>
        <v>0.1002397084252008</v>
      </c>
      <c r="F167">
        <f t="shared" ca="1" si="17"/>
        <v>0</v>
      </c>
      <c r="G167">
        <f t="shared" ca="1" si="18"/>
        <v>7</v>
      </c>
      <c r="H167">
        <f ca="1">AVERAGE($G$2:G167)</f>
        <v>0.74096385542168675</v>
      </c>
      <c r="I167">
        <f ca="1">_xlfn.VAR.P($G$2:G167)</f>
        <v>17.649767745681523</v>
      </c>
      <c r="AE167">
        <f t="shared" si="20"/>
        <v>165</v>
      </c>
      <c r="AF167" s="66">
        <f t="shared" si="19"/>
        <v>1</v>
      </c>
    </row>
    <row r="168" spans="1:32" x14ac:dyDescent="0.3">
      <c r="A168">
        <f t="shared" ca="1" si="14"/>
        <v>0.13977287435260954</v>
      </c>
      <c r="B168">
        <f t="shared" ca="1" si="15"/>
        <v>0</v>
      </c>
      <c r="C168">
        <f ca="1">AVERAGE($B$2:B168)</f>
        <v>2.7724550898203595</v>
      </c>
      <c r="D168">
        <f ca="1">_xlfn.VAR.P($B$2:B168)</f>
        <v>10.151816128222597</v>
      </c>
      <c r="E168">
        <f t="shared" ca="1" si="16"/>
        <v>0.32451884043456081</v>
      </c>
      <c r="F168">
        <f t="shared" ca="1" si="17"/>
        <v>1</v>
      </c>
      <c r="G168">
        <f t="shared" ca="1" si="18"/>
        <v>-1</v>
      </c>
      <c r="H168">
        <f ca="1">AVERAGE($G$2:G168)</f>
        <v>0.73053892215568861</v>
      </c>
      <c r="I168">
        <f ca="1">_xlfn.VAR.P($G$2:G168)</f>
        <v>17.562121266449136</v>
      </c>
      <c r="AE168">
        <f t="shared" si="20"/>
        <v>166</v>
      </c>
      <c r="AF168" s="66">
        <f t="shared" si="19"/>
        <v>1</v>
      </c>
    </row>
    <row r="169" spans="1:32" x14ac:dyDescent="0.3">
      <c r="A169">
        <f t="shared" ca="1" si="14"/>
        <v>0.12634582714085152</v>
      </c>
      <c r="B169">
        <f t="shared" ca="1" si="15"/>
        <v>0</v>
      </c>
      <c r="C169">
        <f ca="1">AVERAGE($B$2:B169)</f>
        <v>2.7559523809523809</v>
      </c>
      <c r="D169">
        <f ca="1">_xlfn.VAR.P($B$2:B169)</f>
        <v>10.13686933106576</v>
      </c>
      <c r="E169">
        <f t="shared" ca="1" si="16"/>
        <v>0.22274964781787399</v>
      </c>
      <c r="F169">
        <f t="shared" ca="1" si="17"/>
        <v>0</v>
      </c>
      <c r="G169">
        <f t="shared" ca="1" si="18"/>
        <v>0</v>
      </c>
      <c r="H169">
        <f ca="1">AVERAGE($G$2:G169)</f>
        <v>0.72619047619047616</v>
      </c>
      <c r="I169">
        <f ca="1">_xlfn.VAR.P($G$2:G169)</f>
        <v>17.460742630385486</v>
      </c>
      <c r="AE169">
        <f t="shared" si="20"/>
        <v>167</v>
      </c>
      <c r="AF169" s="66">
        <f t="shared" si="19"/>
        <v>1</v>
      </c>
    </row>
    <row r="170" spans="1:32" x14ac:dyDescent="0.3">
      <c r="A170">
        <f t="shared" ca="1" si="14"/>
        <v>0.68795959780171478</v>
      </c>
      <c r="B170">
        <f t="shared" ca="1" si="15"/>
        <v>3</v>
      </c>
      <c r="C170">
        <f ca="1">AVERAGE($B$2:B170)</f>
        <v>2.7573964497041419</v>
      </c>
      <c r="D170">
        <f ca="1">_xlfn.VAR.P($B$2:B170)</f>
        <v>10.077238191940058</v>
      </c>
      <c r="E170">
        <f t="shared" ca="1" si="16"/>
        <v>0.77369638665506946</v>
      </c>
      <c r="F170">
        <f t="shared" ca="1" si="17"/>
        <v>4</v>
      </c>
      <c r="G170">
        <f t="shared" ca="1" si="18"/>
        <v>-1</v>
      </c>
      <c r="H170">
        <f ca="1">AVERAGE($G$2:G170)</f>
        <v>0.71597633136094674</v>
      </c>
      <c r="I170">
        <f ca="1">_xlfn.VAR.P($G$2:G170)</f>
        <v>17.374951857427963</v>
      </c>
      <c r="AE170">
        <f t="shared" si="20"/>
        <v>168</v>
      </c>
      <c r="AF170" s="66">
        <f t="shared" si="19"/>
        <v>1</v>
      </c>
    </row>
    <row r="171" spans="1:32" x14ac:dyDescent="0.3">
      <c r="A171">
        <f t="shared" ca="1" si="14"/>
        <v>0.81151905002775626</v>
      </c>
      <c r="B171">
        <f t="shared" ca="1" si="15"/>
        <v>4</v>
      </c>
      <c r="C171">
        <f ca="1">AVERAGE($B$2:B171)</f>
        <v>2.7647058823529411</v>
      </c>
      <c r="D171">
        <f ca="1">_xlfn.VAR.P($B$2:B171)</f>
        <v>10.026989619377163</v>
      </c>
      <c r="E171">
        <f t="shared" ca="1" si="16"/>
        <v>0.9768398893127489</v>
      </c>
      <c r="F171">
        <f t="shared" ca="1" si="17"/>
        <v>10</v>
      </c>
      <c r="G171">
        <f t="shared" ca="1" si="18"/>
        <v>-6</v>
      </c>
      <c r="H171">
        <f ca="1">AVERAGE($G$2:G171)</f>
        <v>0.67647058823529416</v>
      </c>
      <c r="I171">
        <f ca="1">_xlfn.VAR.P($G$2:G171)</f>
        <v>17.53650519031142</v>
      </c>
      <c r="AE171">
        <f t="shared" si="20"/>
        <v>169</v>
      </c>
      <c r="AF171" s="66">
        <f t="shared" si="19"/>
        <v>1</v>
      </c>
    </row>
    <row r="172" spans="1:32" x14ac:dyDescent="0.3">
      <c r="A172">
        <f t="shared" ca="1" si="14"/>
        <v>0.6080523501347076</v>
      </c>
      <c r="B172">
        <f t="shared" ca="1" si="15"/>
        <v>2</v>
      </c>
      <c r="C172">
        <f ca="1">AVERAGE($B$2:B172)</f>
        <v>2.7602339181286548</v>
      </c>
      <c r="D172">
        <f ca="1">_xlfn.VAR.P($B$2:B172)</f>
        <v>9.9717519920659345</v>
      </c>
      <c r="E172">
        <f t="shared" ca="1" si="16"/>
        <v>9.6215661135694686E-2</v>
      </c>
      <c r="F172">
        <f t="shared" ca="1" si="17"/>
        <v>0</v>
      </c>
      <c r="G172">
        <f t="shared" ca="1" si="18"/>
        <v>2</v>
      </c>
      <c r="H172">
        <f ca="1">AVERAGE($G$2:G172)</f>
        <v>0.68421052631578949</v>
      </c>
      <c r="I172">
        <f ca="1">_xlfn.VAR.P($G$2:G172)</f>
        <v>17.444136657433056</v>
      </c>
      <c r="AE172">
        <f t="shared" si="20"/>
        <v>170</v>
      </c>
      <c r="AF172" s="66">
        <f t="shared" si="19"/>
        <v>1</v>
      </c>
    </row>
    <row r="173" spans="1:32" x14ac:dyDescent="0.3">
      <c r="A173">
        <f t="shared" ca="1" si="14"/>
        <v>0.14193741751184485</v>
      </c>
      <c r="B173">
        <f t="shared" ca="1" si="15"/>
        <v>0</v>
      </c>
      <c r="C173">
        <f ca="1">AVERAGE($B$2:B173)</f>
        <v>2.7441860465116279</v>
      </c>
      <c r="D173">
        <f ca="1">_xlfn.VAR.P($B$2:B173)</f>
        <v>9.9578150351541375</v>
      </c>
      <c r="E173">
        <f t="shared" ca="1" si="16"/>
        <v>0.49402280028022671</v>
      </c>
      <c r="F173">
        <f t="shared" ca="1" si="17"/>
        <v>1</v>
      </c>
      <c r="G173">
        <f t="shared" ca="1" si="18"/>
        <v>-1</v>
      </c>
      <c r="H173">
        <f ca="1">AVERAGE($G$2:G173)</f>
        <v>0.67441860465116277</v>
      </c>
      <c r="I173">
        <f ca="1">_xlfn.VAR.P($G$2:G173)</f>
        <v>17.359113034072472</v>
      </c>
      <c r="AE173">
        <f t="shared" si="20"/>
        <v>171</v>
      </c>
      <c r="AF173" s="66">
        <f t="shared" si="19"/>
        <v>1</v>
      </c>
    </row>
    <row r="174" spans="1:32" x14ac:dyDescent="0.3">
      <c r="A174">
        <f t="shared" ca="1" si="14"/>
        <v>0.30239915464064204</v>
      </c>
      <c r="B174">
        <f t="shared" ca="1" si="15"/>
        <v>1</v>
      </c>
      <c r="C174">
        <f ca="1">AVERAGE($B$2:B174)</f>
        <v>2.7341040462427744</v>
      </c>
      <c r="D174">
        <f ca="1">_xlfn.VAR.P($B$2:B174)</f>
        <v>9.9177386481339163</v>
      </c>
      <c r="E174">
        <f t="shared" ca="1" si="16"/>
        <v>0.16087070051199115</v>
      </c>
      <c r="F174">
        <f t="shared" ca="1" si="17"/>
        <v>0</v>
      </c>
      <c r="G174">
        <f t="shared" ca="1" si="18"/>
        <v>1</v>
      </c>
      <c r="H174">
        <f ca="1">AVERAGE($G$2:G174)</f>
        <v>0.67630057803468213</v>
      </c>
      <c r="I174">
        <f ca="1">_xlfn.VAR.P($G$2:G174)</f>
        <v>17.259380533930301</v>
      </c>
      <c r="AE174">
        <f t="shared" si="20"/>
        <v>172</v>
      </c>
      <c r="AF174" s="66">
        <f t="shared" si="19"/>
        <v>1</v>
      </c>
    </row>
    <row r="175" spans="1:32" x14ac:dyDescent="0.3">
      <c r="A175">
        <f t="shared" ca="1" si="14"/>
        <v>0.91937283117329605</v>
      </c>
      <c r="B175">
        <f t="shared" ca="1" si="15"/>
        <v>7</v>
      </c>
      <c r="C175">
        <f ca="1">AVERAGE($B$2:B175)</f>
        <v>2.7586206896551726</v>
      </c>
      <c r="D175">
        <f ca="1">_xlfn.VAR.P($B$2:B175)</f>
        <v>9.9647245342845814</v>
      </c>
      <c r="E175">
        <f t="shared" ca="1" si="16"/>
        <v>0.28870824537208462</v>
      </c>
      <c r="F175">
        <f t="shared" ca="1" si="17"/>
        <v>0</v>
      </c>
      <c r="G175">
        <f t="shared" ca="1" si="18"/>
        <v>7</v>
      </c>
      <c r="H175">
        <f ca="1">AVERAGE($G$2:G175)</f>
        <v>0.71264367816091956</v>
      </c>
      <c r="I175">
        <f ca="1">_xlfn.VAR.P($G$2:G175)</f>
        <v>17.388690712115206</v>
      </c>
      <c r="AE175">
        <f t="shared" si="20"/>
        <v>173</v>
      </c>
      <c r="AF175" s="66">
        <f t="shared" si="19"/>
        <v>1</v>
      </c>
    </row>
    <row r="176" spans="1:32" x14ac:dyDescent="0.3">
      <c r="A176">
        <f t="shared" ca="1" si="14"/>
        <v>0.35402627000918219</v>
      </c>
      <c r="B176">
        <f t="shared" ca="1" si="15"/>
        <v>1</v>
      </c>
      <c r="C176">
        <f ca="1">AVERAGE($B$2:B176)</f>
        <v>2.7485714285714287</v>
      </c>
      <c r="D176">
        <f ca="1">_xlfn.VAR.P($B$2:B176)</f>
        <v>9.9253551020408164</v>
      </c>
      <c r="E176">
        <f t="shared" ca="1" si="16"/>
        <v>0.76818694893890382</v>
      </c>
      <c r="F176">
        <f t="shared" ca="1" si="17"/>
        <v>4</v>
      </c>
      <c r="G176">
        <f t="shared" ca="1" si="18"/>
        <v>-3</v>
      </c>
      <c r="H176">
        <f ca="1">AVERAGE($G$2:G176)</f>
        <v>0.69142857142857139</v>
      </c>
      <c r="I176">
        <f ca="1">_xlfn.VAR.P($G$2:G176)</f>
        <v>17.367640816326531</v>
      </c>
      <c r="AE176">
        <f t="shared" si="20"/>
        <v>174</v>
      </c>
      <c r="AF176" s="66">
        <f t="shared" si="19"/>
        <v>1</v>
      </c>
    </row>
    <row r="177" spans="1:32" x14ac:dyDescent="0.3">
      <c r="A177">
        <f t="shared" ca="1" si="14"/>
        <v>0.54625304369395378</v>
      </c>
      <c r="B177">
        <f t="shared" ca="1" si="15"/>
        <v>2</v>
      </c>
      <c r="C177">
        <f ca="1">AVERAGE($B$2:B177)</f>
        <v>2.7443181818181817</v>
      </c>
      <c r="D177">
        <f ca="1">_xlfn.VAR.P($B$2:B177)</f>
        <v>9.8721268078512399</v>
      </c>
      <c r="E177">
        <f t="shared" ca="1" si="16"/>
        <v>0.31976700698032035</v>
      </c>
      <c r="F177">
        <f t="shared" ca="1" si="17"/>
        <v>1</v>
      </c>
      <c r="G177">
        <f t="shared" ca="1" si="18"/>
        <v>1</v>
      </c>
      <c r="H177">
        <f ca="1">AVERAGE($G$2:G177)</f>
        <v>0.69318181818181823</v>
      </c>
      <c r="I177">
        <f ca="1">_xlfn.VAR.P($G$2:G177)</f>
        <v>17.269498966942148</v>
      </c>
      <c r="AE177">
        <f t="shared" si="20"/>
        <v>175</v>
      </c>
      <c r="AF177" s="66">
        <f t="shared" si="19"/>
        <v>1</v>
      </c>
    </row>
    <row r="178" spans="1:32" x14ac:dyDescent="0.3">
      <c r="A178">
        <f t="shared" ca="1" si="14"/>
        <v>0.15470414715613767</v>
      </c>
      <c r="B178">
        <f t="shared" ca="1" si="15"/>
        <v>0</v>
      </c>
      <c r="C178">
        <f ca="1">AVERAGE($B$2:B178)</f>
        <v>2.7288135593220337</v>
      </c>
      <c r="D178">
        <f ca="1">_xlfn.VAR.P($B$2:B178)</f>
        <v>9.8586613042229239</v>
      </c>
      <c r="E178">
        <f t="shared" ca="1" si="16"/>
        <v>0.64923514738486188</v>
      </c>
      <c r="F178">
        <f t="shared" ca="1" si="17"/>
        <v>2</v>
      </c>
      <c r="G178">
        <f t="shared" ca="1" si="18"/>
        <v>-2</v>
      </c>
      <c r="H178">
        <f ca="1">AVERAGE($G$2:G178)</f>
        <v>0.67796610169491522</v>
      </c>
      <c r="I178">
        <f ca="1">_xlfn.VAR.P($G$2:G178)</f>
        <v>17.212678349133391</v>
      </c>
      <c r="AE178">
        <f t="shared" si="20"/>
        <v>176</v>
      </c>
      <c r="AF178" s="66">
        <f t="shared" si="19"/>
        <v>1</v>
      </c>
    </row>
    <row r="179" spans="1:32" x14ac:dyDescent="0.3">
      <c r="A179">
        <f t="shared" ca="1" si="14"/>
        <v>0.75077691669054503</v>
      </c>
      <c r="B179">
        <f t="shared" ca="1" si="15"/>
        <v>3</v>
      </c>
      <c r="C179">
        <f ca="1">AVERAGE($B$2:B179)</f>
        <v>2.7303370786516852</v>
      </c>
      <c r="D179">
        <f ca="1">_xlfn.VAR.P($B$2:B179)</f>
        <v>9.8036864032319144</v>
      </c>
      <c r="E179">
        <f t="shared" ca="1" si="16"/>
        <v>0.74545932855844732</v>
      </c>
      <c r="F179">
        <f t="shared" ca="1" si="17"/>
        <v>3</v>
      </c>
      <c r="G179">
        <f t="shared" ca="1" si="18"/>
        <v>0</v>
      </c>
      <c r="H179">
        <f ca="1">AVERAGE($G$2:G179)</f>
        <v>0.6741573033707865</v>
      </c>
      <c r="I179">
        <f ca="1">_xlfn.VAR.P($G$2:G179)</f>
        <v>17.118545638176997</v>
      </c>
      <c r="AE179">
        <f t="shared" si="20"/>
        <v>177</v>
      </c>
      <c r="AF179" s="66">
        <f t="shared" si="19"/>
        <v>1</v>
      </c>
    </row>
    <row r="180" spans="1:32" x14ac:dyDescent="0.3">
      <c r="A180">
        <f t="shared" ca="1" si="14"/>
        <v>0.77671368364373405</v>
      </c>
      <c r="B180">
        <f t="shared" ca="1" si="15"/>
        <v>4</v>
      </c>
      <c r="C180">
        <f ca="1">AVERAGE($B$2:B180)</f>
        <v>2.7374301675977653</v>
      </c>
      <c r="D180">
        <f ca="1">_xlfn.VAR.P($B$2:B180)</f>
        <v>9.7578727255703637</v>
      </c>
      <c r="E180">
        <f t="shared" ca="1" si="16"/>
        <v>0.68187797023597441</v>
      </c>
      <c r="F180">
        <f t="shared" ca="1" si="17"/>
        <v>3</v>
      </c>
      <c r="G180">
        <f t="shared" ca="1" si="18"/>
        <v>1</v>
      </c>
      <c r="H180">
        <f ca="1">AVERAGE($G$2:G180)</f>
        <v>0.67597765363128492</v>
      </c>
      <c r="I180">
        <f ca="1">_xlfn.VAR.P($G$2:G180)</f>
        <v>17.023501139165443</v>
      </c>
      <c r="AE180">
        <f t="shared" si="20"/>
        <v>178</v>
      </c>
      <c r="AF180" s="66">
        <f t="shared" si="19"/>
        <v>1</v>
      </c>
    </row>
    <row r="181" spans="1:32" x14ac:dyDescent="0.3">
      <c r="A181">
        <f t="shared" ca="1" si="14"/>
        <v>0.21004727345232554</v>
      </c>
      <c r="B181">
        <f t="shared" ca="1" si="15"/>
        <v>0</v>
      </c>
      <c r="C181">
        <f ca="1">AVERAGE($B$2:B181)</f>
        <v>2.7222222222222223</v>
      </c>
      <c r="D181">
        <f ca="1">_xlfn.VAR.P($B$2:B181)</f>
        <v>9.7450617283950614</v>
      </c>
      <c r="E181">
        <f t="shared" ca="1" si="16"/>
        <v>0.55117675636885921</v>
      </c>
      <c r="F181">
        <f t="shared" ca="1" si="17"/>
        <v>2</v>
      </c>
      <c r="G181">
        <f t="shared" ca="1" si="18"/>
        <v>-2</v>
      </c>
      <c r="H181">
        <f ca="1">AVERAGE($G$2:G181)</f>
        <v>0.66111111111111109</v>
      </c>
      <c r="I181">
        <f ca="1">_xlfn.VAR.P($G$2:G181)</f>
        <v>16.968487654320988</v>
      </c>
      <c r="AE181">
        <f t="shared" si="20"/>
        <v>179</v>
      </c>
      <c r="AF181" s="66">
        <f t="shared" si="19"/>
        <v>1</v>
      </c>
    </row>
    <row r="182" spans="1:32" x14ac:dyDescent="0.3">
      <c r="A182">
        <f t="shared" ca="1" si="14"/>
        <v>0.53326368518875478</v>
      </c>
      <c r="B182">
        <f t="shared" ca="1" si="15"/>
        <v>2</v>
      </c>
      <c r="C182">
        <f ca="1">AVERAGE($B$2:B182)</f>
        <v>2.7182320441988952</v>
      </c>
      <c r="D182">
        <f ca="1">_xlfn.VAR.P($B$2:B182)</f>
        <v>9.6940874820670917</v>
      </c>
      <c r="E182">
        <f t="shared" ca="1" si="16"/>
        <v>0.61955284855950232</v>
      </c>
      <c r="F182">
        <f t="shared" ca="1" si="17"/>
        <v>2</v>
      </c>
      <c r="G182">
        <f t="shared" ca="1" si="18"/>
        <v>0</v>
      </c>
      <c r="H182">
        <f ca="1">AVERAGE($G$2:G182)</f>
        <v>0.65745856353591159</v>
      </c>
      <c r="I182">
        <f ca="1">_xlfn.VAR.P($G$2:G182)</f>
        <v>16.877140502426666</v>
      </c>
      <c r="AE182">
        <f t="shared" si="20"/>
        <v>180</v>
      </c>
      <c r="AF182" s="66">
        <f t="shared" si="19"/>
        <v>1</v>
      </c>
    </row>
    <row r="183" spans="1:32" x14ac:dyDescent="0.3">
      <c r="A183">
        <f t="shared" ca="1" si="14"/>
        <v>9.336202241436764E-2</v>
      </c>
      <c r="B183">
        <f t="shared" ca="1" si="15"/>
        <v>0</v>
      </c>
      <c r="C183">
        <f ca="1">AVERAGE($B$2:B183)</f>
        <v>2.7032967032967035</v>
      </c>
      <c r="D183">
        <f ca="1">_xlfn.VAR.P($B$2:B183)</f>
        <v>9.681197922956164</v>
      </c>
      <c r="E183">
        <f t="shared" ca="1" si="16"/>
        <v>0.6127006377347991</v>
      </c>
      <c r="F183">
        <f t="shared" ca="1" si="17"/>
        <v>2</v>
      </c>
      <c r="G183">
        <f t="shared" ca="1" si="18"/>
        <v>-2</v>
      </c>
      <c r="H183">
        <f ca="1">AVERAGE($G$2:G183)</f>
        <v>0.6428571428571429</v>
      </c>
      <c r="I183">
        <f ca="1">_xlfn.VAR.P($G$2:G183)</f>
        <v>16.822998430141286</v>
      </c>
      <c r="AE183">
        <f t="shared" si="20"/>
        <v>181</v>
      </c>
      <c r="AF183" s="66">
        <f t="shared" si="19"/>
        <v>1</v>
      </c>
    </row>
    <row r="184" spans="1:32" x14ac:dyDescent="0.3">
      <c r="A184">
        <f t="shared" ca="1" si="14"/>
        <v>0.24325927365091793</v>
      </c>
      <c r="B184">
        <f t="shared" ca="1" si="15"/>
        <v>0</v>
      </c>
      <c r="C184">
        <f ca="1">AVERAGE($B$2:B184)</f>
        <v>2.6885245901639343</v>
      </c>
      <c r="D184">
        <f ca="1">_xlfn.VAR.P($B$2:B184)</f>
        <v>9.6680103914718263</v>
      </c>
      <c r="E184">
        <f t="shared" ca="1" si="16"/>
        <v>0.9617158768228764</v>
      </c>
      <c r="F184">
        <f t="shared" ca="1" si="17"/>
        <v>9</v>
      </c>
      <c r="G184">
        <f t="shared" ca="1" si="18"/>
        <v>-9</v>
      </c>
      <c r="H184">
        <f ca="1">AVERAGE($G$2:G184)</f>
        <v>0.5901639344262295</v>
      </c>
      <c r="I184">
        <f ca="1">_xlfn.VAR.P($G$2:G184)</f>
        <v>17.236405984054464</v>
      </c>
      <c r="AE184">
        <f t="shared" si="20"/>
        <v>182</v>
      </c>
      <c r="AF184" s="66">
        <f t="shared" si="19"/>
        <v>1</v>
      </c>
    </row>
    <row r="185" spans="1:32" x14ac:dyDescent="0.3">
      <c r="A185">
        <f t="shared" ca="1" si="14"/>
        <v>0.59279482398481742</v>
      </c>
      <c r="B185">
        <f t="shared" ca="1" si="15"/>
        <v>2</v>
      </c>
      <c r="C185">
        <f ca="1">AVERAGE($B$2:B185)</f>
        <v>2.6847826086956523</v>
      </c>
      <c r="D185">
        <f ca="1">_xlfn.VAR.P($B$2:B185)</f>
        <v>9.6180293005671071</v>
      </c>
      <c r="E185">
        <f t="shared" ca="1" si="16"/>
        <v>0.77072936556995397</v>
      </c>
      <c r="F185">
        <f t="shared" ca="1" si="17"/>
        <v>4</v>
      </c>
      <c r="G185">
        <f t="shared" ca="1" si="18"/>
        <v>-2</v>
      </c>
      <c r="H185">
        <f ca="1">AVERAGE($G$2:G185)</f>
        <v>0.57608695652173914</v>
      </c>
      <c r="I185">
        <f ca="1">_xlfn.VAR.P($G$2:G185)</f>
        <v>17.17899338374291</v>
      </c>
      <c r="AE185">
        <f t="shared" si="20"/>
        <v>183</v>
      </c>
      <c r="AF185" s="66">
        <f t="shared" si="19"/>
        <v>1</v>
      </c>
    </row>
    <row r="186" spans="1:32" x14ac:dyDescent="0.3">
      <c r="A186">
        <f t="shared" ca="1" si="14"/>
        <v>0.85110860361555074</v>
      </c>
      <c r="B186">
        <f t="shared" ca="1" si="15"/>
        <v>5</v>
      </c>
      <c r="C186">
        <f ca="1">AVERAGE($B$2:B186)</f>
        <v>2.6972972972972973</v>
      </c>
      <c r="D186">
        <f ca="1">_xlfn.VAR.P($B$2:B186)</f>
        <v>9.594857560262966</v>
      </c>
      <c r="E186">
        <f t="shared" ca="1" si="16"/>
        <v>0.70030697501775729</v>
      </c>
      <c r="F186">
        <f t="shared" ca="1" si="17"/>
        <v>3</v>
      </c>
      <c r="G186">
        <f t="shared" ca="1" si="18"/>
        <v>2</v>
      </c>
      <c r="H186">
        <f ca="1">AVERAGE($G$2:G186)</f>
        <v>0.58378378378378382</v>
      </c>
      <c r="I186">
        <f ca="1">_xlfn.VAR.P($G$2:G186)</f>
        <v>17.097034331628926</v>
      </c>
      <c r="AE186">
        <f t="shared" si="20"/>
        <v>184</v>
      </c>
      <c r="AF186" s="66">
        <f t="shared" si="19"/>
        <v>1</v>
      </c>
    </row>
    <row r="187" spans="1:32" x14ac:dyDescent="0.3">
      <c r="A187">
        <f t="shared" ca="1" si="14"/>
        <v>0.8919071139218665</v>
      </c>
      <c r="B187">
        <f t="shared" ca="1" si="15"/>
        <v>6</v>
      </c>
      <c r="C187">
        <f ca="1">AVERAGE($B$2:B187)</f>
        <v>2.71505376344086</v>
      </c>
      <c r="D187">
        <f ca="1">_xlfn.VAR.P($B$2:B187)</f>
        <v>9.6016013411955132</v>
      </c>
      <c r="E187">
        <f t="shared" ca="1" si="16"/>
        <v>0.98993403620591824</v>
      </c>
      <c r="F187">
        <f t="shared" ca="1" si="17"/>
        <v>12</v>
      </c>
      <c r="G187">
        <f t="shared" ca="1" si="18"/>
        <v>-6</v>
      </c>
      <c r="H187">
        <f ca="1">AVERAGE($G$2:G187)</f>
        <v>0.54838709677419351</v>
      </c>
      <c r="I187">
        <f ca="1">_xlfn.VAR.P($G$2:G187)</f>
        <v>17.236906000693722</v>
      </c>
      <c r="AE187">
        <f t="shared" si="20"/>
        <v>185</v>
      </c>
      <c r="AF187" s="66">
        <f t="shared" si="19"/>
        <v>1</v>
      </c>
    </row>
    <row r="188" spans="1:32" x14ac:dyDescent="0.3">
      <c r="A188">
        <f t="shared" ca="1" si="14"/>
        <v>0.9511966410715087</v>
      </c>
      <c r="B188">
        <f t="shared" ca="1" si="15"/>
        <v>8</v>
      </c>
      <c r="C188">
        <f ca="1">AVERAGE($B$2:B188)</f>
        <v>2.7433155080213902</v>
      </c>
      <c r="D188">
        <f ca="1">_xlfn.VAR.P($B$2:B188)</f>
        <v>9.6988189539306244</v>
      </c>
      <c r="E188">
        <f t="shared" ca="1" si="16"/>
        <v>1.4508042629333695E-2</v>
      </c>
      <c r="F188">
        <f t="shared" ca="1" si="17"/>
        <v>0</v>
      </c>
      <c r="G188">
        <f t="shared" ca="1" si="18"/>
        <v>8</v>
      </c>
      <c r="H188">
        <f ca="1">AVERAGE($G$2:G188)</f>
        <v>0.58823529411764708</v>
      </c>
      <c r="I188">
        <f ca="1">_xlfn.VAR.P($G$2:G188)</f>
        <v>17.440075495438816</v>
      </c>
      <c r="AE188">
        <f t="shared" si="20"/>
        <v>186</v>
      </c>
      <c r="AF188" s="66">
        <f t="shared" si="19"/>
        <v>1</v>
      </c>
    </row>
    <row r="189" spans="1:32" x14ac:dyDescent="0.3">
      <c r="A189">
        <f t="shared" ca="1" si="14"/>
        <v>0.96338471724543351</v>
      </c>
      <c r="B189">
        <f t="shared" ca="1" si="15"/>
        <v>9</v>
      </c>
      <c r="C189">
        <f ca="1">AVERAGE($B$2:B189)</f>
        <v>2.7765957446808511</v>
      </c>
      <c r="D189">
        <f ca="1">_xlfn.VAR.P($B$2:B189)</f>
        <v>9.8543458578542324</v>
      </c>
      <c r="E189">
        <f t="shared" ca="1" si="16"/>
        <v>0.55533814633804301</v>
      </c>
      <c r="F189">
        <f t="shared" ca="1" si="17"/>
        <v>2</v>
      </c>
      <c r="G189">
        <f t="shared" ca="1" si="18"/>
        <v>7</v>
      </c>
      <c r="H189">
        <f ca="1">AVERAGE($G$2:G189)</f>
        <v>0.62234042553191493</v>
      </c>
      <c r="I189">
        <f ca="1">_xlfn.VAR.P($G$2:G189)</f>
        <v>17.564820054323224</v>
      </c>
      <c r="AE189">
        <f t="shared" si="20"/>
        <v>187</v>
      </c>
      <c r="AF189" s="66">
        <f t="shared" si="19"/>
        <v>1</v>
      </c>
    </row>
    <row r="190" spans="1:32" x14ac:dyDescent="0.3">
      <c r="A190">
        <f t="shared" ca="1" si="14"/>
        <v>0.64751881026474156</v>
      </c>
      <c r="B190">
        <f t="shared" ca="1" si="15"/>
        <v>2</v>
      </c>
      <c r="C190">
        <f ca="1">AVERAGE($B$2:B190)</f>
        <v>2.7724867724867726</v>
      </c>
      <c r="D190">
        <f ca="1">_xlfn.VAR.P($B$2:B190)</f>
        <v>9.8053805884493723</v>
      </c>
      <c r="E190">
        <f t="shared" ca="1" si="16"/>
        <v>0.67606492185380718</v>
      </c>
      <c r="F190">
        <f t="shared" ca="1" si="17"/>
        <v>3</v>
      </c>
      <c r="G190">
        <f t="shared" ca="1" si="18"/>
        <v>-1</v>
      </c>
      <c r="H190">
        <f ca="1">AVERAGE($G$2:G190)</f>
        <v>0.61375661375661372</v>
      </c>
      <c r="I190">
        <f ca="1">_xlfn.VAR.P($G$2:G190)</f>
        <v>17.485736681503877</v>
      </c>
      <c r="AE190">
        <f t="shared" si="20"/>
        <v>188</v>
      </c>
      <c r="AF190" s="66">
        <f t="shared" si="19"/>
        <v>1</v>
      </c>
    </row>
    <row r="191" spans="1:32" x14ac:dyDescent="0.3">
      <c r="A191">
        <f t="shared" ca="1" si="14"/>
        <v>0.83356135659132657</v>
      </c>
      <c r="B191">
        <f t="shared" ca="1" si="15"/>
        <v>5</v>
      </c>
      <c r="C191">
        <f ca="1">AVERAGE($B$2:B191)</f>
        <v>2.7842105263157895</v>
      </c>
      <c r="D191">
        <f ca="1">_xlfn.VAR.P($B$2:B191)</f>
        <v>9.7797506925207749</v>
      </c>
      <c r="E191">
        <f t="shared" ca="1" si="16"/>
        <v>0.91815070448707969</v>
      </c>
      <c r="F191">
        <f t="shared" ca="1" si="17"/>
        <v>7</v>
      </c>
      <c r="G191">
        <f t="shared" ca="1" si="18"/>
        <v>-2</v>
      </c>
      <c r="H191">
        <f ca="1">AVERAGE($G$2:G191)</f>
        <v>0.6</v>
      </c>
      <c r="I191">
        <f ca="1">_xlfn.VAR.P($G$2:G191)</f>
        <v>17.429473684210528</v>
      </c>
      <c r="AE191">
        <f t="shared" si="20"/>
        <v>189</v>
      </c>
      <c r="AF191" s="66">
        <f t="shared" si="19"/>
        <v>1</v>
      </c>
    </row>
    <row r="192" spans="1:32" x14ac:dyDescent="0.3">
      <c r="A192">
        <f t="shared" ca="1" si="14"/>
        <v>0.33182613026469099</v>
      </c>
      <c r="B192">
        <f t="shared" ca="1" si="15"/>
        <v>1</v>
      </c>
      <c r="C192">
        <f ca="1">AVERAGE($B$2:B192)</f>
        <v>2.7748691099476441</v>
      </c>
      <c r="D192">
        <f ca="1">_xlfn.VAR.P($B$2:B192)</f>
        <v>9.745127600668841</v>
      </c>
      <c r="E192">
        <f t="shared" ca="1" si="16"/>
        <v>0.96442577897846982</v>
      </c>
      <c r="F192">
        <f t="shared" ca="1" si="17"/>
        <v>9</v>
      </c>
      <c r="G192">
        <f t="shared" ca="1" si="18"/>
        <v>-8</v>
      </c>
      <c r="H192">
        <f ca="1">AVERAGE($G$2:G192)</f>
        <v>0.55497382198952883</v>
      </c>
      <c r="I192">
        <f ca="1">_xlfn.VAR.P($G$2:G192)</f>
        <v>17.723417669471779</v>
      </c>
      <c r="AE192">
        <f t="shared" si="20"/>
        <v>190</v>
      </c>
      <c r="AF192" s="66">
        <f t="shared" si="19"/>
        <v>1</v>
      </c>
    </row>
    <row r="193" spans="1:32" x14ac:dyDescent="0.3">
      <c r="A193">
        <f t="shared" ca="1" si="14"/>
        <v>0.91814069982413193</v>
      </c>
      <c r="B193">
        <f t="shared" ca="1" si="15"/>
        <v>7</v>
      </c>
      <c r="C193">
        <f ca="1">AVERAGE($B$2:B193)</f>
        <v>2.796875</v>
      </c>
      <c r="D193">
        <f ca="1">_xlfn.VAR.P($B$2:B193)</f>
        <v>9.786865234375</v>
      </c>
      <c r="E193">
        <f t="shared" ca="1" si="16"/>
        <v>0.81581189676858901</v>
      </c>
      <c r="F193">
        <f t="shared" ca="1" si="17"/>
        <v>4</v>
      </c>
      <c r="G193">
        <f t="shared" ca="1" si="18"/>
        <v>3</v>
      </c>
      <c r="H193">
        <f ca="1">AVERAGE($G$2:G193)</f>
        <v>0.56770833333333337</v>
      </c>
      <c r="I193">
        <f ca="1">_xlfn.VAR.P($G$2:G193)</f>
        <v>17.662082248263889</v>
      </c>
      <c r="AE193">
        <f t="shared" si="20"/>
        <v>191</v>
      </c>
      <c r="AF193" s="66">
        <f t="shared" si="19"/>
        <v>1</v>
      </c>
    </row>
    <row r="194" spans="1:32" x14ac:dyDescent="0.3">
      <c r="A194">
        <f t="shared" ca="1" si="14"/>
        <v>0.41526774824063728</v>
      </c>
      <c r="B194">
        <f t="shared" ca="1" si="15"/>
        <v>1</v>
      </c>
      <c r="C194">
        <f ca="1">AVERAGE($B$2:B194)</f>
        <v>2.7875647668393784</v>
      </c>
      <c r="D194">
        <f ca="1">_xlfn.VAR.P($B$2:B194)</f>
        <v>9.7527987328518879</v>
      </c>
      <c r="E194">
        <f t="shared" ca="1" si="16"/>
        <v>0.50166018715895477</v>
      </c>
      <c r="F194">
        <f t="shared" ca="1" si="17"/>
        <v>1</v>
      </c>
      <c r="G194">
        <f t="shared" ca="1" si="18"/>
        <v>0</v>
      </c>
      <c r="H194">
        <f ca="1">AVERAGE($G$2:G194)</f>
        <v>0.56476683937823835</v>
      </c>
      <c r="I194">
        <f ca="1">_xlfn.VAR.P($G$2:G194)</f>
        <v>17.572230126983275</v>
      </c>
      <c r="AE194">
        <f t="shared" si="20"/>
        <v>192</v>
      </c>
      <c r="AF194" s="66">
        <f t="shared" si="19"/>
        <v>1</v>
      </c>
    </row>
    <row r="195" spans="1:32" x14ac:dyDescent="0.3">
      <c r="A195">
        <f t="shared" ref="A195:A258" ca="1" si="21">RAND()</f>
        <v>0.36145037734656682</v>
      </c>
      <c r="B195">
        <f t="shared" ref="B195:B258" ca="1" si="22">LOOKUP(A195,$AF$2:$AF$1002,$AE$2:$AE$1002)</f>
        <v>1</v>
      </c>
      <c r="C195">
        <f ca="1">AVERAGE($B$2:B195)</f>
        <v>2.7783505154639174</v>
      </c>
      <c r="D195">
        <f ca="1">_xlfn.VAR.P($B$2:B195)</f>
        <v>9.7189127431182918</v>
      </c>
      <c r="E195">
        <f t="shared" ref="E195:E258" ca="1" si="23">RAND()</f>
        <v>0.50149161339733461</v>
      </c>
      <c r="F195">
        <f t="shared" ref="F195:F258" ca="1" si="24">LOOKUP(E195,$AF$2:$AF$1002,$AE$2:$AE$1002)</f>
        <v>1</v>
      </c>
      <c r="G195">
        <f t="shared" ref="G195:G258" ca="1" si="25">B195-F195</f>
        <v>0</v>
      </c>
      <c r="H195">
        <f ca="1">AVERAGE($G$2:G195)</f>
        <v>0.56185567010309279</v>
      </c>
      <c r="I195">
        <f ca="1">_xlfn.VAR.P($G$2:G195)</f>
        <v>17.483287278137954</v>
      </c>
      <c r="AE195">
        <f t="shared" si="20"/>
        <v>193</v>
      </c>
      <c r="AF195" s="66">
        <f t="shared" ref="AF195:AF258" si="26">_xlfn.NEGBINOM.DIST(AE195-1,1,$K$1,TRUE)</f>
        <v>1</v>
      </c>
    </row>
    <row r="196" spans="1:32" x14ac:dyDescent="0.3">
      <c r="A196">
        <f t="shared" ca="1" si="21"/>
        <v>0.62808676036891464</v>
      </c>
      <c r="B196">
        <f t="shared" ca="1" si="22"/>
        <v>2</v>
      </c>
      <c r="C196">
        <f ca="1">AVERAGE($B$2:B196)</f>
        <v>2.7743589743589743</v>
      </c>
      <c r="D196">
        <f ca="1">_xlfn.VAR.P($B$2:B196)</f>
        <v>9.6721630506245884</v>
      </c>
      <c r="E196">
        <f t="shared" ca="1" si="23"/>
        <v>0.74790845075709156</v>
      </c>
      <c r="F196">
        <f t="shared" ca="1" si="24"/>
        <v>3</v>
      </c>
      <c r="G196">
        <f t="shared" ca="1" si="25"/>
        <v>-1</v>
      </c>
      <c r="H196">
        <f ca="1">AVERAGE($G$2:G196)</f>
        <v>0.55384615384615388</v>
      </c>
      <c r="I196">
        <f ca="1">_xlfn.VAR.P($G$2:G196)</f>
        <v>17.406074950690336</v>
      </c>
      <c r="AE196">
        <f t="shared" si="20"/>
        <v>194</v>
      </c>
      <c r="AF196" s="66">
        <f t="shared" si="26"/>
        <v>1</v>
      </c>
    </row>
    <row r="197" spans="1:32" x14ac:dyDescent="0.3">
      <c r="A197">
        <f t="shared" ca="1" si="21"/>
        <v>8.7442431957006628E-3</v>
      </c>
      <c r="B197">
        <f t="shared" ca="1" si="22"/>
        <v>0</v>
      </c>
      <c r="C197">
        <f ca="1">AVERAGE($B$2:B197)</f>
        <v>2.760204081632653</v>
      </c>
      <c r="D197">
        <f ca="1">_xlfn.VAR.P($B$2:B197)</f>
        <v>9.6618856726364015</v>
      </c>
      <c r="E197">
        <f t="shared" ca="1" si="23"/>
        <v>0.73118870021052773</v>
      </c>
      <c r="F197">
        <f t="shared" ca="1" si="24"/>
        <v>3</v>
      </c>
      <c r="G197">
        <f t="shared" ca="1" si="25"/>
        <v>-3</v>
      </c>
      <c r="H197">
        <f ca="1">AVERAGE($G$2:G197)</f>
        <v>0.5357142857142857</v>
      </c>
      <c r="I197">
        <f ca="1">_xlfn.VAR.P($G$2:G197)</f>
        <v>17.381377551020407</v>
      </c>
      <c r="AE197">
        <f t="shared" ref="AE197:AE260" si="27">AE196+1</f>
        <v>195</v>
      </c>
      <c r="AF197" s="66">
        <f t="shared" si="26"/>
        <v>1</v>
      </c>
    </row>
    <row r="198" spans="1:32" x14ac:dyDescent="0.3">
      <c r="A198">
        <f t="shared" ca="1" si="21"/>
        <v>0.65121146261584928</v>
      </c>
      <c r="B198">
        <f t="shared" ca="1" si="22"/>
        <v>2</v>
      </c>
      <c r="C198">
        <f ca="1">AVERAGE($B$2:B198)</f>
        <v>2.7563451776649748</v>
      </c>
      <c r="D198">
        <f ca="1">_xlfn.VAR.P($B$2:B198)</f>
        <v>9.6157592311061872</v>
      </c>
      <c r="E198">
        <f t="shared" ca="1" si="23"/>
        <v>5.001510783893437E-2</v>
      </c>
      <c r="F198">
        <f t="shared" ca="1" si="24"/>
        <v>0</v>
      </c>
      <c r="G198">
        <f t="shared" ca="1" si="25"/>
        <v>2</v>
      </c>
      <c r="H198">
        <f ca="1">AVERAGE($G$2:G198)</f>
        <v>0.54314720812182737</v>
      </c>
      <c r="I198">
        <f ca="1">_xlfn.VAR.P($G$2:G198)</f>
        <v>17.303975881883069</v>
      </c>
      <c r="AE198">
        <f t="shared" si="27"/>
        <v>196</v>
      </c>
      <c r="AF198" s="66">
        <f t="shared" si="26"/>
        <v>1</v>
      </c>
    </row>
    <row r="199" spans="1:32" x14ac:dyDescent="0.3">
      <c r="A199">
        <f t="shared" ca="1" si="21"/>
        <v>0.3563666204841125</v>
      </c>
      <c r="B199">
        <f t="shared" ca="1" si="22"/>
        <v>1</v>
      </c>
      <c r="C199">
        <f ca="1">AVERAGE($B$2:B199)</f>
        <v>2.7474747474747474</v>
      </c>
      <c r="D199">
        <f ca="1">_xlfn.VAR.P($B$2:B199)</f>
        <v>9.5826956433017045</v>
      </c>
      <c r="E199">
        <f t="shared" ca="1" si="23"/>
        <v>0.32042037592158412</v>
      </c>
      <c r="F199">
        <f t="shared" ca="1" si="24"/>
        <v>1</v>
      </c>
      <c r="G199">
        <f t="shared" ca="1" si="25"/>
        <v>0</v>
      </c>
      <c r="H199">
        <f ca="1">AVERAGE($G$2:G199)</f>
        <v>0.54040404040404044</v>
      </c>
      <c r="I199">
        <f ca="1">_xlfn.VAR.P($G$2:G199)</f>
        <v>17.218064483215997</v>
      </c>
      <c r="AE199">
        <f t="shared" si="27"/>
        <v>197</v>
      </c>
      <c r="AF199" s="66">
        <f t="shared" si="26"/>
        <v>1</v>
      </c>
    </row>
    <row r="200" spans="1:32" x14ac:dyDescent="0.3">
      <c r="A200">
        <f t="shared" ca="1" si="21"/>
        <v>0.89967266184189676</v>
      </c>
      <c r="B200">
        <f t="shared" ca="1" si="22"/>
        <v>6</v>
      </c>
      <c r="C200">
        <f ca="1">AVERAGE($B$2:B200)</f>
        <v>2.7638190954773871</v>
      </c>
      <c r="D200">
        <f ca="1">_xlfn.VAR.P($B$2:B200)</f>
        <v>9.5874346607408896</v>
      </c>
      <c r="E200">
        <f t="shared" ca="1" si="23"/>
        <v>0.41197342836355144</v>
      </c>
      <c r="F200">
        <f t="shared" ca="1" si="24"/>
        <v>1</v>
      </c>
      <c r="G200">
        <f t="shared" ca="1" si="25"/>
        <v>5</v>
      </c>
      <c r="H200">
        <f ca="1">AVERAGE($G$2:G200)</f>
        <v>0.56281407035175879</v>
      </c>
      <c r="I200">
        <f ca="1">_xlfn.VAR.P($G$2:G200)</f>
        <v>17.230979015681424</v>
      </c>
      <c r="AE200">
        <f t="shared" si="27"/>
        <v>198</v>
      </c>
      <c r="AF200" s="66">
        <f t="shared" si="26"/>
        <v>1</v>
      </c>
    </row>
    <row r="201" spans="1:32" x14ac:dyDescent="0.3">
      <c r="A201">
        <f t="shared" ca="1" si="21"/>
        <v>0.82461612244491467</v>
      </c>
      <c r="B201">
        <f t="shared" ca="1" si="22"/>
        <v>4</v>
      </c>
      <c r="C201">
        <f ca="1">AVERAGE($B$2:B201)</f>
        <v>2.77</v>
      </c>
      <c r="D201">
        <f ca="1">_xlfn.VAR.P($B$2:B201)</f>
        <v>9.5471000000000004</v>
      </c>
      <c r="E201">
        <f t="shared" ca="1" si="23"/>
        <v>0.16045680343780999</v>
      </c>
      <c r="F201">
        <f t="shared" ca="1" si="24"/>
        <v>0</v>
      </c>
      <c r="G201">
        <f t="shared" ca="1" si="25"/>
        <v>4</v>
      </c>
      <c r="H201">
        <f ca="1">AVERAGE($G$2:G201)</f>
        <v>0.57999999999999996</v>
      </c>
      <c r="I201">
        <f ca="1">_xlfn.VAR.P($G$2:G201)</f>
        <v>17.203600000000002</v>
      </c>
      <c r="AE201">
        <f t="shared" si="27"/>
        <v>199</v>
      </c>
      <c r="AF201" s="66">
        <f t="shared" si="26"/>
        <v>1</v>
      </c>
    </row>
    <row r="202" spans="1:32" x14ac:dyDescent="0.3">
      <c r="A202">
        <f t="shared" ca="1" si="21"/>
        <v>0.71696136216963302</v>
      </c>
      <c r="B202">
        <f t="shared" ca="1" si="22"/>
        <v>3</v>
      </c>
      <c r="C202">
        <f ca="1">AVERAGE($B$2:B202)</f>
        <v>2.7711442786069651</v>
      </c>
      <c r="D202">
        <f ca="1">_xlfn.VAR.P($B$2:B202)</f>
        <v>9.499863864755822</v>
      </c>
      <c r="E202">
        <f t="shared" ca="1" si="23"/>
        <v>0.29549238303151382</v>
      </c>
      <c r="F202">
        <f t="shared" ca="1" si="24"/>
        <v>0</v>
      </c>
      <c r="G202">
        <f t="shared" ca="1" si="25"/>
        <v>3</v>
      </c>
      <c r="H202">
        <f ca="1">AVERAGE($G$2:G202)</f>
        <v>0.59203980099502485</v>
      </c>
      <c r="I202">
        <f ca="1">_xlfn.VAR.P($G$2:G202)</f>
        <v>17.147001311848715</v>
      </c>
      <c r="AE202">
        <f t="shared" si="27"/>
        <v>200</v>
      </c>
      <c r="AF202" s="66">
        <f t="shared" si="26"/>
        <v>1</v>
      </c>
    </row>
    <row r="203" spans="1:32" x14ac:dyDescent="0.3">
      <c r="A203">
        <f t="shared" ca="1" si="21"/>
        <v>0.43154176807463429</v>
      </c>
      <c r="B203">
        <f t="shared" ca="1" si="22"/>
        <v>1</v>
      </c>
      <c r="C203">
        <f ca="1">AVERAGE($B$2:B203)</f>
        <v>2.7623762376237622</v>
      </c>
      <c r="D203">
        <f ca="1">_xlfn.VAR.P($B$2:B203)</f>
        <v>9.4682874228016853</v>
      </c>
      <c r="E203">
        <f t="shared" ca="1" si="23"/>
        <v>0.73066101822669416</v>
      </c>
      <c r="F203">
        <f t="shared" ca="1" si="24"/>
        <v>3</v>
      </c>
      <c r="G203">
        <f t="shared" ca="1" si="25"/>
        <v>-2</v>
      </c>
      <c r="H203">
        <f ca="1">AVERAGE($G$2:G203)</f>
        <v>0.57920792079207917</v>
      </c>
      <c r="I203">
        <f ca="1">_xlfn.VAR.P($G$2:G203)</f>
        <v>17.095211253798649</v>
      </c>
      <c r="AE203">
        <f t="shared" si="27"/>
        <v>201</v>
      </c>
      <c r="AF203" s="66">
        <f t="shared" si="26"/>
        <v>1</v>
      </c>
    </row>
    <row r="204" spans="1:32" x14ac:dyDescent="0.3">
      <c r="A204">
        <f t="shared" ca="1" si="21"/>
        <v>0.43147097849511806</v>
      </c>
      <c r="B204">
        <f t="shared" ca="1" si="22"/>
        <v>1</v>
      </c>
      <c r="C204">
        <f ca="1">AVERAGE($B$2:B204)</f>
        <v>2.7536945812807883</v>
      </c>
      <c r="D204">
        <f ca="1">_xlfn.VAR.P($B$2:B204)</f>
        <v>9.4368705865223621</v>
      </c>
      <c r="E204">
        <f t="shared" ca="1" si="23"/>
        <v>0.95704753813614241</v>
      </c>
      <c r="F204">
        <f t="shared" ca="1" si="24"/>
        <v>8</v>
      </c>
      <c r="G204">
        <f t="shared" ca="1" si="25"/>
        <v>-7</v>
      </c>
      <c r="H204">
        <f ca="1">AVERAGE($G$2:G204)</f>
        <v>0.54187192118226601</v>
      </c>
      <c r="I204">
        <f ca="1">_xlfn.VAR.P($G$2:G204)</f>
        <v>17.292581717585964</v>
      </c>
      <c r="AE204">
        <f t="shared" si="27"/>
        <v>202</v>
      </c>
      <c r="AF204" s="66">
        <f t="shared" si="26"/>
        <v>1</v>
      </c>
    </row>
    <row r="205" spans="1:32" x14ac:dyDescent="0.3">
      <c r="A205">
        <f t="shared" ca="1" si="21"/>
        <v>0.97041393553872457</v>
      </c>
      <c r="B205">
        <f t="shared" ca="1" si="22"/>
        <v>9</v>
      </c>
      <c r="C205">
        <f ca="1">AVERAGE($B$2:B205)</f>
        <v>2.784313725490196</v>
      </c>
      <c r="D205">
        <f ca="1">_xlfn.VAR.P($B$2:B205)</f>
        <v>9.5809304113802387</v>
      </c>
      <c r="E205">
        <f t="shared" ca="1" si="23"/>
        <v>0.13696772209175467</v>
      </c>
      <c r="F205">
        <f t="shared" ca="1" si="24"/>
        <v>0</v>
      </c>
      <c r="G205">
        <f t="shared" ca="1" si="25"/>
        <v>9</v>
      </c>
      <c r="H205">
        <f ca="1">AVERAGE($G$2:G205)</f>
        <v>0.58333333333333337</v>
      </c>
      <c r="I205">
        <f ca="1">_xlfn.VAR.P($G$2:G205)</f>
        <v>17.556781045751634</v>
      </c>
      <c r="AE205">
        <f t="shared" si="27"/>
        <v>203</v>
      </c>
      <c r="AF205" s="66">
        <f t="shared" si="26"/>
        <v>1</v>
      </c>
    </row>
    <row r="206" spans="1:32" x14ac:dyDescent="0.3">
      <c r="A206">
        <f t="shared" ca="1" si="21"/>
        <v>0.84714051358376163</v>
      </c>
      <c r="B206">
        <f t="shared" ca="1" si="22"/>
        <v>5</v>
      </c>
      <c r="C206">
        <f ca="1">AVERAGE($B$2:B206)</f>
        <v>2.795121951219512</v>
      </c>
      <c r="D206">
        <f ca="1">_xlfn.VAR.P($B$2:B206)</f>
        <v>9.5580249851279007</v>
      </c>
      <c r="E206">
        <f t="shared" ca="1" si="23"/>
        <v>9.426296869076034E-2</v>
      </c>
      <c r="F206">
        <f t="shared" ca="1" si="24"/>
        <v>0</v>
      </c>
      <c r="G206">
        <f t="shared" ca="1" si="25"/>
        <v>5</v>
      </c>
      <c r="H206">
        <f ca="1">AVERAGE($G$2:G206)</f>
        <v>0.60487804878048779</v>
      </c>
      <c r="I206">
        <f ca="1">_xlfn.VAR.P($G$2:G206)</f>
        <v>17.565829863176681</v>
      </c>
      <c r="AE206">
        <f t="shared" si="27"/>
        <v>204</v>
      </c>
      <c r="AF206" s="66">
        <f t="shared" si="26"/>
        <v>1</v>
      </c>
    </row>
    <row r="207" spans="1:32" x14ac:dyDescent="0.3">
      <c r="A207">
        <f t="shared" ca="1" si="21"/>
        <v>0.50469335231202461</v>
      </c>
      <c r="B207">
        <f t="shared" ca="1" si="22"/>
        <v>1</v>
      </c>
      <c r="C207">
        <f ca="1">AVERAGE($B$2:B207)</f>
        <v>2.7864077669902914</v>
      </c>
      <c r="D207">
        <f ca="1">_xlfn.VAR.P($B$2:B207)</f>
        <v>9.5271938919785093</v>
      </c>
      <c r="E207">
        <f t="shared" ca="1" si="23"/>
        <v>0.1334190159964469</v>
      </c>
      <c r="F207">
        <f t="shared" ca="1" si="24"/>
        <v>0</v>
      </c>
      <c r="G207">
        <f t="shared" ca="1" si="25"/>
        <v>1</v>
      </c>
      <c r="H207">
        <f ca="1">AVERAGE($G$2:G207)</f>
        <v>0.60679611650485432</v>
      </c>
      <c r="I207">
        <f ca="1">_xlfn.VAR.P($G$2:G207)</f>
        <v>17.481313036101422</v>
      </c>
      <c r="AE207">
        <f t="shared" si="27"/>
        <v>205</v>
      </c>
      <c r="AF207" s="66">
        <f t="shared" si="26"/>
        <v>1</v>
      </c>
    </row>
    <row r="208" spans="1:32" x14ac:dyDescent="0.3">
      <c r="A208">
        <f t="shared" ca="1" si="21"/>
        <v>0.90645850214977508</v>
      </c>
      <c r="B208">
        <f t="shared" ca="1" si="22"/>
        <v>6</v>
      </c>
      <c r="C208">
        <f ca="1">AVERAGE($B$2:B208)</f>
        <v>2.8019323671497585</v>
      </c>
      <c r="D208">
        <f ca="1">_xlfn.VAR.P($B$2:B208)</f>
        <v>9.5308175219958464</v>
      </c>
      <c r="E208">
        <f t="shared" ca="1" si="23"/>
        <v>0.6637018175620969</v>
      </c>
      <c r="F208">
        <f t="shared" ca="1" si="24"/>
        <v>3</v>
      </c>
      <c r="G208">
        <f t="shared" ca="1" si="25"/>
        <v>3</v>
      </c>
      <c r="H208">
        <f ca="1">AVERAGE($G$2:G208)</f>
        <v>0.61835748792270528</v>
      </c>
      <c r="I208">
        <f ca="1">_xlfn.VAR.P($G$2:G208)</f>
        <v>17.424397302154077</v>
      </c>
      <c r="AE208">
        <f t="shared" si="27"/>
        <v>206</v>
      </c>
      <c r="AF208" s="66">
        <f t="shared" si="26"/>
        <v>1</v>
      </c>
    </row>
    <row r="209" spans="1:32" x14ac:dyDescent="0.3">
      <c r="A209">
        <f t="shared" ca="1" si="21"/>
        <v>0.52833355227659529</v>
      </c>
      <c r="B209">
        <f t="shared" ca="1" si="22"/>
        <v>2</v>
      </c>
      <c r="C209">
        <f ca="1">AVERAGE($B$2:B209)</f>
        <v>2.7980769230769229</v>
      </c>
      <c r="D209">
        <f ca="1">_xlfn.VAR.P($B$2:B209)</f>
        <v>9.4880732248520712</v>
      </c>
      <c r="E209">
        <f t="shared" ca="1" si="23"/>
        <v>0.53062253835090056</v>
      </c>
      <c r="F209">
        <f t="shared" ca="1" si="24"/>
        <v>2</v>
      </c>
      <c r="G209">
        <f t="shared" ca="1" si="25"/>
        <v>0</v>
      </c>
      <c r="H209">
        <f ca="1">AVERAGE($G$2:G209)</f>
        <v>0.61538461538461542</v>
      </c>
      <c r="I209">
        <f ca="1">_xlfn.VAR.P($G$2:G209)</f>
        <v>17.342455621301774</v>
      </c>
      <c r="AE209">
        <f t="shared" si="27"/>
        <v>207</v>
      </c>
      <c r="AF209" s="66">
        <f t="shared" si="26"/>
        <v>1</v>
      </c>
    </row>
    <row r="210" spans="1:32" x14ac:dyDescent="0.3">
      <c r="A210">
        <f t="shared" ca="1" si="21"/>
        <v>0.12879623422845443</v>
      </c>
      <c r="B210">
        <f t="shared" ca="1" si="22"/>
        <v>0</v>
      </c>
      <c r="C210">
        <f ca="1">AVERAGE($B$2:B210)</f>
        <v>2.7846889952153111</v>
      </c>
      <c r="D210">
        <f ca="1">_xlfn.VAR.P($B$2:B210)</f>
        <v>9.4799569606922915</v>
      </c>
      <c r="E210">
        <f t="shared" ca="1" si="23"/>
        <v>0.78492724768079347</v>
      </c>
      <c r="F210">
        <f t="shared" ca="1" si="24"/>
        <v>4</v>
      </c>
      <c r="G210">
        <f t="shared" ca="1" si="25"/>
        <v>-4</v>
      </c>
      <c r="H210">
        <f ca="1">AVERAGE($G$2:G210)</f>
        <v>0.59330143540669855</v>
      </c>
      <c r="I210">
        <f ca="1">_xlfn.VAR.P($G$2:G210)</f>
        <v>17.360912067031432</v>
      </c>
      <c r="AE210">
        <f t="shared" si="27"/>
        <v>208</v>
      </c>
      <c r="AF210" s="66">
        <f t="shared" si="26"/>
        <v>1</v>
      </c>
    </row>
    <row r="211" spans="1:32" x14ac:dyDescent="0.3">
      <c r="A211">
        <f t="shared" ca="1" si="21"/>
        <v>0.56274658445158809</v>
      </c>
      <c r="B211">
        <f t="shared" ca="1" si="22"/>
        <v>2</v>
      </c>
      <c r="C211">
        <f ca="1">AVERAGE($B$2:B211)</f>
        <v>2.7809523809523808</v>
      </c>
      <c r="D211">
        <f ca="1">_xlfn.VAR.P($B$2:B211)</f>
        <v>9.4377324263038549</v>
      </c>
      <c r="E211">
        <f t="shared" ca="1" si="23"/>
        <v>0.64412594621093933</v>
      </c>
      <c r="F211">
        <f t="shared" ca="1" si="24"/>
        <v>2</v>
      </c>
      <c r="G211">
        <f t="shared" ca="1" si="25"/>
        <v>0</v>
      </c>
      <c r="H211">
        <f ca="1">AVERAGE($G$2:G211)</f>
        <v>0.59047619047619049</v>
      </c>
      <c r="I211">
        <f ca="1">_xlfn.VAR.P($G$2:G211)</f>
        <v>17.279909297052154</v>
      </c>
      <c r="AE211">
        <f t="shared" si="27"/>
        <v>209</v>
      </c>
      <c r="AF211" s="66">
        <f t="shared" si="26"/>
        <v>1</v>
      </c>
    </row>
    <row r="212" spans="1:32" x14ac:dyDescent="0.3">
      <c r="A212">
        <f t="shared" ca="1" si="21"/>
        <v>0.43004327388429908</v>
      </c>
      <c r="B212">
        <f t="shared" ca="1" si="22"/>
        <v>1</v>
      </c>
      <c r="C212">
        <f ca="1">AVERAGE($B$2:B212)</f>
        <v>2.7725118483412321</v>
      </c>
      <c r="D212">
        <f ca="1">_xlfn.VAR.P($B$2:B212)</f>
        <v>9.4079647806653046</v>
      </c>
      <c r="E212">
        <f t="shared" ca="1" si="23"/>
        <v>3.3510944090178296E-2</v>
      </c>
      <c r="F212">
        <f t="shared" ca="1" si="24"/>
        <v>0</v>
      </c>
      <c r="G212">
        <f t="shared" ca="1" si="25"/>
        <v>1</v>
      </c>
      <c r="H212">
        <f ca="1">AVERAGE($G$2:G212)</f>
        <v>0.59241706161137442</v>
      </c>
      <c r="I212">
        <f ca="1">_xlfn.VAR.P($G$2:G212)</f>
        <v>17.1988050582871</v>
      </c>
      <c r="AE212">
        <f t="shared" si="27"/>
        <v>210</v>
      </c>
      <c r="AF212" s="66">
        <f t="shared" si="26"/>
        <v>1</v>
      </c>
    </row>
    <row r="213" spans="1:32" x14ac:dyDescent="0.3">
      <c r="A213">
        <f t="shared" ca="1" si="21"/>
        <v>0.1096902536341321</v>
      </c>
      <c r="B213">
        <f t="shared" ca="1" si="22"/>
        <v>0</v>
      </c>
      <c r="C213">
        <f ca="1">AVERAGE($B$2:B213)</f>
        <v>2.7594339622641511</v>
      </c>
      <c r="D213">
        <f ca="1">_xlfn.VAR.P($B$2:B213)</f>
        <v>9.3996751512993946</v>
      </c>
      <c r="E213">
        <f t="shared" ca="1" si="23"/>
        <v>0.24258661141173776</v>
      </c>
      <c r="F213">
        <f t="shared" ca="1" si="24"/>
        <v>0</v>
      </c>
      <c r="G213">
        <f t="shared" ca="1" si="25"/>
        <v>0</v>
      </c>
      <c r="H213">
        <f ca="1">AVERAGE($G$2:G213)</f>
        <v>0.589622641509434</v>
      </c>
      <c r="I213">
        <f ca="1">_xlfn.VAR.P($G$2:G213)</f>
        <v>17.119326272694909</v>
      </c>
      <c r="AE213">
        <f t="shared" si="27"/>
        <v>211</v>
      </c>
      <c r="AF213" s="66">
        <f t="shared" si="26"/>
        <v>1</v>
      </c>
    </row>
    <row r="214" spans="1:32" x14ac:dyDescent="0.3">
      <c r="A214">
        <f t="shared" ca="1" si="21"/>
        <v>0.4133006219723282</v>
      </c>
      <c r="B214">
        <f t="shared" ca="1" si="22"/>
        <v>1</v>
      </c>
      <c r="C214">
        <f ca="1">AVERAGE($B$2:B214)</f>
        <v>2.751173708920188</v>
      </c>
      <c r="D214">
        <f ca="1">_xlfn.VAR.P($B$2:B214)</f>
        <v>9.3700103594965718</v>
      </c>
      <c r="E214">
        <f t="shared" ca="1" si="23"/>
        <v>0.41175649513201407</v>
      </c>
      <c r="F214">
        <f t="shared" ca="1" si="24"/>
        <v>1</v>
      </c>
      <c r="G214">
        <f t="shared" ca="1" si="25"/>
        <v>0</v>
      </c>
      <c r="H214">
        <f ca="1">AVERAGE($G$2:G214)</f>
        <v>0.58685446009389675</v>
      </c>
      <c r="I214">
        <f ca="1">_xlfn.VAR.P($G$2:G214)</f>
        <v>17.040578368489498</v>
      </c>
      <c r="AE214">
        <f t="shared" si="27"/>
        <v>212</v>
      </c>
      <c r="AF214" s="66">
        <f t="shared" si="26"/>
        <v>1</v>
      </c>
    </row>
    <row r="215" spans="1:32" x14ac:dyDescent="0.3">
      <c r="A215">
        <f t="shared" ca="1" si="21"/>
        <v>0.34440858877798031</v>
      </c>
      <c r="B215">
        <f t="shared" ca="1" si="22"/>
        <v>1</v>
      </c>
      <c r="C215">
        <f ca="1">AVERAGE($B$2:B215)</f>
        <v>2.7429906542056073</v>
      </c>
      <c r="D215">
        <f ca="1">_xlfn.VAR.P($B$2:B215)</f>
        <v>9.340488252249104</v>
      </c>
      <c r="E215">
        <f t="shared" ca="1" si="23"/>
        <v>3.4427934270566229E-2</v>
      </c>
      <c r="F215">
        <f t="shared" ca="1" si="24"/>
        <v>0</v>
      </c>
      <c r="G215">
        <f t="shared" ca="1" si="25"/>
        <v>1</v>
      </c>
      <c r="H215">
        <f ca="1">AVERAGE($G$2:G215)</f>
        <v>0.58878504672897192</v>
      </c>
      <c r="I215">
        <f ca="1">_xlfn.VAR.P($G$2:G215)</f>
        <v>16.961743383701634</v>
      </c>
      <c r="AE215">
        <f t="shared" si="27"/>
        <v>213</v>
      </c>
      <c r="AF215" s="66">
        <f t="shared" si="26"/>
        <v>1</v>
      </c>
    </row>
    <row r="216" spans="1:32" x14ac:dyDescent="0.3">
      <c r="A216">
        <f t="shared" ca="1" si="21"/>
        <v>0.54146399936926504</v>
      </c>
      <c r="B216">
        <f t="shared" ca="1" si="22"/>
        <v>2</v>
      </c>
      <c r="C216">
        <f ca="1">AVERAGE($B$2:B216)</f>
        <v>2.7395348837209301</v>
      </c>
      <c r="D216">
        <f ca="1">_xlfn.VAR.P($B$2:B216)</f>
        <v>9.2995997836668476</v>
      </c>
      <c r="E216">
        <f t="shared" ca="1" si="23"/>
        <v>0.61316247814752978</v>
      </c>
      <c r="F216">
        <f t="shared" ca="1" si="24"/>
        <v>2</v>
      </c>
      <c r="G216">
        <f t="shared" ca="1" si="25"/>
        <v>0</v>
      </c>
      <c r="H216">
        <f ca="1">AVERAGE($G$2:G216)</f>
        <v>0.586046511627907</v>
      </c>
      <c r="I216">
        <f ca="1">_xlfn.VAR.P($G$2:G216)</f>
        <v>16.884456462952947</v>
      </c>
      <c r="AE216">
        <f t="shared" si="27"/>
        <v>214</v>
      </c>
      <c r="AF216" s="66">
        <f t="shared" si="26"/>
        <v>1</v>
      </c>
    </row>
    <row r="217" spans="1:32" x14ac:dyDescent="0.3">
      <c r="A217">
        <f t="shared" ca="1" si="21"/>
        <v>0.78721279695467616</v>
      </c>
      <c r="B217">
        <f t="shared" ca="1" si="22"/>
        <v>4</v>
      </c>
      <c r="C217">
        <f ca="1">AVERAGE($B$2:B217)</f>
        <v>2.7453703703703702</v>
      </c>
      <c r="D217">
        <f ca="1">_xlfn.VAR.P($B$2:B217)</f>
        <v>9.2638674554183815</v>
      </c>
      <c r="E217">
        <f t="shared" ca="1" si="23"/>
        <v>0.88277202830732027</v>
      </c>
      <c r="F217">
        <f t="shared" ca="1" si="24"/>
        <v>6</v>
      </c>
      <c r="G217">
        <f t="shared" ca="1" si="25"/>
        <v>-2</v>
      </c>
      <c r="H217">
        <f ca="1">AVERAGE($G$2:G217)</f>
        <v>0.57407407407407407</v>
      </c>
      <c r="I217">
        <f ca="1">_xlfn.VAR.P($G$2:G217)</f>
        <v>16.837105624142662</v>
      </c>
      <c r="AE217">
        <f t="shared" si="27"/>
        <v>215</v>
      </c>
      <c r="AF217" s="66">
        <f t="shared" si="26"/>
        <v>1</v>
      </c>
    </row>
    <row r="218" spans="1:32" x14ac:dyDescent="0.3">
      <c r="A218">
        <f t="shared" ca="1" si="21"/>
        <v>0.38542996016579312</v>
      </c>
      <c r="B218">
        <f t="shared" ca="1" si="22"/>
        <v>1</v>
      </c>
      <c r="C218">
        <f ca="1">AVERAGE($B$2:B218)</f>
        <v>2.7373271889400921</v>
      </c>
      <c r="D218">
        <f ca="1">_xlfn.VAR.P($B$2:B218)</f>
        <v>9.2351504597676737</v>
      </c>
      <c r="E218">
        <f t="shared" ca="1" si="23"/>
        <v>0.65758266081603978</v>
      </c>
      <c r="F218">
        <f t="shared" ca="1" si="24"/>
        <v>3</v>
      </c>
      <c r="G218">
        <f t="shared" ca="1" si="25"/>
        <v>-2</v>
      </c>
      <c r="H218">
        <f ca="1">AVERAGE($G$2:G218)</f>
        <v>0.56221198156682028</v>
      </c>
      <c r="I218">
        <f ca="1">_xlfn.VAR.P($G$2:G218)</f>
        <v>16.789908471192849</v>
      </c>
      <c r="AE218">
        <f t="shared" si="27"/>
        <v>216</v>
      </c>
      <c r="AF218" s="66">
        <f t="shared" si="26"/>
        <v>1</v>
      </c>
    </row>
    <row r="219" spans="1:32" x14ac:dyDescent="0.3">
      <c r="A219">
        <f t="shared" ca="1" si="21"/>
        <v>0.83060398761256105</v>
      </c>
      <c r="B219">
        <f t="shared" ca="1" si="22"/>
        <v>4</v>
      </c>
      <c r="C219">
        <f ca="1">AVERAGE($B$2:B219)</f>
        <v>2.7431192660550461</v>
      </c>
      <c r="D219">
        <f ca="1">_xlfn.VAR.P($B$2:B219)</f>
        <v>9.2000673343994617</v>
      </c>
      <c r="E219">
        <f t="shared" ca="1" si="23"/>
        <v>0.26799225994769915</v>
      </c>
      <c r="F219">
        <f t="shared" ca="1" si="24"/>
        <v>0</v>
      </c>
      <c r="G219">
        <f t="shared" ca="1" si="25"/>
        <v>4</v>
      </c>
      <c r="H219">
        <f ca="1">AVERAGE($G$2:G219)</f>
        <v>0.57798165137614677</v>
      </c>
      <c r="I219">
        <f ca="1">_xlfn.VAR.P($G$2:G219)</f>
        <v>16.766854641865162</v>
      </c>
      <c r="AE219">
        <f t="shared" si="27"/>
        <v>217</v>
      </c>
      <c r="AF219" s="66">
        <f t="shared" si="26"/>
        <v>1</v>
      </c>
    </row>
    <row r="220" spans="1:32" x14ac:dyDescent="0.3">
      <c r="A220">
        <f t="shared" ca="1" si="21"/>
        <v>0.56962486731022877</v>
      </c>
      <c r="B220">
        <f t="shared" ca="1" si="22"/>
        <v>2</v>
      </c>
      <c r="C220">
        <f ca="1">AVERAGE($B$2:B220)</f>
        <v>2.7397260273972601</v>
      </c>
      <c r="D220">
        <f ca="1">_xlfn.VAR.P($B$2:B220)</f>
        <v>9.1605679614686935</v>
      </c>
      <c r="E220">
        <f t="shared" ca="1" si="23"/>
        <v>0.30232907821256239</v>
      </c>
      <c r="F220">
        <f t="shared" ca="1" si="24"/>
        <v>1</v>
      </c>
      <c r="G220">
        <f t="shared" ca="1" si="25"/>
        <v>1</v>
      </c>
      <c r="H220">
        <f ca="1">AVERAGE($G$2:G220)</f>
        <v>0.57990867579908678</v>
      </c>
      <c r="I220">
        <f ca="1">_xlfn.VAR.P($G$2:G220)</f>
        <v>16.691103188006924</v>
      </c>
      <c r="AE220">
        <f t="shared" si="27"/>
        <v>218</v>
      </c>
      <c r="AF220" s="66">
        <f t="shared" si="26"/>
        <v>1</v>
      </c>
    </row>
    <row r="221" spans="1:32" x14ac:dyDescent="0.3">
      <c r="A221">
        <f t="shared" ca="1" si="21"/>
        <v>0.49747840613355054</v>
      </c>
      <c r="B221">
        <f t="shared" ca="1" si="22"/>
        <v>1</v>
      </c>
      <c r="C221">
        <f ca="1">AVERAGE($B$2:B221)</f>
        <v>2.7318181818181819</v>
      </c>
      <c r="D221">
        <f ca="1">_xlfn.VAR.P($B$2:B221)</f>
        <v>9.1326239669421483</v>
      </c>
      <c r="E221">
        <f t="shared" ca="1" si="23"/>
        <v>0.91409915330724634</v>
      </c>
      <c r="F221">
        <f t="shared" ca="1" si="24"/>
        <v>6</v>
      </c>
      <c r="G221">
        <f t="shared" ca="1" si="25"/>
        <v>-5</v>
      </c>
      <c r="H221">
        <f ca="1">AVERAGE($G$2:G221)</f>
        <v>0.55454545454545456</v>
      </c>
      <c r="I221">
        <f ca="1">_xlfn.VAR.P($G$2:G221)</f>
        <v>16.756115702479338</v>
      </c>
      <c r="AE221">
        <f t="shared" si="27"/>
        <v>219</v>
      </c>
      <c r="AF221" s="66">
        <f t="shared" si="26"/>
        <v>1</v>
      </c>
    </row>
    <row r="222" spans="1:32" x14ac:dyDescent="0.3">
      <c r="A222">
        <f t="shared" ca="1" si="21"/>
        <v>0.72033381231583338</v>
      </c>
      <c r="B222">
        <f t="shared" ca="1" si="22"/>
        <v>3</v>
      </c>
      <c r="C222">
        <f ca="1">AVERAGE($B$2:B222)</f>
        <v>2.7330316742081449</v>
      </c>
      <c r="D222">
        <f ca="1">_xlfn.VAR.P($B$2:B222)</f>
        <v>9.0916238406257044</v>
      </c>
      <c r="E222">
        <f t="shared" ca="1" si="23"/>
        <v>0.30617406146941928</v>
      </c>
      <c r="F222">
        <f t="shared" ca="1" si="24"/>
        <v>1</v>
      </c>
      <c r="G222">
        <f t="shared" ca="1" si="25"/>
        <v>2</v>
      </c>
      <c r="H222">
        <f ca="1">AVERAGE($G$2:G222)</f>
        <v>0.56108597285067874</v>
      </c>
      <c r="I222">
        <f ca="1">_xlfn.VAR.P($G$2:G222)</f>
        <v>16.689707417948036</v>
      </c>
      <c r="AE222">
        <f t="shared" si="27"/>
        <v>220</v>
      </c>
      <c r="AF222" s="66">
        <f t="shared" si="26"/>
        <v>1</v>
      </c>
    </row>
    <row r="223" spans="1:32" x14ac:dyDescent="0.3">
      <c r="A223">
        <f t="shared" ca="1" si="21"/>
        <v>3.6332721589878991E-3</v>
      </c>
      <c r="B223">
        <f t="shared" ca="1" si="22"/>
        <v>0</v>
      </c>
      <c r="C223">
        <f ca="1">AVERAGE($B$2:B223)</f>
        <v>2.7207207207207209</v>
      </c>
      <c r="D223">
        <f ca="1">_xlfn.VAR.P($B$2:B223)</f>
        <v>9.0841652463274087</v>
      </c>
      <c r="E223">
        <f t="shared" ca="1" si="23"/>
        <v>0.55698428215426166</v>
      </c>
      <c r="F223">
        <f t="shared" ca="1" si="24"/>
        <v>2</v>
      </c>
      <c r="G223">
        <f t="shared" ca="1" si="25"/>
        <v>-2</v>
      </c>
      <c r="H223">
        <f ca="1">AVERAGE($G$2:G223)</f>
        <v>0.5495495495495496</v>
      </c>
      <c r="I223">
        <f ca="1">_xlfn.VAR.P($G$2:G223)</f>
        <v>16.643941238535835</v>
      </c>
      <c r="AE223">
        <f t="shared" si="27"/>
        <v>221</v>
      </c>
      <c r="AF223" s="66">
        <f t="shared" si="26"/>
        <v>1</v>
      </c>
    </row>
    <row r="224" spans="1:32" x14ac:dyDescent="0.3">
      <c r="A224">
        <f t="shared" ca="1" si="21"/>
        <v>0.61378853524394006</v>
      </c>
      <c r="B224">
        <f t="shared" ca="1" si="22"/>
        <v>2</v>
      </c>
      <c r="C224">
        <f ca="1">AVERAGE($B$2:B224)</f>
        <v>2.717488789237668</v>
      </c>
      <c r="D224">
        <f ca="1">_xlfn.VAR.P($B$2:B224)</f>
        <v>9.0457479539101939</v>
      </c>
      <c r="E224">
        <f t="shared" ca="1" si="23"/>
        <v>0.11996147414082048</v>
      </c>
      <c r="F224">
        <f t="shared" ca="1" si="24"/>
        <v>0</v>
      </c>
      <c r="G224">
        <f t="shared" ca="1" si="25"/>
        <v>2</v>
      </c>
      <c r="H224">
        <f ca="1">AVERAGE($G$2:G224)</f>
        <v>0.55605381165919288</v>
      </c>
      <c r="I224">
        <f ca="1">_xlfn.VAR.P($G$2:G224)</f>
        <v>16.578696535220896</v>
      </c>
      <c r="AE224">
        <f t="shared" si="27"/>
        <v>222</v>
      </c>
      <c r="AF224" s="66">
        <f t="shared" si="26"/>
        <v>1</v>
      </c>
    </row>
    <row r="225" spans="1:32" x14ac:dyDescent="0.3">
      <c r="A225">
        <f t="shared" ca="1" si="21"/>
        <v>0.12955566138297492</v>
      </c>
      <c r="B225">
        <f t="shared" ca="1" si="22"/>
        <v>0</v>
      </c>
      <c r="C225">
        <f ca="1">AVERAGE($B$2:B225)</f>
        <v>2.7053571428571428</v>
      </c>
      <c r="D225">
        <f ca="1">_xlfn.VAR.P($B$2:B225)</f>
        <v>9.0381855867346932</v>
      </c>
      <c r="E225">
        <f t="shared" ca="1" si="23"/>
        <v>0.43671767697115782</v>
      </c>
      <c r="F225">
        <f t="shared" ca="1" si="24"/>
        <v>1</v>
      </c>
      <c r="G225">
        <f t="shared" ca="1" si="25"/>
        <v>-1</v>
      </c>
      <c r="H225">
        <f ca="1">AVERAGE($G$2:G225)</f>
        <v>0.5491071428571429</v>
      </c>
      <c r="I225">
        <f ca="1">_xlfn.VAR.P($G$2:G225)</f>
        <v>16.515445631377553</v>
      </c>
      <c r="AE225">
        <f t="shared" si="27"/>
        <v>223</v>
      </c>
      <c r="AF225" s="66">
        <f t="shared" si="26"/>
        <v>1</v>
      </c>
    </row>
    <row r="226" spans="1:32" x14ac:dyDescent="0.3">
      <c r="A226">
        <f t="shared" ca="1" si="21"/>
        <v>0.9074115695459013</v>
      </c>
      <c r="B226">
        <f t="shared" ca="1" si="22"/>
        <v>6</v>
      </c>
      <c r="C226">
        <f ca="1">AVERAGE($B$2:B226)</f>
        <v>2.72</v>
      </c>
      <c r="D226">
        <f ca="1">_xlfn.VAR.P($B$2:B226)</f>
        <v>9.0460444444444441</v>
      </c>
      <c r="E226">
        <f t="shared" ca="1" si="23"/>
        <v>0.10683857436052735</v>
      </c>
      <c r="F226">
        <f t="shared" ca="1" si="24"/>
        <v>0</v>
      </c>
      <c r="G226">
        <f t="shared" ca="1" si="25"/>
        <v>6</v>
      </c>
      <c r="H226">
        <f ca="1">AVERAGE($G$2:G226)</f>
        <v>0.57333333333333336</v>
      </c>
      <c r="I226">
        <f ca="1">_xlfn.VAR.P($G$2:G226)</f>
        <v>16.57351111111111</v>
      </c>
      <c r="AE226">
        <f t="shared" si="27"/>
        <v>224</v>
      </c>
      <c r="AF226" s="66">
        <f t="shared" si="26"/>
        <v>1</v>
      </c>
    </row>
    <row r="227" spans="1:32" x14ac:dyDescent="0.3">
      <c r="A227">
        <f t="shared" ca="1" si="21"/>
        <v>0.445264416885222</v>
      </c>
      <c r="B227">
        <f t="shared" ca="1" si="22"/>
        <v>1</v>
      </c>
      <c r="C227">
        <f ca="1">AVERAGE($B$2:B227)</f>
        <v>2.7123893805309733</v>
      </c>
      <c r="D227">
        <f ca="1">_xlfn.VAR.P($B$2:B227)</f>
        <v>9.0190500430730669</v>
      </c>
      <c r="E227">
        <f t="shared" ca="1" si="23"/>
        <v>0.4898195822229775</v>
      </c>
      <c r="F227">
        <f t="shared" ca="1" si="24"/>
        <v>1</v>
      </c>
      <c r="G227">
        <f t="shared" ca="1" si="25"/>
        <v>0</v>
      </c>
      <c r="H227">
        <f ca="1">AVERAGE($G$2:G227)</f>
        <v>0.57079646017699115</v>
      </c>
      <c r="I227">
        <f ca="1">_xlfn.VAR.P($G$2:G227)</f>
        <v>16.501625029368</v>
      </c>
      <c r="AE227">
        <f t="shared" si="27"/>
        <v>225</v>
      </c>
      <c r="AF227" s="66">
        <f t="shared" si="26"/>
        <v>1</v>
      </c>
    </row>
    <row r="228" spans="1:32" x14ac:dyDescent="0.3">
      <c r="A228">
        <f t="shared" ca="1" si="21"/>
        <v>0.23249480411952028</v>
      </c>
      <c r="B228">
        <f t="shared" ca="1" si="22"/>
        <v>0</v>
      </c>
      <c r="C228">
        <f ca="1">AVERAGE($B$2:B228)</f>
        <v>2.7004405286343611</v>
      </c>
      <c r="D228">
        <f ca="1">_xlfn.VAR.P($B$2:B228)</f>
        <v>9.0115857090182221</v>
      </c>
      <c r="E228">
        <f t="shared" ca="1" si="23"/>
        <v>4.3746870974519236E-2</v>
      </c>
      <c r="F228">
        <f t="shared" ca="1" si="24"/>
        <v>0</v>
      </c>
      <c r="G228">
        <f t="shared" ca="1" si="25"/>
        <v>0</v>
      </c>
      <c r="H228">
        <f ca="1">AVERAGE($G$2:G228)</f>
        <v>0.56828193832599116</v>
      </c>
      <c r="I228">
        <f ca="1">_xlfn.VAR.P($G$2:G228)</f>
        <v>16.430359603330164</v>
      </c>
      <c r="AE228">
        <f t="shared" si="27"/>
        <v>226</v>
      </c>
      <c r="AF228" s="66">
        <f t="shared" si="26"/>
        <v>1</v>
      </c>
    </row>
    <row r="229" spans="1:32" x14ac:dyDescent="0.3">
      <c r="A229">
        <f t="shared" ca="1" si="21"/>
        <v>0.20192957810232393</v>
      </c>
      <c r="B229">
        <f t="shared" ca="1" si="22"/>
        <v>0</v>
      </c>
      <c r="C229">
        <f ca="1">AVERAGE($B$2:B229)</f>
        <v>2.6885964912280702</v>
      </c>
      <c r="D229">
        <f ca="1">_xlfn.VAR.P($B$2:B229)</f>
        <v>9.0039050477069864</v>
      </c>
      <c r="E229">
        <f t="shared" ca="1" si="23"/>
        <v>0.10494340559857596</v>
      </c>
      <c r="F229">
        <f t="shared" ca="1" si="24"/>
        <v>0</v>
      </c>
      <c r="G229">
        <f t="shared" ca="1" si="25"/>
        <v>0</v>
      </c>
      <c r="H229">
        <f ca="1">AVERAGE($G$2:G229)</f>
        <v>0.56578947368421051</v>
      </c>
      <c r="I229">
        <f ca="1">_xlfn.VAR.P($G$2:G229)</f>
        <v>16.359706832871652</v>
      </c>
      <c r="AE229">
        <f t="shared" si="27"/>
        <v>227</v>
      </c>
      <c r="AF229" s="66">
        <f t="shared" si="26"/>
        <v>1</v>
      </c>
    </row>
    <row r="230" spans="1:32" x14ac:dyDescent="0.3">
      <c r="A230">
        <f t="shared" ca="1" si="21"/>
        <v>0.58963726083944157</v>
      </c>
      <c r="B230">
        <f t="shared" ca="1" si="22"/>
        <v>2</v>
      </c>
      <c r="C230">
        <f ca="1">AVERAGE($B$2:B230)</f>
        <v>2.6855895196506552</v>
      </c>
      <c r="D230">
        <f ca="1">_xlfn.VAR.P($B$2:B230)</f>
        <v>8.9666482332526076</v>
      </c>
      <c r="E230">
        <f t="shared" ca="1" si="23"/>
        <v>0.83005911586690095</v>
      </c>
      <c r="F230">
        <f t="shared" ca="1" si="24"/>
        <v>4</v>
      </c>
      <c r="G230">
        <f t="shared" ca="1" si="25"/>
        <v>-2</v>
      </c>
      <c r="H230">
        <f ca="1">AVERAGE($G$2:G230)</f>
        <v>0.55458515283842791</v>
      </c>
      <c r="I230">
        <f ca="1">_xlfn.VAR.P($G$2:G230)</f>
        <v>16.316889456722794</v>
      </c>
      <c r="AE230">
        <f t="shared" si="27"/>
        <v>228</v>
      </c>
      <c r="AF230" s="66">
        <f t="shared" si="26"/>
        <v>1</v>
      </c>
    </row>
    <row r="231" spans="1:32" x14ac:dyDescent="0.3">
      <c r="A231">
        <f t="shared" ca="1" si="21"/>
        <v>0.59287422212966345</v>
      </c>
      <c r="B231">
        <f t="shared" ca="1" si="22"/>
        <v>2</v>
      </c>
      <c r="C231">
        <f ca="1">AVERAGE($B$2:B231)</f>
        <v>2.6826086956521737</v>
      </c>
      <c r="D231">
        <f ca="1">_xlfn.VAR.P($B$2:B231)</f>
        <v>8.9296975425330807</v>
      </c>
      <c r="E231">
        <f t="shared" ca="1" si="23"/>
        <v>0.28007715902341679</v>
      </c>
      <c r="F231">
        <f t="shared" ca="1" si="24"/>
        <v>0</v>
      </c>
      <c r="G231">
        <f t="shared" ca="1" si="25"/>
        <v>2</v>
      </c>
      <c r="H231">
        <f ca="1">AVERAGE($G$2:G231)</f>
        <v>0.56086956521739129</v>
      </c>
      <c r="I231">
        <f ca="1">_xlfn.VAR.P($G$2:G231)</f>
        <v>16.254990548204159</v>
      </c>
      <c r="AE231">
        <f t="shared" si="27"/>
        <v>229</v>
      </c>
      <c r="AF231" s="66">
        <f t="shared" si="26"/>
        <v>1</v>
      </c>
    </row>
    <row r="232" spans="1:32" x14ac:dyDescent="0.3">
      <c r="A232">
        <f t="shared" ca="1" si="21"/>
        <v>0.42758263732596258</v>
      </c>
      <c r="B232">
        <f t="shared" ca="1" si="22"/>
        <v>1</v>
      </c>
      <c r="C232">
        <f ca="1">AVERAGE($B$2:B232)</f>
        <v>2.6753246753246751</v>
      </c>
      <c r="D232">
        <f ca="1">_xlfn.VAR.P($B$2:B232)</f>
        <v>8.9032439422049805</v>
      </c>
      <c r="E232">
        <f t="shared" ca="1" si="23"/>
        <v>9.0468641721419107E-2</v>
      </c>
      <c r="F232">
        <f t="shared" ca="1" si="24"/>
        <v>0</v>
      </c>
      <c r="G232">
        <f t="shared" ca="1" si="25"/>
        <v>1</v>
      </c>
      <c r="H232">
        <f ca="1">AVERAGE($G$2:G232)</f>
        <v>0.56277056277056281</v>
      </c>
      <c r="I232">
        <f ca="1">_xlfn.VAR.P($G$2:G232)</f>
        <v>16.185453795843408</v>
      </c>
      <c r="AE232">
        <f t="shared" si="27"/>
        <v>230</v>
      </c>
      <c r="AF232" s="66">
        <f t="shared" si="26"/>
        <v>1</v>
      </c>
    </row>
    <row r="233" spans="1:32" x14ac:dyDescent="0.3">
      <c r="A233">
        <f t="shared" ca="1" si="21"/>
        <v>0.343635534582165</v>
      </c>
      <c r="B233">
        <f t="shared" ca="1" si="22"/>
        <v>1</v>
      </c>
      <c r="C233">
        <f ca="1">AVERAGE($B$2:B233)</f>
        <v>2.6681034482758621</v>
      </c>
      <c r="D233">
        <f ca="1">_xlfn.VAR.P($B$2:B233)</f>
        <v>8.8769136444708678</v>
      </c>
      <c r="E233">
        <f t="shared" ca="1" si="23"/>
        <v>0.19156975872040016</v>
      </c>
      <c r="F233">
        <f t="shared" ca="1" si="24"/>
        <v>0</v>
      </c>
      <c r="G233">
        <f t="shared" ca="1" si="25"/>
        <v>1</v>
      </c>
      <c r="H233">
        <f ca="1">AVERAGE($G$2:G233)</f>
        <v>0.56465517241379315</v>
      </c>
      <c r="I233">
        <f ca="1">_xlfn.VAR.P($G$2:G233)</f>
        <v>16.116509363852558</v>
      </c>
      <c r="AE233">
        <f t="shared" si="27"/>
        <v>231</v>
      </c>
      <c r="AF233" s="66">
        <f t="shared" si="26"/>
        <v>1</v>
      </c>
    </row>
    <row r="234" spans="1:32" x14ac:dyDescent="0.3">
      <c r="A234">
        <f t="shared" ca="1" si="21"/>
        <v>6.6984265546601307E-2</v>
      </c>
      <c r="B234">
        <f t="shared" ca="1" si="22"/>
        <v>0</v>
      </c>
      <c r="C234">
        <f ca="1">AVERAGE($B$2:B234)</f>
        <v>2.6566523605150216</v>
      </c>
      <c r="D234">
        <f ca="1">_xlfn.VAR.P($B$2:B234)</f>
        <v>8.869236861979406</v>
      </c>
      <c r="E234">
        <f t="shared" ca="1" si="23"/>
        <v>0.29724363276825816</v>
      </c>
      <c r="F234">
        <f t="shared" ca="1" si="24"/>
        <v>0</v>
      </c>
      <c r="G234">
        <f t="shared" ca="1" si="25"/>
        <v>0</v>
      </c>
      <c r="H234">
        <f ca="1">AVERAGE($G$2:G234)</f>
        <v>0.5622317596566524</v>
      </c>
      <c r="I234">
        <f ca="1">_xlfn.VAR.P($G$2:G234)</f>
        <v>16.048702315386173</v>
      </c>
      <c r="AE234">
        <f t="shared" si="27"/>
        <v>232</v>
      </c>
      <c r="AF234" s="66">
        <f t="shared" si="26"/>
        <v>1</v>
      </c>
    </row>
    <row r="235" spans="1:32" x14ac:dyDescent="0.3">
      <c r="A235">
        <f t="shared" ca="1" si="21"/>
        <v>0.38949748290832575</v>
      </c>
      <c r="B235">
        <f t="shared" ca="1" si="22"/>
        <v>1</v>
      </c>
      <c r="C235">
        <f ca="1">AVERAGE($B$2:B235)</f>
        <v>2.6495726495726495</v>
      </c>
      <c r="D235">
        <f ca="1">_xlfn.VAR.P($B$2:B235)</f>
        <v>8.8430126378844331</v>
      </c>
      <c r="E235">
        <f t="shared" ca="1" si="23"/>
        <v>0.29770901468849287</v>
      </c>
      <c r="F235">
        <f t="shared" ca="1" si="24"/>
        <v>0</v>
      </c>
      <c r="G235">
        <f t="shared" ca="1" si="25"/>
        <v>1</v>
      </c>
      <c r="H235">
        <f ca="1">AVERAGE($G$2:G235)</f>
        <v>0.5641025641025641</v>
      </c>
      <c r="I235">
        <f ca="1">_xlfn.VAR.P($G$2:G235)</f>
        <v>15.980933596318211</v>
      </c>
      <c r="AE235">
        <f t="shared" si="27"/>
        <v>233</v>
      </c>
      <c r="AF235" s="66">
        <f t="shared" si="26"/>
        <v>1</v>
      </c>
    </row>
    <row r="236" spans="1:32" x14ac:dyDescent="0.3">
      <c r="A236">
        <f t="shared" ca="1" si="21"/>
        <v>0.61326831384965985</v>
      </c>
      <c r="B236">
        <f t="shared" ca="1" si="22"/>
        <v>2</v>
      </c>
      <c r="C236">
        <f ca="1">AVERAGE($B$2:B236)</f>
        <v>2.6468085106382979</v>
      </c>
      <c r="D236">
        <f ca="1">_xlfn.VAR.P($B$2:B236)</f>
        <v>8.8071706654594841</v>
      </c>
      <c r="E236">
        <f t="shared" ca="1" si="23"/>
        <v>2.8717354390577876E-2</v>
      </c>
      <c r="F236">
        <f t="shared" ca="1" si="24"/>
        <v>0</v>
      </c>
      <c r="G236">
        <f t="shared" ca="1" si="25"/>
        <v>2</v>
      </c>
      <c r="H236">
        <f ca="1">AVERAGE($G$2:G236)</f>
        <v>0.57021276595744685</v>
      </c>
      <c r="I236">
        <f ca="1">_xlfn.VAR.P($G$2:G236)</f>
        <v>15.921665912177456</v>
      </c>
      <c r="AE236">
        <f t="shared" si="27"/>
        <v>234</v>
      </c>
      <c r="AF236" s="66">
        <f t="shared" si="26"/>
        <v>1</v>
      </c>
    </row>
    <row r="237" spans="1:32" x14ac:dyDescent="0.3">
      <c r="A237">
        <f t="shared" ca="1" si="21"/>
        <v>0.19472308105271374</v>
      </c>
      <c r="B237">
        <f t="shared" ca="1" si="22"/>
        <v>0</v>
      </c>
      <c r="C237">
        <f ca="1">AVERAGE($B$2:B237)</f>
        <v>2.6355932203389831</v>
      </c>
      <c r="D237">
        <f ca="1">_xlfn.VAR.P($B$2:B237)</f>
        <v>8.7994110887675951</v>
      </c>
      <c r="E237">
        <f t="shared" ca="1" si="23"/>
        <v>0.32924307570235489</v>
      </c>
      <c r="F237">
        <f t="shared" ca="1" si="24"/>
        <v>1</v>
      </c>
      <c r="G237">
        <f t="shared" ca="1" si="25"/>
        <v>-1</v>
      </c>
      <c r="H237">
        <f ca="1">AVERAGE($G$2:G237)</f>
        <v>0.56355932203389836</v>
      </c>
      <c r="I237">
        <f ca="1">_xlfn.VAR.P($G$2:G237)</f>
        <v>15.864604280379201</v>
      </c>
      <c r="AE237">
        <f t="shared" si="27"/>
        <v>235</v>
      </c>
      <c r="AF237" s="66">
        <f t="shared" si="26"/>
        <v>1</v>
      </c>
    </row>
    <row r="238" spans="1:32" x14ac:dyDescent="0.3">
      <c r="A238">
        <f t="shared" ca="1" si="21"/>
        <v>0.4850577766201003</v>
      </c>
      <c r="B238">
        <f t="shared" ca="1" si="22"/>
        <v>1</v>
      </c>
      <c r="C238">
        <f ca="1">AVERAGE($B$2:B238)</f>
        <v>2.628691983122363</v>
      </c>
      <c r="D238">
        <f ca="1">_xlfn.VAR.P($B$2:B238)</f>
        <v>8.7735227616656868</v>
      </c>
      <c r="E238">
        <f t="shared" ca="1" si="23"/>
        <v>0.95972064749834107</v>
      </c>
      <c r="F238">
        <f t="shared" ca="1" si="24"/>
        <v>9</v>
      </c>
      <c r="G238">
        <f t="shared" ca="1" si="25"/>
        <v>-8</v>
      </c>
      <c r="H238">
        <f ca="1">AVERAGE($G$2:G238)</f>
        <v>0.52742616033755274</v>
      </c>
      <c r="I238">
        <f ca="1">_xlfn.VAR.P($G$2:G238)</f>
        <v>16.105787890117323</v>
      </c>
      <c r="AE238">
        <f t="shared" si="27"/>
        <v>236</v>
      </c>
      <c r="AF238" s="66">
        <f t="shared" si="26"/>
        <v>1</v>
      </c>
    </row>
    <row r="239" spans="1:32" x14ac:dyDescent="0.3">
      <c r="A239">
        <f t="shared" ca="1" si="21"/>
        <v>0.32894597268541603</v>
      </c>
      <c r="B239">
        <f t="shared" ca="1" si="22"/>
        <v>1</v>
      </c>
      <c r="C239">
        <f ca="1">AVERAGE($B$2:B239)</f>
        <v>2.6218487394957983</v>
      </c>
      <c r="D239">
        <f ca="1">_xlfn.VAR.P($B$2:B239)</f>
        <v>8.7477579267000927</v>
      </c>
      <c r="E239">
        <f t="shared" ca="1" si="23"/>
        <v>0.17569493256456947</v>
      </c>
      <c r="F239">
        <f t="shared" ca="1" si="24"/>
        <v>0</v>
      </c>
      <c r="G239">
        <f t="shared" ca="1" si="25"/>
        <v>1</v>
      </c>
      <c r="H239">
        <f ca="1">AVERAGE($G$2:G239)</f>
        <v>0.52941176470588236</v>
      </c>
      <c r="I239">
        <f ca="1">_xlfn.VAR.P($G$2:G239)</f>
        <v>16.03905091448344</v>
      </c>
      <c r="AE239">
        <f t="shared" si="27"/>
        <v>237</v>
      </c>
      <c r="AF239" s="66">
        <f t="shared" si="26"/>
        <v>1</v>
      </c>
    </row>
    <row r="240" spans="1:32" x14ac:dyDescent="0.3">
      <c r="A240">
        <f t="shared" ca="1" si="21"/>
        <v>0.51300161285995916</v>
      </c>
      <c r="B240">
        <f t="shared" ca="1" si="22"/>
        <v>2</v>
      </c>
      <c r="C240">
        <f ca="1">AVERAGE($B$2:B240)</f>
        <v>2.6192468619246863</v>
      </c>
      <c r="D240">
        <f ca="1">_xlfn.VAR.P($B$2:B240)</f>
        <v>8.7127676336198601</v>
      </c>
      <c r="E240">
        <f t="shared" ca="1" si="23"/>
        <v>3.1783543294445216E-2</v>
      </c>
      <c r="F240">
        <f t="shared" ca="1" si="24"/>
        <v>0</v>
      </c>
      <c r="G240">
        <f t="shared" ca="1" si="25"/>
        <v>2</v>
      </c>
      <c r="H240">
        <f ca="1">AVERAGE($G$2:G240)</f>
        <v>0.53556485355648531</v>
      </c>
      <c r="I240">
        <f ca="1">_xlfn.VAR.P($G$2:G240)</f>
        <v>15.980952714413263</v>
      </c>
      <c r="AE240">
        <f t="shared" si="27"/>
        <v>238</v>
      </c>
      <c r="AF240" s="66">
        <f t="shared" si="26"/>
        <v>1</v>
      </c>
    </row>
    <row r="241" spans="1:32" x14ac:dyDescent="0.3">
      <c r="A241">
        <f t="shared" ca="1" si="21"/>
        <v>5.2020513695672399E-2</v>
      </c>
      <c r="B241">
        <f t="shared" ca="1" si="22"/>
        <v>0</v>
      </c>
      <c r="C241">
        <f ca="1">AVERAGE($B$2:B241)</f>
        <v>2.6083333333333334</v>
      </c>
      <c r="D241">
        <f ca="1">_xlfn.VAR.P($B$2:B241)</f>
        <v>8.7049305555555563</v>
      </c>
      <c r="E241">
        <f t="shared" ca="1" si="23"/>
        <v>0.22402761099309887</v>
      </c>
      <c r="F241">
        <f t="shared" ca="1" si="24"/>
        <v>0</v>
      </c>
      <c r="G241">
        <f t="shared" ca="1" si="25"/>
        <v>0</v>
      </c>
      <c r="H241">
        <f ca="1">AVERAGE($G$2:G241)</f>
        <v>0.53333333333333333</v>
      </c>
      <c r="I241">
        <f ca="1">_xlfn.VAR.P($G$2:G241)</f>
        <v>15.915555555555555</v>
      </c>
      <c r="AE241">
        <f t="shared" si="27"/>
        <v>239</v>
      </c>
      <c r="AF241" s="66">
        <f t="shared" si="26"/>
        <v>1</v>
      </c>
    </row>
    <row r="242" spans="1:32" x14ac:dyDescent="0.3">
      <c r="A242">
        <f t="shared" ca="1" si="21"/>
        <v>0.90092576552805159</v>
      </c>
      <c r="B242">
        <f t="shared" ca="1" si="22"/>
        <v>6</v>
      </c>
      <c r="C242">
        <f ca="1">AVERAGE($B$2:B242)</f>
        <v>2.6224066390041494</v>
      </c>
      <c r="D242">
        <f ca="1">_xlfn.VAR.P($B$2:B242)</f>
        <v>8.7163444155575842</v>
      </c>
      <c r="E242">
        <f t="shared" ca="1" si="23"/>
        <v>0.74692255741923463</v>
      </c>
      <c r="F242">
        <f t="shared" ca="1" si="24"/>
        <v>3</v>
      </c>
      <c r="G242">
        <f t="shared" ca="1" si="25"/>
        <v>3</v>
      </c>
      <c r="H242">
        <f ca="1">AVERAGE($G$2:G242)</f>
        <v>0.54356846473029041</v>
      </c>
      <c r="I242">
        <f ca="1">_xlfn.VAR.P($G$2:G242)</f>
        <v>15.874657805478556</v>
      </c>
      <c r="AE242">
        <f t="shared" si="27"/>
        <v>240</v>
      </c>
      <c r="AF242" s="66">
        <f t="shared" si="26"/>
        <v>1</v>
      </c>
    </row>
    <row r="243" spans="1:32" x14ac:dyDescent="0.3">
      <c r="A243">
        <f t="shared" ca="1" si="21"/>
        <v>0.70693766012807868</v>
      </c>
      <c r="B243">
        <f t="shared" ca="1" si="22"/>
        <v>3</v>
      </c>
      <c r="C243">
        <f ca="1">AVERAGE($B$2:B243)</f>
        <v>2.6239669421487601</v>
      </c>
      <c r="D243">
        <f ca="1">_xlfn.VAR.P($B$2:B243)</f>
        <v>8.6809131889898232</v>
      </c>
      <c r="E243">
        <f t="shared" ca="1" si="23"/>
        <v>0.13067265092676172</v>
      </c>
      <c r="F243">
        <f t="shared" ca="1" si="24"/>
        <v>0</v>
      </c>
      <c r="G243">
        <f t="shared" ca="1" si="25"/>
        <v>3</v>
      </c>
      <c r="H243">
        <f ca="1">AVERAGE($G$2:G243)</f>
        <v>0.55371900826446285</v>
      </c>
      <c r="I243">
        <f ca="1">_xlfn.VAR.P($G$2:G243)</f>
        <v>15.833891127655216</v>
      </c>
      <c r="AE243">
        <f t="shared" si="27"/>
        <v>241</v>
      </c>
      <c r="AF243" s="66">
        <f t="shared" si="26"/>
        <v>1</v>
      </c>
    </row>
    <row r="244" spans="1:32" x14ac:dyDescent="0.3">
      <c r="A244">
        <f t="shared" ca="1" si="21"/>
        <v>0.78297089650231311</v>
      </c>
      <c r="B244">
        <f t="shared" ca="1" si="22"/>
        <v>4</v>
      </c>
      <c r="C244">
        <f ca="1">AVERAGE($B$2:B244)</f>
        <v>2.6296296296296298</v>
      </c>
      <c r="D244">
        <f ca="1">_xlfn.VAR.P($B$2:B244)</f>
        <v>8.6529492455418389</v>
      </c>
      <c r="E244">
        <f t="shared" ca="1" si="23"/>
        <v>0.36193456860403561</v>
      </c>
      <c r="F244">
        <f t="shared" ca="1" si="24"/>
        <v>1</v>
      </c>
      <c r="G244">
        <f t="shared" ca="1" si="25"/>
        <v>3</v>
      </c>
      <c r="H244">
        <f ca="1">AVERAGE($G$2:G244)</f>
        <v>0.56378600823045266</v>
      </c>
      <c r="I244">
        <f ca="1">_xlfn.VAR.P($G$2:G244)</f>
        <v>15.793256448034683</v>
      </c>
      <c r="AE244">
        <f t="shared" si="27"/>
        <v>242</v>
      </c>
      <c r="AF244" s="66">
        <f t="shared" si="26"/>
        <v>1</v>
      </c>
    </row>
    <row r="245" spans="1:32" x14ac:dyDescent="0.3">
      <c r="A245">
        <f t="shared" ca="1" si="21"/>
        <v>0.76179267690833752</v>
      </c>
      <c r="B245">
        <f t="shared" ca="1" si="22"/>
        <v>4</v>
      </c>
      <c r="C245">
        <f ca="1">AVERAGE($B$2:B245)</f>
        <v>2.6352459016393444</v>
      </c>
      <c r="D245">
        <f ca="1">_xlfn.VAR.P($B$2:B245)</f>
        <v>8.6251511690405813</v>
      </c>
      <c r="E245">
        <f t="shared" ca="1" si="23"/>
        <v>0.46776826524301018</v>
      </c>
      <c r="F245">
        <f t="shared" ca="1" si="24"/>
        <v>1</v>
      </c>
      <c r="G245">
        <f t="shared" ca="1" si="25"/>
        <v>3</v>
      </c>
      <c r="H245">
        <f ca="1">AVERAGE($G$2:G245)</f>
        <v>0.57377049180327866</v>
      </c>
      <c r="I245">
        <f ca="1">_xlfn.VAR.P($G$2:G245)</f>
        <v>15.752754635850577</v>
      </c>
      <c r="AE245">
        <f t="shared" si="27"/>
        <v>243</v>
      </c>
      <c r="AF245" s="66">
        <f t="shared" si="26"/>
        <v>1</v>
      </c>
    </row>
    <row r="246" spans="1:32" x14ac:dyDescent="0.3">
      <c r="A246">
        <f t="shared" ca="1" si="21"/>
        <v>0.46558553882606413</v>
      </c>
      <c r="B246">
        <f t="shared" ca="1" si="22"/>
        <v>1</v>
      </c>
      <c r="C246">
        <f ca="1">AVERAGE($B$2:B246)</f>
        <v>2.6285714285714286</v>
      </c>
      <c r="D246">
        <f ca="1">_xlfn.VAR.P($B$2:B246)</f>
        <v>8.6008163265306123</v>
      </c>
      <c r="E246">
        <f t="shared" ca="1" si="23"/>
        <v>0.28892198982818607</v>
      </c>
      <c r="F246">
        <f t="shared" ca="1" si="24"/>
        <v>0</v>
      </c>
      <c r="G246">
        <f t="shared" ca="1" si="25"/>
        <v>1</v>
      </c>
      <c r="H246">
        <f ca="1">AVERAGE($G$2:G246)</f>
        <v>0.57551020408163267</v>
      </c>
      <c r="I246">
        <f ca="1">_xlfn.VAR.P($G$2:G246)</f>
        <v>15.689196168263223</v>
      </c>
      <c r="AE246">
        <f t="shared" si="27"/>
        <v>244</v>
      </c>
      <c r="AF246" s="66">
        <f t="shared" si="26"/>
        <v>1</v>
      </c>
    </row>
    <row r="247" spans="1:32" x14ac:dyDescent="0.3">
      <c r="A247">
        <f t="shared" ca="1" si="21"/>
        <v>0.49479615906687413</v>
      </c>
      <c r="B247">
        <f t="shared" ca="1" si="22"/>
        <v>1</v>
      </c>
      <c r="C247">
        <f ca="1">AVERAGE($B$2:B247)</f>
        <v>2.6219512195121952</v>
      </c>
      <c r="D247">
        <f ca="1">_xlfn.VAR.P($B$2:B247)</f>
        <v>8.5765913146936352</v>
      </c>
      <c r="E247">
        <f t="shared" ca="1" si="23"/>
        <v>0.45099193315279418</v>
      </c>
      <c r="F247">
        <f t="shared" ca="1" si="24"/>
        <v>1</v>
      </c>
      <c r="G247">
        <f t="shared" ca="1" si="25"/>
        <v>0</v>
      </c>
      <c r="H247">
        <f ca="1">AVERAGE($G$2:G247)</f>
        <v>0.57317073170731703</v>
      </c>
      <c r="I247">
        <f ca="1">_xlfn.VAR.P($G$2:G247)</f>
        <v>15.626759865159627</v>
      </c>
      <c r="AE247">
        <f t="shared" si="27"/>
        <v>245</v>
      </c>
      <c r="AF247" s="66">
        <f t="shared" si="26"/>
        <v>1</v>
      </c>
    </row>
    <row r="248" spans="1:32" x14ac:dyDescent="0.3">
      <c r="A248">
        <f t="shared" ca="1" si="21"/>
        <v>0.2381516786761807</v>
      </c>
      <c r="B248">
        <f t="shared" ca="1" si="22"/>
        <v>0</v>
      </c>
      <c r="C248">
        <f ca="1">AVERAGE($B$2:B248)</f>
        <v>2.6113360323886639</v>
      </c>
      <c r="D248">
        <f ca="1">_xlfn.VAR.P($B$2:B248)</f>
        <v>8.5695880935599664</v>
      </c>
      <c r="E248">
        <f t="shared" ca="1" si="23"/>
        <v>0.37389206169724309</v>
      </c>
      <c r="F248">
        <f t="shared" ca="1" si="24"/>
        <v>1</v>
      </c>
      <c r="G248">
        <f t="shared" ca="1" si="25"/>
        <v>-1</v>
      </c>
      <c r="H248">
        <f ca="1">AVERAGE($G$2:G248)</f>
        <v>0.5668016194331984</v>
      </c>
      <c r="I248">
        <f ca="1">_xlfn.VAR.P($G$2:G248)</f>
        <v>15.573472766313166</v>
      </c>
      <c r="AE248">
        <f t="shared" si="27"/>
        <v>246</v>
      </c>
      <c r="AF248" s="66">
        <f t="shared" si="26"/>
        <v>1</v>
      </c>
    </row>
    <row r="249" spans="1:32" x14ac:dyDescent="0.3">
      <c r="A249">
        <f t="shared" ca="1" si="21"/>
        <v>0.13092048311711801</v>
      </c>
      <c r="B249">
        <f t="shared" ca="1" si="22"/>
        <v>0</v>
      </c>
      <c r="C249">
        <f ca="1">AVERAGE($B$2:B249)</f>
        <v>2.600806451612903</v>
      </c>
      <c r="D249">
        <f ca="1">_xlfn.VAR.P($B$2:B249)</f>
        <v>8.5624187044745064</v>
      </c>
      <c r="E249">
        <f t="shared" ca="1" si="23"/>
        <v>0.12004421317488068</v>
      </c>
      <c r="F249">
        <f t="shared" ca="1" si="24"/>
        <v>0</v>
      </c>
      <c r="G249">
        <f t="shared" ca="1" si="25"/>
        <v>0</v>
      </c>
      <c r="H249">
        <f ca="1">AVERAGE($G$2:G249)</f>
        <v>0.56451612903225812</v>
      </c>
      <c r="I249">
        <f ca="1">_xlfn.VAR.P($G$2:G249)</f>
        <v>15.511966701352758</v>
      </c>
      <c r="AE249">
        <f t="shared" si="27"/>
        <v>247</v>
      </c>
      <c r="AF249" s="66">
        <f t="shared" si="26"/>
        <v>1</v>
      </c>
    </row>
    <row r="250" spans="1:32" x14ac:dyDescent="0.3">
      <c r="A250">
        <f t="shared" ca="1" si="21"/>
        <v>0.40918589813345685</v>
      </c>
      <c r="B250">
        <f t="shared" ca="1" si="22"/>
        <v>1</v>
      </c>
      <c r="C250">
        <f ca="1">AVERAGE($B$2:B250)</f>
        <v>2.5943775100401605</v>
      </c>
      <c r="D250">
        <f ca="1">_xlfn.VAR.P($B$2:B250)</f>
        <v>8.538281640618699</v>
      </c>
      <c r="E250">
        <f t="shared" ca="1" si="23"/>
        <v>0.20671964780058005</v>
      </c>
      <c r="F250">
        <f t="shared" ca="1" si="24"/>
        <v>0</v>
      </c>
      <c r="G250">
        <f t="shared" ca="1" si="25"/>
        <v>1</v>
      </c>
      <c r="H250">
        <f ca="1">AVERAGE($G$2:G250)</f>
        <v>0.5662650602409639</v>
      </c>
      <c r="I250">
        <f ca="1">_xlfn.VAR.P($G$2:G250)</f>
        <v>15.450428218899695</v>
      </c>
      <c r="AE250">
        <f t="shared" si="27"/>
        <v>248</v>
      </c>
      <c r="AF250" s="66">
        <f t="shared" si="26"/>
        <v>1</v>
      </c>
    </row>
    <row r="251" spans="1:32" x14ac:dyDescent="0.3">
      <c r="A251">
        <f t="shared" ca="1" si="21"/>
        <v>0.65735576079548741</v>
      </c>
      <c r="B251">
        <f t="shared" ca="1" si="22"/>
        <v>3</v>
      </c>
      <c r="C251">
        <f ca="1">AVERAGE($B$2:B251)</f>
        <v>2.5960000000000001</v>
      </c>
      <c r="D251">
        <f ca="1">_xlfn.VAR.P($B$2:B251)</f>
        <v>8.5047840000000008</v>
      </c>
      <c r="E251">
        <f t="shared" ca="1" si="23"/>
        <v>0.5723728841988005</v>
      </c>
      <c r="F251">
        <f t="shared" ca="1" si="24"/>
        <v>2</v>
      </c>
      <c r="G251">
        <f t="shared" ca="1" si="25"/>
        <v>1</v>
      </c>
      <c r="H251">
        <f ca="1">AVERAGE($G$2:G251)</f>
        <v>0.56799999999999995</v>
      </c>
      <c r="I251">
        <f ca="1">_xlfn.VAR.P($G$2:G251)</f>
        <v>15.389376</v>
      </c>
      <c r="AE251">
        <f t="shared" si="27"/>
        <v>249</v>
      </c>
      <c r="AF251" s="66">
        <f t="shared" si="26"/>
        <v>1</v>
      </c>
    </row>
    <row r="252" spans="1:32" x14ac:dyDescent="0.3">
      <c r="A252">
        <f t="shared" ca="1" si="21"/>
        <v>0.43965290401709733</v>
      </c>
      <c r="B252">
        <f t="shared" ca="1" si="22"/>
        <v>1</v>
      </c>
      <c r="C252">
        <f ca="1">AVERAGE($B$2:B252)</f>
        <v>2.5896414342629481</v>
      </c>
      <c r="D252">
        <f ca="1">_xlfn.VAR.P($B$2:B252)</f>
        <v>8.4810082379644776</v>
      </c>
      <c r="E252">
        <f t="shared" ca="1" si="23"/>
        <v>0.30655330256036895</v>
      </c>
      <c r="F252">
        <f t="shared" ca="1" si="24"/>
        <v>1</v>
      </c>
      <c r="G252">
        <f t="shared" ca="1" si="25"/>
        <v>0</v>
      </c>
      <c r="H252">
        <f ca="1">AVERAGE($G$2:G252)</f>
        <v>0.56573705179282874</v>
      </c>
      <c r="I252">
        <f ca="1">_xlfn.VAR.P($G$2:G252)</f>
        <v>15.329343978667005</v>
      </c>
      <c r="AE252">
        <f t="shared" si="27"/>
        <v>250</v>
      </c>
      <c r="AF252" s="66">
        <f t="shared" si="26"/>
        <v>1</v>
      </c>
    </row>
    <row r="253" spans="1:32" x14ac:dyDescent="0.3">
      <c r="A253">
        <f t="shared" ca="1" si="21"/>
        <v>0.34478089305337001</v>
      </c>
      <c r="B253">
        <f t="shared" ca="1" si="22"/>
        <v>1</v>
      </c>
      <c r="C253">
        <f ca="1">AVERAGE($B$2:B253)</f>
        <v>2.5833333333333335</v>
      </c>
      <c r="D253">
        <f ca="1">_xlfn.VAR.P($B$2:B253)</f>
        <v>8.4573412698412707</v>
      </c>
      <c r="E253">
        <f t="shared" ca="1" si="23"/>
        <v>0.31249067307401557</v>
      </c>
      <c r="F253">
        <f t="shared" ca="1" si="24"/>
        <v>1</v>
      </c>
      <c r="G253">
        <f t="shared" ca="1" si="25"/>
        <v>0</v>
      </c>
      <c r="H253">
        <f ca="1">AVERAGE($G$2:G253)</f>
        <v>0.56349206349206349</v>
      </c>
      <c r="I253">
        <f ca="1">_xlfn.VAR.P($G$2:G253)</f>
        <v>15.269778281683044</v>
      </c>
      <c r="AE253">
        <f t="shared" si="27"/>
        <v>251</v>
      </c>
      <c r="AF253" s="66">
        <f t="shared" si="26"/>
        <v>1</v>
      </c>
    </row>
    <row r="254" spans="1:32" x14ac:dyDescent="0.3">
      <c r="A254">
        <f t="shared" ca="1" si="21"/>
        <v>0.8276685271182439</v>
      </c>
      <c r="B254">
        <f t="shared" ca="1" si="22"/>
        <v>4</v>
      </c>
      <c r="C254">
        <f ca="1">AVERAGE($B$2:B254)</f>
        <v>2.5889328063241108</v>
      </c>
      <c r="D254">
        <f ca="1">_xlfn.VAR.P($B$2:B254)</f>
        <v>8.4318142761174215</v>
      </c>
      <c r="E254">
        <f t="shared" ca="1" si="23"/>
        <v>0.21936044732318605</v>
      </c>
      <c r="F254">
        <f t="shared" ca="1" si="24"/>
        <v>0</v>
      </c>
      <c r="G254">
        <f t="shared" ca="1" si="25"/>
        <v>4</v>
      </c>
      <c r="H254">
        <f ca="1">AVERAGE($G$2:G254)</f>
        <v>0.57707509881422925</v>
      </c>
      <c r="I254">
        <f ca="1">_xlfn.VAR.P($G$2:G254)</f>
        <v>15.255917136652657</v>
      </c>
      <c r="AE254">
        <f t="shared" si="27"/>
        <v>252</v>
      </c>
      <c r="AF254" s="66">
        <f t="shared" si="26"/>
        <v>1</v>
      </c>
    </row>
    <row r="255" spans="1:32" x14ac:dyDescent="0.3">
      <c r="A255">
        <f t="shared" ca="1" si="21"/>
        <v>0.55518940709113873</v>
      </c>
      <c r="B255">
        <f t="shared" ca="1" si="22"/>
        <v>2</v>
      </c>
      <c r="C255">
        <f ca="1">AVERAGE($B$2:B255)</f>
        <v>2.5866141732283463</v>
      </c>
      <c r="D255">
        <f ca="1">_xlfn.VAR.P($B$2:B255)</f>
        <v>8.3999782999565991</v>
      </c>
      <c r="E255">
        <f t="shared" ca="1" si="23"/>
        <v>4.5773592842811905E-2</v>
      </c>
      <c r="F255">
        <f t="shared" ca="1" si="24"/>
        <v>0</v>
      </c>
      <c r="G255">
        <f t="shared" ca="1" si="25"/>
        <v>2</v>
      </c>
      <c r="H255">
        <f ca="1">AVERAGE($G$2:G255)</f>
        <v>0.58267716535433067</v>
      </c>
      <c r="I255">
        <f ca="1">_xlfn.VAR.P($G$2:G255)</f>
        <v>15.203794407588815</v>
      </c>
      <c r="AE255">
        <f t="shared" si="27"/>
        <v>253</v>
      </c>
      <c r="AF255" s="66">
        <f t="shared" si="26"/>
        <v>1</v>
      </c>
    </row>
    <row r="256" spans="1:32" x14ac:dyDescent="0.3">
      <c r="A256">
        <f t="shared" ca="1" si="21"/>
        <v>9.3870710466717022E-2</v>
      </c>
      <c r="B256">
        <f t="shared" ca="1" si="22"/>
        <v>0</v>
      </c>
      <c r="C256">
        <f ca="1">AVERAGE($B$2:B256)</f>
        <v>2.5764705882352943</v>
      </c>
      <c r="D256">
        <f ca="1">_xlfn.VAR.P($B$2:B256)</f>
        <v>8.3931718569780855</v>
      </c>
      <c r="E256">
        <f t="shared" ca="1" si="23"/>
        <v>8.2838770610478063E-2</v>
      </c>
      <c r="F256">
        <f t="shared" ca="1" si="24"/>
        <v>0</v>
      </c>
      <c r="G256">
        <f t="shared" ca="1" si="25"/>
        <v>0</v>
      </c>
      <c r="H256">
        <f ca="1">AVERAGE($G$2:G256)</f>
        <v>0.58039215686274515</v>
      </c>
      <c r="I256">
        <f ca="1">_xlfn.VAR.P($G$2:G256)</f>
        <v>15.145497885428682</v>
      </c>
      <c r="AE256">
        <f t="shared" si="27"/>
        <v>254</v>
      </c>
      <c r="AF256" s="66">
        <f t="shared" si="26"/>
        <v>1</v>
      </c>
    </row>
    <row r="257" spans="1:32" x14ac:dyDescent="0.3">
      <c r="A257">
        <f t="shared" ca="1" si="21"/>
        <v>0.89052636108132766</v>
      </c>
      <c r="B257">
        <f t="shared" ca="1" si="22"/>
        <v>6</v>
      </c>
      <c r="C257">
        <f ca="1">AVERAGE($B$2:B257)</f>
        <v>2.58984375</v>
      </c>
      <c r="D257">
        <f ca="1">_xlfn.VAR.P($B$2:B257)</f>
        <v>8.4059906005859375</v>
      </c>
      <c r="E257">
        <f t="shared" ca="1" si="23"/>
        <v>0.18016661157342084</v>
      </c>
      <c r="F257">
        <f t="shared" ca="1" si="24"/>
        <v>0</v>
      </c>
      <c r="G257">
        <f t="shared" ca="1" si="25"/>
        <v>6</v>
      </c>
      <c r="H257">
        <f ca="1">AVERAGE($G$2:G257)</f>
        <v>0.6015625</v>
      </c>
      <c r="I257">
        <f ca="1">_xlfn.VAR.P($G$2:G257)</f>
        <v>15.20062255859375</v>
      </c>
      <c r="AE257">
        <f t="shared" si="27"/>
        <v>255</v>
      </c>
      <c r="AF257" s="66">
        <f t="shared" si="26"/>
        <v>1</v>
      </c>
    </row>
    <row r="258" spans="1:32" x14ac:dyDescent="0.3">
      <c r="A258">
        <f t="shared" ca="1" si="21"/>
        <v>0.13416482538732133</v>
      </c>
      <c r="B258">
        <f t="shared" ca="1" si="22"/>
        <v>0</v>
      </c>
      <c r="C258">
        <f ca="1">AVERAGE($B$2:B258)</f>
        <v>2.5797665369649807</v>
      </c>
      <c r="D258">
        <f ca="1">_xlfn.VAR.P($B$2:B258)</f>
        <v>8.3992793229269171</v>
      </c>
      <c r="E258">
        <f t="shared" ca="1" si="23"/>
        <v>8.5831589778089246E-3</v>
      </c>
      <c r="F258">
        <f t="shared" ca="1" si="24"/>
        <v>0</v>
      </c>
      <c r="G258">
        <f t="shared" ca="1" si="25"/>
        <v>0</v>
      </c>
      <c r="H258">
        <f ca="1">AVERAGE($G$2:G258)</f>
        <v>0.59922178988326846</v>
      </c>
      <c r="I258">
        <f ca="1">_xlfn.VAR.P($G$2:G258)</f>
        <v>15.142878771820921</v>
      </c>
      <c r="AE258">
        <f t="shared" si="27"/>
        <v>256</v>
      </c>
      <c r="AF258" s="66">
        <f t="shared" si="26"/>
        <v>1</v>
      </c>
    </row>
    <row r="259" spans="1:32" x14ac:dyDescent="0.3">
      <c r="A259">
        <f t="shared" ref="A259:A322" ca="1" si="28">RAND()</f>
        <v>0.51387845456895564</v>
      </c>
      <c r="B259">
        <f t="shared" ref="B259:B322" ca="1" si="29">LOOKUP(A259,$AF$2:$AF$1002,$AE$2:$AE$1002)</f>
        <v>2</v>
      </c>
      <c r="C259">
        <f ca="1">AVERAGE($B$2:B259)</f>
        <v>2.5775193798449614</v>
      </c>
      <c r="D259">
        <f ca="1">_xlfn.VAR.P($B$2:B259)</f>
        <v>8.3680217535003898</v>
      </c>
      <c r="E259">
        <f t="shared" ref="E259:E322" ca="1" si="30">RAND()</f>
        <v>0.27846412181477598</v>
      </c>
      <c r="F259">
        <f t="shared" ref="F259:F322" ca="1" si="31">LOOKUP(E259,$AF$2:$AF$1002,$AE$2:$AE$1002)</f>
        <v>0</v>
      </c>
      <c r="G259">
        <f t="shared" ref="G259:G322" ca="1" si="32">B259-F259</f>
        <v>2</v>
      </c>
      <c r="H259">
        <f ca="1">AVERAGE($G$2:G259)</f>
        <v>0.60465116279069764</v>
      </c>
      <c r="I259">
        <f ca="1">_xlfn.VAR.P($G$2:G259)</f>
        <v>15.091761312421129</v>
      </c>
      <c r="AE259">
        <f t="shared" si="27"/>
        <v>257</v>
      </c>
      <c r="AF259" s="66">
        <f t="shared" ref="AF259:AF322" si="33">_xlfn.NEGBINOM.DIST(AE259-1,1,$K$1,TRUE)</f>
        <v>1</v>
      </c>
    </row>
    <row r="260" spans="1:32" x14ac:dyDescent="0.3">
      <c r="A260">
        <f t="shared" ca="1" si="28"/>
        <v>0.39539264966318599</v>
      </c>
      <c r="B260">
        <f t="shared" ca="1" si="29"/>
        <v>1</v>
      </c>
      <c r="C260">
        <f ca="1">AVERAGE($B$2:B260)</f>
        <v>2.5714285714285716</v>
      </c>
      <c r="D260">
        <f ca="1">_xlfn.VAR.P($B$2:B260)</f>
        <v>8.3452840595697744</v>
      </c>
      <c r="E260">
        <f t="shared" ca="1" si="30"/>
        <v>0.83828930541168756</v>
      </c>
      <c r="F260">
        <f t="shared" ca="1" si="31"/>
        <v>5</v>
      </c>
      <c r="G260">
        <f t="shared" ca="1" si="32"/>
        <v>-4</v>
      </c>
      <c r="H260">
        <f ca="1">AVERAGE($G$2:G260)</f>
        <v>0.58687258687258692</v>
      </c>
      <c r="I260">
        <f ca="1">_xlfn.VAR.P($G$2:G260)</f>
        <v>15.115040026236937</v>
      </c>
      <c r="AE260">
        <f t="shared" si="27"/>
        <v>258</v>
      </c>
      <c r="AF260" s="66">
        <f t="shared" si="33"/>
        <v>1</v>
      </c>
    </row>
    <row r="261" spans="1:32" x14ac:dyDescent="0.3">
      <c r="A261">
        <f t="shared" ca="1" si="28"/>
        <v>0.27626174066750253</v>
      </c>
      <c r="B261">
        <f t="shared" ca="1" si="29"/>
        <v>0</v>
      </c>
      <c r="C261">
        <f ca="1">AVERAGE($B$2:B261)</f>
        <v>2.5615384615384613</v>
      </c>
      <c r="D261">
        <f ca="1">_xlfn.VAR.P($B$2:B261)</f>
        <v>8.3385207100591714</v>
      </c>
      <c r="E261">
        <f t="shared" ca="1" si="30"/>
        <v>0.99635606380565733</v>
      </c>
      <c r="F261">
        <f t="shared" ca="1" si="31"/>
        <v>15</v>
      </c>
      <c r="G261">
        <f t="shared" ca="1" si="32"/>
        <v>-15</v>
      </c>
      <c r="H261">
        <f ca="1">AVERAGE($G$2:G261)</f>
        <v>0.52692307692307694</v>
      </c>
      <c r="I261">
        <f ca="1">_xlfn.VAR.P($G$2:G261)</f>
        <v>15.987736686390532</v>
      </c>
      <c r="AE261">
        <f t="shared" ref="AE261:AE324" si="34">AE260+1</f>
        <v>259</v>
      </c>
      <c r="AF261" s="66">
        <f t="shared" si="33"/>
        <v>1</v>
      </c>
    </row>
    <row r="262" spans="1:32" x14ac:dyDescent="0.3">
      <c r="A262">
        <f t="shared" ca="1" si="28"/>
        <v>0.33261880400117694</v>
      </c>
      <c r="B262">
        <f t="shared" ca="1" si="29"/>
        <v>1</v>
      </c>
      <c r="C262">
        <f ca="1">AVERAGE($B$2:B262)</f>
        <v>2.5555555555555554</v>
      </c>
      <c r="D262">
        <f ca="1">_xlfn.VAR.P($B$2:B262)</f>
        <v>8.3158790974882937</v>
      </c>
      <c r="E262">
        <f t="shared" ca="1" si="30"/>
        <v>0.39238191296652458</v>
      </c>
      <c r="F262">
        <f t="shared" ca="1" si="31"/>
        <v>1</v>
      </c>
      <c r="G262">
        <f t="shared" ca="1" si="32"/>
        <v>0</v>
      </c>
      <c r="H262">
        <f ca="1">AVERAGE($G$2:G262)</f>
        <v>0.52490421455938696</v>
      </c>
      <c r="I262">
        <f ca="1">_xlfn.VAR.P($G$2:G262)</f>
        <v>15.92754069963741</v>
      </c>
      <c r="AE262">
        <f t="shared" si="34"/>
        <v>260</v>
      </c>
      <c r="AF262" s="66">
        <f t="shared" si="33"/>
        <v>1</v>
      </c>
    </row>
    <row r="263" spans="1:32" x14ac:dyDescent="0.3">
      <c r="A263">
        <f t="shared" ca="1" si="28"/>
        <v>0.47189887713005707</v>
      </c>
      <c r="B263">
        <f t="shared" ca="1" si="29"/>
        <v>1</v>
      </c>
      <c r="C263">
        <f ca="1">AVERAGE($B$2:B263)</f>
        <v>2.5496183206106871</v>
      </c>
      <c r="D263">
        <f ca="1">_xlfn.VAR.P($B$2:B263)</f>
        <v>8.2933395489773325</v>
      </c>
      <c r="E263">
        <f t="shared" ca="1" si="30"/>
        <v>0.76957982947404446</v>
      </c>
      <c r="F263">
        <f t="shared" ca="1" si="31"/>
        <v>4</v>
      </c>
      <c r="G263">
        <f t="shared" ca="1" si="32"/>
        <v>-3</v>
      </c>
      <c r="H263">
        <f ca="1">AVERAGE($G$2:G263)</f>
        <v>0.51145038167938928</v>
      </c>
      <c r="I263">
        <f ca="1">_xlfn.VAR.P($G$2:G263)</f>
        <v>15.913991026163977</v>
      </c>
      <c r="AE263">
        <f t="shared" si="34"/>
        <v>261</v>
      </c>
      <c r="AF263" s="66">
        <f t="shared" si="33"/>
        <v>1</v>
      </c>
    </row>
    <row r="264" spans="1:32" x14ac:dyDescent="0.3">
      <c r="A264">
        <f t="shared" ca="1" si="28"/>
        <v>0.86267553406503039</v>
      </c>
      <c r="B264">
        <f t="shared" ca="1" si="29"/>
        <v>5</v>
      </c>
      <c r="C264">
        <f ca="1">AVERAGE($B$2:B264)</f>
        <v>2.5589353612167298</v>
      </c>
      <c r="D264">
        <f ca="1">_xlfn.VAR.P($B$2:B264)</f>
        <v>8.2845494368864667</v>
      </c>
      <c r="E264">
        <f t="shared" ca="1" si="30"/>
        <v>0.90696022678587696</v>
      </c>
      <c r="F264">
        <f t="shared" ca="1" si="31"/>
        <v>6</v>
      </c>
      <c r="G264">
        <f t="shared" ca="1" si="32"/>
        <v>-1</v>
      </c>
      <c r="H264">
        <f ca="1">AVERAGE($G$2:G264)</f>
        <v>0.50570342205323193</v>
      </c>
      <c r="I264">
        <f ca="1">_xlfn.VAR.P($G$2:G264)</f>
        <v>15.862134771357111</v>
      </c>
      <c r="AE264">
        <f t="shared" si="34"/>
        <v>262</v>
      </c>
      <c r="AF264" s="66">
        <f t="shared" si="33"/>
        <v>1</v>
      </c>
    </row>
    <row r="265" spans="1:32" x14ac:dyDescent="0.3">
      <c r="A265">
        <f t="shared" ca="1" si="28"/>
        <v>0.4755038093203553</v>
      </c>
      <c r="B265">
        <f t="shared" ca="1" si="29"/>
        <v>1</v>
      </c>
      <c r="C265">
        <f ca="1">AVERAGE($B$2:B265)</f>
        <v>2.5530303030303032</v>
      </c>
      <c r="D265">
        <f ca="1">_xlfn.VAR.P($B$2:B265)</f>
        <v>8.2623393021120286</v>
      </c>
      <c r="E265">
        <f t="shared" ca="1" si="30"/>
        <v>0.22004158439726307</v>
      </c>
      <c r="F265">
        <f t="shared" ca="1" si="31"/>
        <v>0</v>
      </c>
      <c r="G265">
        <f t="shared" ca="1" si="32"/>
        <v>1</v>
      </c>
      <c r="H265">
        <f ca="1">AVERAGE($G$2:G265)</f>
        <v>0.50757575757575757</v>
      </c>
      <c r="I265">
        <f ca="1">_xlfn.VAR.P($G$2:G265)</f>
        <v>15.802972910927457</v>
      </c>
      <c r="AE265">
        <f t="shared" si="34"/>
        <v>263</v>
      </c>
      <c r="AF265" s="66">
        <f t="shared" si="33"/>
        <v>1</v>
      </c>
    </row>
    <row r="266" spans="1:32" x14ac:dyDescent="0.3">
      <c r="A266">
        <f t="shared" ca="1" si="28"/>
        <v>2.4245300394084235E-2</v>
      </c>
      <c r="B266">
        <f t="shared" ca="1" si="29"/>
        <v>0</v>
      </c>
      <c r="C266">
        <f ca="1">AVERAGE($B$2:B266)</f>
        <v>2.5433962264150942</v>
      </c>
      <c r="D266">
        <f ca="1">_xlfn.VAR.P($B$2:B266)</f>
        <v>8.2556639373442504</v>
      </c>
      <c r="E266">
        <f t="shared" ca="1" si="30"/>
        <v>0.44569825692272158</v>
      </c>
      <c r="F266">
        <f t="shared" ca="1" si="31"/>
        <v>1</v>
      </c>
      <c r="G266">
        <f t="shared" ca="1" si="32"/>
        <v>-1</v>
      </c>
      <c r="H266">
        <f ca="1">AVERAGE($G$2:G266)</f>
        <v>0.50188679245283019</v>
      </c>
      <c r="I266">
        <f ca="1">_xlfn.VAR.P($G$2:G266)</f>
        <v>15.751883232467071</v>
      </c>
      <c r="AE266">
        <f t="shared" si="34"/>
        <v>264</v>
      </c>
      <c r="AF266" s="66">
        <f t="shared" si="33"/>
        <v>1</v>
      </c>
    </row>
    <row r="267" spans="1:32" x14ac:dyDescent="0.3">
      <c r="A267">
        <f t="shared" ca="1" si="28"/>
        <v>0.30309825630046039</v>
      </c>
      <c r="B267">
        <f t="shared" ca="1" si="29"/>
        <v>1</v>
      </c>
      <c r="C267">
        <f ca="1">AVERAGE($B$2:B267)</f>
        <v>2.5375939849624061</v>
      </c>
      <c r="D267">
        <f ca="1">_xlfn.VAR.P($B$2:B267)</f>
        <v>8.233549098309684</v>
      </c>
      <c r="E267">
        <f t="shared" ca="1" si="30"/>
        <v>0.80806294083184771</v>
      </c>
      <c r="F267">
        <f t="shared" ca="1" si="31"/>
        <v>4</v>
      </c>
      <c r="G267">
        <f t="shared" ca="1" si="32"/>
        <v>-3</v>
      </c>
      <c r="H267">
        <f ca="1">AVERAGE($G$2:G267)</f>
        <v>0.48872180451127817</v>
      </c>
      <c r="I267">
        <f ca="1">_xlfn.VAR.P($G$2:G267)</f>
        <v>15.738594606817797</v>
      </c>
      <c r="AE267">
        <f t="shared" si="34"/>
        <v>265</v>
      </c>
      <c r="AF267" s="66">
        <f t="shared" si="33"/>
        <v>1</v>
      </c>
    </row>
    <row r="268" spans="1:32" x14ac:dyDescent="0.3">
      <c r="A268">
        <f t="shared" ca="1" si="28"/>
        <v>6.6282480049864367E-2</v>
      </c>
      <c r="B268">
        <f t="shared" ca="1" si="29"/>
        <v>0</v>
      </c>
      <c r="C268">
        <f ca="1">AVERAGE($B$2:B268)</f>
        <v>2.5280898876404496</v>
      </c>
      <c r="D268">
        <f ca="1">_xlfn.VAR.P($B$2:B268)</f>
        <v>8.2267390480999882</v>
      </c>
      <c r="E268">
        <f t="shared" ca="1" si="30"/>
        <v>0.45891925125197508</v>
      </c>
      <c r="F268">
        <f t="shared" ca="1" si="31"/>
        <v>1</v>
      </c>
      <c r="G268">
        <f t="shared" ca="1" si="32"/>
        <v>-1</v>
      </c>
      <c r="H268">
        <f ca="1">AVERAGE($G$2:G268)</f>
        <v>0.48314606741573035</v>
      </c>
      <c r="I268">
        <f ca="1">_xlfn.VAR.P($G$2:G268)</f>
        <v>15.687918192147457</v>
      </c>
      <c r="AE268">
        <f t="shared" si="34"/>
        <v>266</v>
      </c>
      <c r="AF268" s="66">
        <f t="shared" si="33"/>
        <v>1</v>
      </c>
    </row>
    <row r="269" spans="1:32" x14ac:dyDescent="0.3">
      <c r="A269">
        <f t="shared" ca="1" si="28"/>
        <v>0.99296165262132496</v>
      </c>
      <c r="B269">
        <f t="shared" ca="1" si="29"/>
        <v>13</v>
      </c>
      <c r="C269">
        <f ca="1">AVERAGE($B$2:B269)</f>
        <v>2.5671641791044775</v>
      </c>
      <c r="D269">
        <f ca="1">_xlfn.VAR.P($B$2:B269)</f>
        <v>8.6036979282691028</v>
      </c>
      <c r="E269">
        <f t="shared" ca="1" si="30"/>
        <v>0.18071484034291019</v>
      </c>
      <c r="F269">
        <f t="shared" ca="1" si="31"/>
        <v>0</v>
      </c>
      <c r="G269">
        <f t="shared" ca="1" si="32"/>
        <v>13</v>
      </c>
      <c r="H269">
        <f ca="1">AVERAGE($G$2:G269)</f>
        <v>0.52985074626865669</v>
      </c>
      <c r="I269">
        <f ca="1">_xlfn.VAR.P($G$2:G269)</f>
        <v>16.211795500111382</v>
      </c>
      <c r="AE269">
        <f t="shared" si="34"/>
        <v>267</v>
      </c>
      <c r="AF269" s="66">
        <f t="shared" si="33"/>
        <v>1</v>
      </c>
    </row>
    <row r="270" spans="1:32" x14ac:dyDescent="0.3">
      <c r="A270">
        <f t="shared" ca="1" si="28"/>
        <v>0.9165210419723947</v>
      </c>
      <c r="B270">
        <f t="shared" ca="1" si="29"/>
        <v>6</v>
      </c>
      <c r="C270">
        <f ca="1">AVERAGE($B$2:B270)</f>
        <v>2.5799256505576209</v>
      </c>
      <c r="D270">
        <f ca="1">_xlfn.VAR.P($B$2:B270)</f>
        <v>8.6153591022788518</v>
      </c>
      <c r="E270">
        <f t="shared" ca="1" si="30"/>
        <v>0.39978865294193311</v>
      </c>
      <c r="F270">
        <f t="shared" ca="1" si="31"/>
        <v>1</v>
      </c>
      <c r="G270">
        <f t="shared" ca="1" si="32"/>
        <v>5</v>
      </c>
      <c r="H270">
        <f ca="1">AVERAGE($G$2:G270)</f>
        <v>0.54646840148698883</v>
      </c>
      <c r="I270">
        <f ca="1">_xlfn.VAR.P($G$2:G270)</f>
        <v>16.225535854949488</v>
      </c>
      <c r="AE270">
        <f t="shared" si="34"/>
        <v>268</v>
      </c>
      <c r="AF270" s="66">
        <f t="shared" si="33"/>
        <v>1</v>
      </c>
    </row>
    <row r="271" spans="1:32" x14ac:dyDescent="0.3">
      <c r="A271">
        <f t="shared" ca="1" si="28"/>
        <v>0.55297313807192094</v>
      </c>
      <c r="B271">
        <f t="shared" ca="1" si="29"/>
        <v>2</v>
      </c>
      <c r="C271">
        <f ca="1">AVERAGE($B$2:B271)</f>
        <v>2.5777777777777779</v>
      </c>
      <c r="D271">
        <f ca="1">_xlfn.VAR.P($B$2:B271)</f>
        <v>8.584691358024692</v>
      </c>
      <c r="E271">
        <f t="shared" ca="1" si="30"/>
        <v>0.94494931869648013</v>
      </c>
      <c r="F271">
        <f t="shared" ca="1" si="31"/>
        <v>8</v>
      </c>
      <c r="G271">
        <f t="shared" ca="1" si="32"/>
        <v>-6</v>
      </c>
      <c r="H271">
        <f ca="1">AVERAGE($G$2:G271)</f>
        <v>0.52222222222222225</v>
      </c>
      <c r="I271">
        <f ca="1">_xlfn.VAR.P($G$2:G271)</f>
        <v>16.323580246913579</v>
      </c>
      <c r="AE271">
        <f t="shared" si="34"/>
        <v>269</v>
      </c>
      <c r="AF271" s="66">
        <f t="shared" si="33"/>
        <v>1</v>
      </c>
    </row>
    <row r="272" spans="1:32" x14ac:dyDescent="0.3">
      <c r="A272">
        <f t="shared" ca="1" si="28"/>
        <v>0.85593105500692435</v>
      </c>
      <c r="B272">
        <f t="shared" ca="1" si="29"/>
        <v>5</v>
      </c>
      <c r="C272">
        <f ca="1">AVERAGE($B$2:B272)</f>
        <v>2.5867158671586714</v>
      </c>
      <c r="D272">
        <f ca="1">_xlfn.VAR.P($B$2:B272)</f>
        <v>8.5745836794161292</v>
      </c>
      <c r="E272">
        <f t="shared" ca="1" si="30"/>
        <v>0.15566207056893022</v>
      </c>
      <c r="F272">
        <f t="shared" ca="1" si="31"/>
        <v>0</v>
      </c>
      <c r="G272">
        <f t="shared" ca="1" si="32"/>
        <v>5</v>
      </c>
      <c r="H272">
        <f ca="1">AVERAGE($G$2:G272)</f>
        <v>0.53874538745387457</v>
      </c>
      <c r="I272">
        <f ca="1">_xlfn.VAR.P($G$2:G272)</f>
        <v>16.337059680559904</v>
      </c>
      <c r="AE272">
        <f t="shared" si="34"/>
        <v>270</v>
      </c>
      <c r="AF272" s="66">
        <f t="shared" si="33"/>
        <v>1</v>
      </c>
    </row>
    <row r="273" spans="1:32" x14ac:dyDescent="0.3">
      <c r="A273">
        <f t="shared" ca="1" si="28"/>
        <v>0.68344936237880627</v>
      </c>
      <c r="B273">
        <f t="shared" ca="1" si="29"/>
        <v>3</v>
      </c>
      <c r="C273">
        <f ca="1">AVERAGE($B$2:B273)</f>
        <v>2.5882352941176472</v>
      </c>
      <c r="D273">
        <f ca="1">_xlfn.VAR.P($B$2:B273)</f>
        <v>8.5436851211072664</v>
      </c>
      <c r="E273">
        <f t="shared" ca="1" si="30"/>
        <v>0.78907538828237678</v>
      </c>
      <c r="F273">
        <f t="shared" ca="1" si="31"/>
        <v>4</v>
      </c>
      <c r="G273">
        <f t="shared" ca="1" si="32"/>
        <v>-1</v>
      </c>
      <c r="H273">
        <f ca="1">AVERAGE($G$2:G273)</f>
        <v>0.53308823529411764</v>
      </c>
      <c r="I273">
        <f ca="1">_xlfn.VAR.P($G$2:G273)</f>
        <v>16.285669874567475</v>
      </c>
      <c r="AE273">
        <f t="shared" si="34"/>
        <v>271</v>
      </c>
      <c r="AF273" s="66">
        <f t="shared" si="33"/>
        <v>1</v>
      </c>
    </row>
    <row r="274" spans="1:32" x14ac:dyDescent="0.3">
      <c r="A274">
        <f t="shared" ca="1" si="28"/>
        <v>0.85219911634169776</v>
      </c>
      <c r="B274">
        <f t="shared" ca="1" si="29"/>
        <v>5</v>
      </c>
      <c r="C274">
        <f ca="1">AVERAGE($B$2:B274)</f>
        <v>2.5970695970695972</v>
      </c>
      <c r="D274">
        <f ca="1">_xlfn.VAR.P($B$2:B274)</f>
        <v>8.5336177863650384</v>
      </c>
      <c r="E274">
        <f t="shared" ca="1" si="30"/>
        <v>0.34478974778109361</v>
      </c>
      <c r="F274">
        <f t="shared" ca="1" si="31"/>
        <v>1</v>
      </c>
      <c r="G274">
        <f t="shared" ca="1" si="32"/>
        <v>4</v>
      </c>
      <c r="H274">
        <f ca="1">AVERAGE($G$2:G274)</f>
        <v>0.54578754578754574</v>
      </c>
      <c r="I274">
        <f ca="1">_xlfn.VAR.P($G$2:G274)</f>
        <v>16.269881522628776</v>
      </c>
      <c r="AE274">
        <f t="shared" si="34"/>
        <v>272</v>
      </c>
      <c r="AF274" s="66">
        <f t="shared" si="33"/>
        <v>1</v>
      </c>
    </row>
    <row r="275" spans="1:32" x14ac:dyDescent="0.3">
      <c r="A275">
        <f t="shared" ca="1" si="28"/>
        <v>0.43463131614867301</v>
      </c>
      <c r="B275">
        <f t="shared" ca="1" si="29"/>
        <v>1</v>
      </c>
      <c r="C275">
        <f ca="1">AVERAGE($B$2:B275)</f>
        <v>2.5912408759124088</v>
      </c>
      <c r="D275">
        <f ca="1">_xlfn.VAR.P($B$2:B275)</f>
        <v>8.5117480952634672</v>
      </c>
      <c r="E275">
        <f t="shared" ca="1" si="30"/>
        <v>0.93627395263998126</v>
      </c>
      <c r="F275">
        <f t="shared" ca="1" si="31"/>
        <v>7</v>
      </c>
      <c r="G275">
        <f t="shared" ca="1" si="32"/>
        <v>-6</v>
      </c>
      <c r="H275">
        <f ca="1">AVERAGE($G$2:G275)</f>
        <v>0.52189781021897808</v>
      </c>
      <c r="I275">
        <f ca="1">_xlfn.VAR.P($G$2:G275)</f>
        <v>16.366308807075498</v>
      </c>
      <c r="AE275">
        <f t="shared" si="34"/>
        <v>273</v>
      </c>
      <c r="AF275" s="66">
        <f t="shared" si="33"/>
        <v>1</v>
      </c>
    </row>
    <row r="276" spans="1:32" x14ac:dyDescent="0.3">
      <c r="A276">
        <f t="shared" ca="1" si="28"/>
        <v>0.48144858179247385</v>
      </c>
      <c r="B276">
        <f t="shared" ca="1" si="29"/>
        <v>1</v>
      </c>
      <c r="C276">
        <f ca="1">AVERAGE($B$2:B276)</f>
        <v>2.5854545454545454</v>
      </c>
      <c r="D276">
        <f ca="1">_xlfn.VAR.P($B$2:B276)</f>
        <v>8.4899702479338846</v>
      </c>
      <c r="E276">
        <f t="shared" ca="1" si="30"/>
        <v>0.53443778289892474</v>
      </c>
      <c r="F276">
        <f t="shared" ca="1" si="31"/>
        <v>2</v>
      </c>
      <c r="G276">
        <f t="shared" ca="1" si="32"/>
        <v>-1</v>
      </c>
      <c r="H276">
        <f ca="1">AVERAGE($G$2:G276)</f>
        <v>0.51636363636363636</v>
      </c>
      <c r="I276">
        <f ca="1">_xlfn.VAR.P($G$2:G276)</f>
        <v>16.315186776859505</v>
      </c>
      <c r="AE276">
        <f t="shared" si="34"/>
        <v>274</v>
      </c>
      <c r="AF276" s="66">
        <f t="shared" si="33"/>
        <v>1</v>
      </c>
    </row>
    <row r="277" spans="1:32" x14ac:dyDescent="0.3">
      <c r="A277">
        <f t="shared" ca="1" si="28"/>
        <v>0.50311811645637339</v>
      </c>
      <c r="B277">
        <f t="shared" ca="1" si="29"/>
        <v>1</v>
      </c>
      <c r="C277">
        <f ca="1">AVERAGE($B$2:B277)</f>
        <v>2.5797101449275361</v>
      </c>
      <c r="D277">
        <f ca="1">_xlfn.VAR.P($B$2:B277)</f>
        <v>8.4682839739550513</v>
      </c>
      <c r="E277">
        <f t="shared" ca="1" si="30"/>
        <v>0.46537787639383588</v>
      </c>
      <c r="F277">
        <f t="shared" ca="1" si="31"/>
        <v>1</v>
      </c>
      <c r="G277">
        <f t="shared" ca="1" si="32"/>
        <v>0</v>
      </c>
      <c r="H277">
        <f ca="1">AVERAGE($G$2:G277)</f>
        <v>0.51449275362318836</v>
      </c>
      <c r="I277">
        <f ca="1">_xlfn.VAR.P($G$2:G277)</f>
        <v>16.257036336904012</v>
      </c>
      <c r="AE277">
        <f t="shared" si="34"/>
        <v>275</v>
      </c>
      <c r="AF277" s="66">
        <f t="shared" si="33"/>
        <v>1</v>
      </c>
    </row>
    <row r="278" spans="1:32" x14ac:dyDescent="0.3">
      <c r="A278">
        <f t="shared" ca="1" si="28"/>
        <v>0.95809676133296962</v>
      </c>
      <c r="B278">
        <f t="shared" ca="1" si="29"/>
        <v>8</v>
      </c>
      <c r="C278">
        <f ca="1">AVERAGE($B$2:B278)</f>
        <v>2.5992779783393503</v>
      </c>
      <c r="D278">
        <f ca="1">_xlfn.VAR.P($B$2:B278)</f>
        <v>8.5433929804897755</v>
      </c>
      <c r="E278">
        <f t="shared" ca="1" si="30"/>
        <v>0.2991834521614527</v>
      </c>
      <c r="F278">
        <f t="shared" ca="1" si="31"/>
        <v>0</v>
      </c>
      <c r="G278">
        <f t="shared" ca="1" si="32"/>
        <v>8</v>
      </c>
      <c r="H278">
        <f ca="1">AVERAGE($G$2:G278)</f>
        <v>0.54151624548736466</v>
      </c>
      <c r="I278">
        <f ca="1">_xlfn.VAR.P($G$2:G278)</f>
        <v>16.399900950097095</v>
      </c>
      <c r="AE278">
        <f t="shared" si="34"/>
        <v>276</v>
      </c>
      <c r="AF278" s="66">
        <f t="shared" si="33"/>
        <v>1</v>
      </c>
    </row>
    <row r="279" spans="1:32" x14ac:dyDescent="0.3">
      <c r="A279">
        <f t="shared" ca="1" si="28"/>
        <v>8.8388769968205549E-2</v>
      </c>
      <c r="B279">
        <f t="shared" ca="1" si="29"/>
        <v>0</v>
      </c>
      <c r="C279">
        <f ca="1">AVERAGE($B$2:B279)</f>
        <v>2.5899280575539567</v>
      </c>
      <c r="D279">
        <f ca="1">_xlfn.VAR.P($B$2:B279)</f>
        <v>8.5368769732415508</v>
      </c>
      <c r="E279">
        <f t="shared" ca="1" si="30"/>
        <v>0.4699787988707389</v>
      </c>
      <c r="F279">
        <f t="shared" ca="1" si="31"/>
        <v>1</v>
      </c>
      <c r="G279">
        <f t="shared" ca="1" si="32"/>
        <v>-1</v>
      </c>
      <c r="H279">
        <f ca="1">AVERAGE($G$2:G279)</f>
        <v>0.53597122302158273</v>
      </c>
      <c r="I279">
        <f ca="1">_xlfn.VAR.P($G$2:G279)</f>
        <v>16.349425495574764</v>
      </c>
      <c r="AE279">
        <f t="shared" si="34"/>
        <v>277</v>
      </c>
      <c r="AF279" s="66">
        <f t="shared" si="33"/>
        <v>1</v>
      </c>
    </row>
    <row r="280" spans="1:32" x14ac:dyDescent="0.3">
      <c r="A280">
        <f t="shared" ca="1" si="28"/>
        <v>0.11490543285505128</v>
      </c>
      <c r="B280">
        <f t="shared" ca="1" si="29"/>
        <v>0</v>
      </c>
      <c r="C280">
        <f ca="1">AVERAGE($B$2:B280)</f>
        <v>2.5806451612903225</v>
      </c>
      <c r="D280">
        <f ca="1">_xlfn.VAR.P($B$2:B280)</f>
        <v>8.5302347092149375</v>
      </c>
      <c r="E280">
        <f t="shared" ca="1" si="30"/>
        <v>0.76552156823835915</v>
      </c>
      <c r="F280">
        <f t="shared" ca="1" si="31"/>
        <v>4</v>
      </c>
      <c r="G280">
        <f t="shared" ca="1" si="32"/>
        <v>-4</v>
      </c>
      <c r="H280">
        <f ca="1">AVERAGE($G$2:G280)</f>
        <v>0.51971326164874554</v>
      </c>
      <c r="I280">
        <f ca="1">_xlfn.VAR.P($G$2:G280)</f>
        <v>16.36430672781696</v>
      </c>
      <c r="AE280">
        <f t="shared" si="34"/>
        <v>278</v>
      </c>
      <c r="AF280" s="66">
        <f t="shared" si="33"/>
        <v>1</v>
      </c>
    </row>
    <row r="281" spans="1:32" x14ac:dyDescent="0.3">
      <c r="A281">
        <f t="shared" ca="1" si="28"/>
        <v>0.38757262018978222</v>
      </c>
      <c r="B281">
        <f t="shared" ca="1" si="29"/>
        <v>1</v>
      </c>
      <c r="C281">
        <f ca="1">AVERAGE($B$2:B281)</f>
        <v>2.5750000000000002</v>
      </c>
      <c r="D281">
        <f ca="1">_xlfn.VAR.P($B$2:B281)</f>
        <v>8.508660714285714</v>
      </c>
      <c r="E281">
        <f t="shared" ca="1" si="30"/>
        <v>0.96878774843085613</v>
      </c>
      <c r="F281">
        <f t="shared" ca="1" si="31"/>
        <v>9</v>
      </c>
      <c r="G281">
        <f t="shared" ca="1" si="32"/>
        <v>-8</v>
      </c>
      <c r="H281">
        <f ca="1">AVERAGE($G$2:G281)</f>
        <v>0.48928571428571427</v>
      </c>
      <c r="I281">
        <f ca="1">_xlfn.VAR.P($G$2:G281)</f>
        <v>16.564170918367346</v>
      </c>
      <c r="AE281">
        <f t="shared" si="34"/>
        <v>279</v>
      </c>
      <c r="AF281" s="66">
        <f t="shared" si="33"/>
        <v>1</v>
      </c>
    </row>
    <row r="282" spans="1:32" x14ac:dyDescent="0.3">
      <c r="A282">
        <f t="shared" ca="1" si="28"/>
        <v>0.18238585184138612</v>
      </c>
      <c r="B282">
        <f t="shared" ca="1" si="29"/>
        <v>0</v>
      </c>
      <c r="C282">
        <f ca="1">AVERAGE($B$2:B282)</f>
        <v>2.5658362989323842</v>
      </c>
      <c r="D282">
        <f ca="1">_xlfn.VAR.P($B$2:B282)</f>
        <v>8.5018933397500032</v>
      </c>
      <c r="E282">
        <f t="shared" ca="1" si="30"/>
        <v>0.89225660706903787</v>
      </c>
      <c r="F282">
        <f t="shared" ca="1" si="31"/>
        <v>6</v>
      </c>
      <c r="G282">
        <f t="shared" ca="1" si="32"/>
        <v>-6</v>
      </c>
      <c r="H282">
        <f ca="1">AVERAGE($G$2:G282)</f>
        <v>0.46619217081850534</v>
      </c>
      <c r="I282">
        <f ca="1">_xlfn.VAR.P($G$2:G282)</f>
        <v>16.65455098086397</v>
      </c>
      <c r="AE282">
        <f t="shared" si="34"/>
        <v>280</v>
      </c>
      <c r="AF282" s="66">
        <f t="shared" si="33"/>
        <v>1</v>
      </c>
    </row>
    <row r="283" spans="1:32" x14ac:dyDescent="0.3">
      <c r="A283">
        <f t="shared" ca="1" si="28"/>
        <v>0.73888607217495639</v>
      </c>
      <c r="B283">
        <f t="shared" ca="1" si="29"/>
        <v>3</v>
      </c>
      <c r="C283">
        <f ca="1">AVERAGE($B$2:B283)</f>
        <v>2.5673758865248226</v>
      </c>
      <c r="D283">
        <f ca="1">_xlfn.VAR.P($B$2:B283)</f>
        <v>8.4724108445249229</v>
      </c>
      <c r="E283">
        <f t="shared" ca="1" si="30"/>
        <v>0.37409294454007036</v>
      </c>
      <c r="F283">
        <f t="shared" ca="1" si="31"/>
        <v>1</v>
      </c>
      <c r="G283">
        <f t="shared" ca="1" si="32"/>
        <v>2</v>
      </c>
      <c r="H283">
        <f ca="1">AVERAGE($G$2:G283)</f>
        <v>0.47163120567375888</v>
      </c>
      <c r="I283">
        <f ca="1">_xlfn.VAR.P($G$2:G283)</f>
        <v>16.603805140586491</v>
      </c>
      <c r="AE283">
        <f t="shared" si="34"/>
        <v>281</v>
      </c>
      <c r="AF283" s="66">
        <f t="shared" si="33"/>
        <v>1</v>
      </c>
    </row>
    <row r="284" spans="1:32" x14ac:dyDescent="0.3">
      <c r="A284">
        <f t="shared" ca="1" si="28"/>
        <v>0.87997325296870077</v>
      </c>
      <c r="B284">
        <f t="shared" ca="1" si="29"/>
        <v>5</v>
      </c>
      <c r="C284">
        <f ca="1">AVERAGE($B$2:B284)</f>
        <v>2.5759717314487633</v>
      </c>
      <c r="D284">
        <f ca="1">_xlfn.VAR.P($B$2:B284)</f>
        <v>8.4633095681054833</v>
      </c>
      <c r="E284">
        <f t="shared" ca="1" si="30"/>
        <v>0.25761369199510631</v>
      </c>
      <c r="F284">
        <f t="shared" ca="1" si="31"/>
        <v>0</v>
      </c>
      <c r="G284">
        <f t="shared" ca="1" si="32"/>
        <v>5</v>
      </c>
      <c r="H284">
        <f ca="1">AVERAGE($G$2:G284)</f>
        <v>0.48763250883392228</v>
      </c>
      <c r="I284">
        <f ca="1">_xlfn.VAR.P($G$2:G284)</f>
        <v>16.617338211239996</v>
      </c>
      <c r="AE284">
        <f t="shared" si="34"/>
        <v>282</v>
      </c>
      <c r="AF284" s="66">
        <f t="shared" si="33"/>
        <v>1</v>
      </c>
    </row>
    <row r="285" spans="1:32" x14ac:dyDescent="0.3">
      <c r="A285">
        <f t="shared" ca="1" si="28"/>
        <v>0.3015048391655234</v>
      </c>
      <c r="B285">
        <f t="shared" ca="1" si="29"/>
        <v>1</v>
      </c>
      <c r="C285">
        <f ca="1">AVERAGE($B$2:B285)</f>
        <v>2.5704225352112675</v>
      </c>
      <c r="D285">
        <f ca="1">_xlfn.VAR.P($B$2:B285)</f>
        <v>8.4422237651259664</v>
      </c>
      <c r="E285">
        <f t="shared" ca="1" si="30"/>
        <v>0.73096427258951036</v>
      </c>
      <c r="F285">
        <f t="shared" ca="1" si="31"/>
        <v>3</v>
      </c>
      <c r="G285">
        <f t="shared" ca="1" si="32"/>
        <v>-2</v>
      </c>
      <c r="H285">
        <f ca="1">AVERAGE($G$2:G285)</f>
        <v>0.47887323943661969</v>
      </c>
      <c r="I285">
        <f ca="1">_xlfn.VAR.P($G$2:G285)</f>
        <v>16.580539575481055</v>
      </c>
      <c r="AE285">
        <f t="shared" si="34"/>
        <v>283</v>
      </c>
      <c r="AF285" s="66">
        <f t="shared" si="33"/>
        <v>1</v>
      </c>
    </row>
    <row r="286" spans="1:32" x14ac:dyDescent="0.3">
      <c r="A286">
        <f t="shared" ca="1" si="28"/>
        <v>0.83165128293947921</v>
      </c>
      <c r="B286">
        <f t="shared" ca="1" si="29"/>
        <v>4</v>
      </c>
      <c r="C286">
        <f ca="1">AVERAGE($B$2:B286)</f>
        <v>2.5754385964912281</v>
      </c>
      <c r="D286">
        <f ca="1">_xlfn.VAR.P($B$2:B286)</f>
        <v>8.419747614650662</v>
      </c>
      <c r="E286">
        <f t="shared" ca="1" si="30"/>
        <v>0.57892524768383813</v>
      </c>
      <c r="F286">
        <f t="shared" ca="1" si="31"/>
        <v>2</v>
      </c>
      <c r="G286">
        <f t="shared" ca="1" si="32"/>
        <v>2</v>
      </c>
      <c r="H286">
        <f ca="1">AVERAGE($G$2:G286)</f>
        <v>0.48421052631578948</v>
      </c>
      <c r="I286">
        <f ca="1">_xlfn.VAR.P($G$2:G286)</f>
        <v>16.53045244690674</v>
      </c>
      <c r="AE286">
        <f t="shared" si="34"/>
        <v>284</v>
      </c>
      <c r="AF286" s="66">
        <f t="shared" si="33"/>
        <v>1</v>
      </c>
    </row>
    <row r="287" spans="1:32" x14ac:dyDescent="0.3">
      <c r="A287">
        <f t="shared" ca="1" si="28"/>
        <v>6.1563565386437924E-2</v>
      </c>
      <c r="B287">
        <f t="shared" ca="1" si="29"/>
        <v>0</v>
      </c>
      <c r="C287">
        <f ca="1">AVERAGE($B$2:B287)</f>
        <v>2.5664335664335662</v>
      </c>
      <c r="D287">
        <f ca="1">_xlfn.VAR.P($B$2:B287)</f>
        <v>8.4134187490830854</v>
      </c>
      <c r="E287">
        <f t="shared" ca="1" si="30"/>
        <v>0.90736834947600276</v>
      </c>
      <c r="F287">
        <f t="shared" ca="1" si="31"/>
        <v>6</v>
      </c>
      <c r="G287">
        <f t="shared" ca="1" si="32"/>
        <v>-6</v>
      </c>
      <c r="H287">
        <f ca="1">AVERAGE($G$2:G287)</f>
        <v>0.46153846153846156</v>
      </c>
      <c r="I287">
        <f ca="1">_xlfn.VAR.P($G$2:G287)</f>
        <v>16.619150080688541</v>
      </c>
      <c r="AE287">
        <f t="shared" si="34"/>
        <v>285</v>
      </c>
      <c r="AF287" s="66">
        <f t="shared" si="33"/>
        <v>1</v>
      </c>
    </row>
    <row r="288" spans="1:32" x14ac:dyDescent="0.3">
      <c r="A288">
        <f t="shared" ca="1" si="28"/>
        <v>0.65379925454954413</v>
      </c>
      <c r="B288">
        <f t="shared" ca="1" si="29"/>
        <v>2</v>
      </c>
      <c r="C288">
        <f ca="1">AVERAGE($B$2:B288)</f>
        <v>2.5644599303135887</v>
      </c>
      <c r="D288">
        <f ca="1">_xlfn.VAR.P($B$2:B288)</f>
        <v>8.3852177396836183</v>
      </c>
      <c r="E288">
        <f t="shared" ca="1" si="30"/>
        <v>0.39155915650469031</v>
      </c>
      <c r="F288">
        <f t="shared" ca="1" si="31"/>
        <v>1</v>
      </c>
      <c r="G288">
        <f t="shared" ca="1" si="32"/>
        <v>1</v>
      </c>
      <c r="H288">
        <f ca="1">AVERAGE($G$2:G288)</f>
        <v>0.46341463414634149</v>
      </c>
      <c r="I288">
        <f ca="1">_xlfn.VAR.P($G$2:G288)</f>
        <v>16.562250361179569</v>
      </c>
      <c r="AE288">
        <f t="shared" si="34"/>
        <v>286</v>
      </c>
      <c r="AF288" s="66">
        <f t="shared" si="33"/>
        <v>1</v>
      </c>
    </row>
    <row r="289" spans="1:32" x14ac:dyDescent="0.3">
      <c r="A289">
        <f t="shared" ca="1" si="28"/>
        <v>0.42784053067388139</v>
      </c>
      <c r="B289">
        <f t="shared" ca="1" si="29"/>
        <v>1</v>
      </c>
      <c r="C289">
        <f ca="1">AVERAGE($B$2:B289)</f>
        <v>2.5590277777777777</v>
      </c>
      <c r="D289">
        <f ca="1">_xlfn.VAR.P($B$2:B289)</f>
        <v>8.3645712770061724</v>
      </c>
      <c r="E289">
        <f t="shared" ca="1" si="30"/>
        <v>0.12013127885294894</v>
      </c>
      <c r="F289">
        <f t="shared" ca="1" si="31"/>
        <v>0</v>
      </c>
      <c r="G289">
        <f t="shared" ca="1" si="32"/>
        <v>1</v>
      </c>
      <c r="H289">
        <f ca="1">AVERAGE($G$2:G289)</f>
        <v>0.46527777777777779</v>
      </c>
      <c r="I289">
        <f ca="1">_xlfn.VAR.P($G$2:G289)</f>
        <v>16.505738811728396</v>
      </c>
      <c r="AE289">
        <f t="shared" si="34"/>
        <v>287</v>
      </c>
      <c r="AF289" s="66">
        <f t="shared" si="33"/>
        <v>1</v>
      </c>
    </row>
    <row r="290" spans="1:32" x14ac:dyDescent="0.3">
      <c r="A290">
        <f t="shared" ca="1" si="28"/>
        <v>0.12791992872553337</v>
      </c>
      <c r="B290">
        <f t="shared" ca="1" si="29"/>
        <v>0</v>
      </c>
      <c r="C290">
        <f ca="1">AVERAGE($B$2:B290)</f>
        <v>2.5501730103806231</v>
      </c>
      <c r="D290">
        <f ca="1">_xlfn.VAR.P($B$2:B290)</f>
        <v>8.3582093126279613</v>
      </c>
      <c r="E290">
        <f t="shared" ca="1" si="30"/>
        <v>0.61651901404667753</v>
      </c>
      <c r="F290">
        <f t="shared" ca="1" si="31"/>
        <v>2</v>
      </c>
      <c r="G290">
        <f t="shared" ca="1" si="32"/>
        <v>-2</v>
      </c>
      <c r="H290">
        <f ca="1">AVERAGE($G$2:G290)</f>
        <v>0.45674740484429066</v>
      </c>
      <c r="I290">
        <f ca="1">_xlfn.VAR.P($G$2:G290)</f>
        <v>16.46958250020953</v>
      </c>
      <c r="AE290">
        <f t="shared" si="34"/>
        <v>288</v>
      </c>
      <c r="AF290" s="66">
        <f t="shared" si="33"/>
        <v>1</v>
      </c>
    </row>
    <row r="291" spans="1:32" x14ac:dyDescent="0.3">
      <c r="A291">
        <f t="shared" ca="1" si="28"/>
        <v>5.8284469176980491E-2</v>
      </c>
      <c r="B291">
        <f t="shared" ca="1" si="29"/>
        <v>0</v>
      </c>
      <c r="C291">
        <f ca="1">AVERAGE($B$2:B291)</f>
        <v>2.5413793103448277</v>
      </c>
      <c r="D291">
        <f ca="1">_xlfn.VAR.P($B$2:B291)</f>
        <v>8.3517360285374558</v>
      </c>
      <c r="E291">
        <f t="shared" ca="1" si="30"/>
        <v>0.36277840761876778</v>
      </c>
      <c r="F291">
        <f t="shared" ca="1" si="31"/>
        <v>1</v>
      </c>
      <c r="G291">
        <f t="shared" ca="1" si="32"/>
        <v>-1</v>
      </c>
      <c r="H291">
        <f ca="1">AVERAGE($G$2:G291)</f>
        <v>0.4517241379310345</v>
      </c>
      <c r="I291">
        <f ca="1">_xlfn.VAR.P($G$2:G291)</f>
        <v>16.420083234244945</v>
      </c>
      <c r="AE291">
        <f t="shared" si="34"/>
        <v>289</v>
      </c>
      <c r="AF291" s="66">
        <f t="shared" si="33"/>
        <v>1</v>
      </c>
    </row>
    <row r="292" spans="1:32" x14ac:dyDescent="0.3">
      <c r="A292">
        <f t="shared" ca="1" si="28"/>
        <v>0.93538287573715717</v>
      </c>
      <c r="B292">
        <f t="shared" ca="1" si="29"/>
        <v>7</v>
      </c>
      <c r="C292">
        <f ca="1">AVERAGE($B$2:B292)</f>
        <v>2.5567010309278349</v>
      </c>
      <c r="D292">
        <f ca="1">_xlfn.VAR.P($B$2:B292)</f>
        <v>8.3911148899989367</v>
      </c>
      <c r="E292">
        <f t="shared" ca="1" si="30"/>
        <v>0.15198676777538778</v>
      </c>
      <c r="F292">
        <f t="shared" ca="1" si="31"/>
        <v>0</v>
      </c>
      <c r="G292">
        <f t="shared" ca="1" si="32"/>
        <v>7</v>
      </c>
      <c r="H292">
        <f ca="1">AVERAGE($G$2:G292)</f>
        <v>0.47422680412371132</v>
      </c>
      <c r="I292">
        <f ca="1">_xlfn.VAR.P($G$2:G292)</f>
        <v>16.510504127254048</v>
      </c>
      <c r="AE292">
        <f t="shared" si="34"/>
        <v>290</v>
      </c>
      <c r="AF292" s="66">
        <f t="shared" si="33"/>
        <v>1</v>
      </c>
    </row>
    <row r="293" spans="1:32" x14ac:dyDescent="0.3">
      <c r="A293">
        <f t="shared" ca="1" si="28"/>
        <v>0.60092725839985284</v>
      </c>
      <c r="B293">
        <f t="shared" ca="1" si="29"/>
        <v>2</v>
      </c>
      <c r="C293">
        <f ca="1">AVERAGE($B$2:B293)</f>
        <v>2.5547945205479454</v>
      </c>
      <c r="D293">
        <f ca="1">_xlfn.VAR.P($B$2:B293)</f>
        <v>8.3634359166823042</v>
      </c>
      <c r="E293">
        <f t="shared" ca="1" si="30"/>
        <v>0.26232823165348362</v>
      </c>
      <c r="F293">
        <f t="shared" ca="1" si="31"/>
        <v>0</v>
      </c>
      <c r="G293">
        <f t="shared" ca="1" si="32"/>
        <v>2</v>
      </c>
      <c r="H293">
        <f ca="1">AVERAGE($G$2:G293)</f>
        <v>0.47945205479452052</v>
      </c>
      <c r="I293">
        <f ca="1">_xlfn.VAR.P($G$2:G293)</f>
        <v>16.46190654907112</v>
      </c>
      <c r="AE293">
        <f t="shared" si="34"/>
        <v>291</v>
      </c>
      <c r="AF293" s="66">
        <f t="shared" si="33"/>
        <v>1</v>
      </c>
    </row>
    <row r="294" spans="1:32" x14ac:dyDescent="0.3">
      <c r="A294">
        <f t="shared" ca="1" si="28"/>
        <v>0.52506707592294466</v>
      </c>
      <c r="B294">
        <f t="shared" ca="1" si="29"/>
        <v>2</v>
      </c>
      <c r="C294">
        <f ca="1">AVERAGE($B$2:B294)</f>
        <v>2.5529010238907848</v>
      </c>
      <c r="D294">
        <f ca="1">_xlfn.VAR.P($B$2:B294)</f>
        <v>8.3359386830364937</v>
      </c>
      <c r="E294">
        <f t="shared" ca="1" si="30"/>
        <v>0.88112156254510765</v>
      </c>
      <c r="F294">
        <f t="shared" ca="1" si="31"/>
        <v>5</v>
      </c>
      <c r="G294">
        <f t="shared" ca="1" si="32"/>
        <v>-3</v>
      </c>
      <c r="H294">
        <f ca="1">AVERAGE($G$2:G294)</f>
        <v>0.46757679180887374</v>
      </c>
      <c r="I294">
        <f ca="1">_xlfn.VAR.P($G$2:G294)</f>
        <v>16.446900954000629</v>
      </c>
      <c r="AE294">
        <f t="shared" si="34"/>
        <v>292</v>
      </c>
      <c r="AF294" s="66">
        <f t="shared" si="33"/>
        <v>1</v>
      </c>
    </row>
    <row r="295" spans="1:32" x14ac:dyDescent="0.3">
      <c r="A295">
        <f t="shared" ca="1" si="28"/>
        <v>0.32005370111516385</v>
      </c>
      <c r="B295">
        <f t="shared" ca="1" si="29"/>
        <v>1</v>
      </c>
      <c r="C295">
        <f ca="1">AVERAGE($B$2:B295)</f>
        <v>2.5476190476190474</v>
      </c>
      <c r="D295">
        <f ca="1">_xlfn.VAR.P($B$2:B295)</f>
        <v>8.3157596371882079</v>
      </c>
      <c r="E295">
        <f t="shared" ca="1" si="30"/>
        <v>0.56557376787988822</v>
      </c>
      <c r="F295">
        <f t="shared" ca="1" si="31"/>
        <v>2</v>
      </c>
      <c r="G295">
        <f t="shared" ca="1" si="32"/>
        <v>-1</v>
      </c>
      <c r="H295">
        <f ca="1">AVERAGE($G$2:G295)</f>
        <v>0.46258503401360546</v>
      </c>
      <c r="I295">
        <f ca="1">_xlfn.VAR.P($G$2:G295)</f>
        <v>16.398259984265817</v>
      </c>
      <c r="AE295">
        <f t="shared" si="34"/>
        <v>293</v>
      </c>
      <c r="AF295" s="66">
        <f t="shared" si="33"/>
        <v>1</v>
      </c>
    </row>
    <row r="296" spans="1:32" x14ac:dyDescent="0.3">
      <c r="A296">
        <f t="shared" ca="1" si="28"/>
        <v>0.43970135553243039</v>
      </c>
      <c r="B296">
        <f t="shared" ca="1" si="29"/>
        <v>1</v>
      </c>
      <c r="C296">
        <f ca="1">AVERAGE($B$2:B296)</f>
        <v>2.5423728813559321</v>
      </c>
      <c r="D296">
        <f ca="1">_xlfn.VAR.P($B$2:B296)</f>
        <v>8.2956621660442398</v>
      </c>
      <c r="E296">
        <f t="shared" ca="1" si="30"/>
        <v>0.83658476073494825</v>
      </c>
      <c r="F296">
        <f t="shared" ca="1" si="31"/>
        <v>5</v>
      </c>
      <c r="G296">
        <f t="shared" ca="1" si="32"/>
        <v>-4</v>
      </c>
      <c r="H296">
        <f ca="1">AVERAGE($G$2:G296)</f>
        <v>0.44745762711864406</v>
      </c>
      <c r="I296">
        <f ca="1">_xlfn.VAR.P($G$2:G296)</f>
        <v>16.409951163458775</v>
      </c>
      <c r="AE296">
        <f t="shared" si="34"/>
        <v>294</v>
      </c>
      <c r="AF296" s="66">
        <f t="shared" si="33"/>
        <v>1</v>
      </c>
    </row>
    <row r="297" spans="1:32" x14ac:dyDescent="0.3">
      <c r="A297">
        <f t="shared" ca="1" si="28"/>
        <v>0.84175059162773647</v>
      </c>
      <c r="B297">
        <f t="shared" ca="1" si="29"/>
        <v>5</v>
      </c>
      <c r="C297">
        <f ca="1">AVERAGE($B$2:B297)</f>
        <v>2.5506756756756759</v>
      </c>
      <c r="D297">
        <f ca="1">_xlfn.VAR.P($B$2:B297)</f>
        <v>8.2879725164353548</v>
      </c>
      <c r="E297">
        <f t="shared" ca="1" si="30"/>
        <v>0.8284240742631821</v>
      </c>
      <c r="F297">
        <f t="shared" ca="1" si="31"/>
        <v>4</v>
      </c>
      <c r="G297">
        <f t="shared" ca="1" si="32"/>
        <v>1</v>
      </c>
      <c r="H297">
        <f ca="1">AVERAGE($G$2:G297)</f>
        <v>0.44932432432432434</v>
      </c>
      <c r="I297">
        <f ca="1">_xlfn.VAR.P($G$2:G297)</f>
        <v>16.355540084002921</v>
      </c>
      <c r="AE297">
        <f t="shared" si="34"/>
        <v>295</v>
      </c>
      <c r="AF297" s="66">
        <f t="shared" si="33"/>
        <v>1</v>
      </c>
    </row>
    <row r="298" spans="1:32" x14ac:dyDescent="0.3">
      <c r="A298">
        <f t="shared" ca="1" si="28"/>
        <v>0.5637546294823027</v>
      </c>
      <c r="B298">
        <f t="shared" ca="1" si="29"/>
        <v>2</v>
      </c>
      <c r="C298">
        <f ca="1">AVERAGE($B$2:B298)</f>
        <v>2.5488215488215489</v>
      </c>
      <c r="D298">
        <f ca="1">_xlfn.VAR.P($B$2:B298)</f>
        <v>8.2610844698386785</v>
      </c>
      <c r="E298">
        <f t="shared" ca="1" si="30"/>
        <v>0.69743539140562372</v>
      </c>
      <c r="F298">
        <f t="shared" ca="1" si="31"/>
        <v>3</v>
      </c>
      <c r="G298">
        <f t="shared" ca="1" si="32"/>
        <v>-1</v>
      </c>
      <c r="H298">
        <f ca="1">AVERAGE($G$2:G298)</f>
        <v>0.44444444444444442</v>
      </c>
      <c r="I298">
        <f ca="1">_xlfn.VAR.P($G$2:G298)</f>
        <v>16.307519640852973</v>
      </c>
      <c r="AE298">
        <f t="shared" si="34"/>
        <v>296</v>
      </c>
      <c r="AF298" s="66">
        <f t="shared" si="33"/>
        <v>1</v>
      </c>
    </row>
    <row r="299" spans="1:32" x14ac:dyDescent="0.3">
      <c r="A299">
        <f t="shared" ca="1" si="28"/>
        <v>0.61347161107595483</v>
      </c>
      <c r="B299">
        <f t="shared" ca="1" si="29"/>
        <v>2</v>
      </c>
      <c r="C299">
        <f ca="1">AVERAGE($B$2:B299)</f>
        <v>2.5469798657718119</v>
      </c>
      <c r="D299">
        <f ca="1">_xlfn.VAR.P($B$2:B299)</f>
        <v>8.2343700734201164</v>
      </c>
      <c r="E299">
        <f t="shared" ca="1" si="30"/>
        <v>0.68553671985977083</v>
      </c>
      <c r="F299">
        <f t="shared" ca="1" si="31"/>
        <v>3</v>
      </c>
      <c r="G299">
        <f t="shared" ca="1" si="32"/>
        <v>-1</v>
      </c>
      <c r="H299">
        <f ca="1">AVERAGE($G$2:G299)</f>
        <v>0.43959731543624159</v>
      </c>
      <c r="I299">
        <f ca="1">_xlfn.VAR.P($G$2:G299)</f>
        <v>16.259774334489439</v>
      </c>
      <c r="AE299">
        <f t="shared" si="34"/>
        <v>297</v>
      </c>
      <c r="AF299" s="66">
        <f t="shared" si="33"/>
        <v>1</v>
      </c>
    </row>
    <row r="300" spans="1:32" x14ac:dyDescent="0.3">
      <c r="A300">
        <f t="shared" ca="1" si="28"/>
        <v>0.28206440775954145</v>
      </c>
      <c r="B300">
        <f t="shared" ca="1" si="29"/>
        <v>0</v>
      </c>
      <c r="C300">
        <f ca="1">AVERAGE($B$2:B300)</f>
        <v>2.5384615384615383</v>
      </c>
      <c r="D300">
        <f ca="1">_xlfn.VAR.P($B$2:B300)</f>
        <v>8.228453820427065</v>
      </c>
      <c r="E300">
        <f t="shared" ca="1" si="30"/>
        <v>1.2642865090604971E-2</v>
      </c>
      <c r="F300">
        <f t="shared" ca="1" si="31"/>
        <v>0</v>
      </c>
      <c r="G300">
        <f t="shared" ca="1" si="32"/>
        <v>0</v>
      </c>
      <c r="H300">
        <f ca="1">AVERAGE($G$2:G300)</f>
        <v>0.43812709030100333</v>
      </c>
      <c r="I300">
        <f ca="1">_xlfn.VAR.P($G$2:G300)</f>
        <v>16.206037963781167</v>
      </c>
      <c r="AE300">
        <f t="shared" si="34"/>
        <v>298</v>
      </c>
      <c r="AF300" s="66">
        <f t="shared" si="33"/>
        <v>1</v>
      </c>
    </row>
    <row r="301" spans="1:32" x14ac:dyDescent="0.3">
      <c r="A301">
        <f t="shared" ca="1" si="28"/>
        <v>0.28928203721364276</v>
      </c>
      <c r="B301">
        <f t="shared" ca="1" si="29"/>
        <v>0</v>
      </c>
      <c r="C301">
        <f ca="1">AVERAGE($B$2:B301)</f>
        <v>2.5299999999999998</v>
      </c>
      <c r="D301">
        <f ca="1">_xlfn.VAR.P($B$2:B301)</f>
        <v>8.222433333333333</v>
      </c>
      <c r="E301">
        <f t="shared" ca="1" si="30"/>
        <v>0.25329574546541345</v>
      </c>
      <c r="F301">
        <f t="shared" ca="1" si="31"/>
        <v>0</v>
      </c>
      <c r="G301">
        <f t="shared" ca="1" si="32"/>
        <v>0</v>
      </c>
      <c r="H301">
        <f ca="1">AVERAGE($G$2:G301)</f>
        <v>0.43666666666666665</v>
      </c>
      <c r="I301">
        <f ca="1">_xlfn.VAR.P($G$2:G301)</f>
        <v>16.152655555555555</v>
      </c>
      <c r="AE301">
        <f t="shared" si="34"/>
        <v>299</v>
      </c>
      <c r="AF301" s="66">
        <f t="shared" si="33"/>
        <v>1</v>
      </c>
    </row>
    <row r="302" spans="1:32" x14ac:dyDescent="0.3">
      <c r="A302">
        <f t="shared" ca="1" si="28"/>
        <v>0.94106145821502274</v>
      </c>
      <c r="B302">
        <f t="shared" ca="1" si="29"/>
        <v>7</v>
      </c>
      <c r="C302">
        <f ca="1">AVERAGE($B$2:B302)</f>
        <v>2.5448504983388704</v>
      </c>
      <c r="D302">
        <f ca="1">_xlfn.VAR.P($B$2:B302)</f>
        <v>8.2612774693436055</v>
      </c>
      <c r="E302">
        <f t="shared" ca="1" si="30"/>
        <v>4.6789206520738369E-2</v>
      </c>
      <c r="F302">
        <f t="shared" ca="1" si="31"/>
        <v>0</v>
      </c>
      <c r="G302">
        <f t="shared" ca="1" si="32"/>
        <v>7</v>
      </c>
      <c r="H302">
        <f ca="1">AVERAGE($G$2:G302)</f>
        <v>0.4584717607973422</v>
      </c>
      <c r="I302">
        <f ca="1">_xlfn.VAR.P($G$2:G302)</f>
        <v>16.241630887076301</v>
      </c>
      <c r="AE302">
        <f t="shared" si="34"/>
        <v>300</v>
      </c>
      <c r="AF302" s="66">
        <f t="shared" si="33"/>
        <v>1</v>
      </c>
    </row>
    <row r="303" spans="1:32" x14ac:dyDescent="0.3">
      <c r="A303">
        <f t="shared" ca="1" si="28"/>
        <v>8.4151682405625317E-2</v>
      </c>
      <c r="B303">
        <f t="shared" ca="1" si="29"/>
        <v>0</v>
      </c>
      <c r="C303">
        <f ca="1">AVERAGE($B$2:B303)</f>
        <v>2.5364238410596025</v>
      </c>
      <c r="D303">
        <f ca="1">_xlfn.VAR.P($B$2:B303)</f>
        <v>8.2552958203587554</v>
      </c>
      <c r="E303">
        <f t="shared" ca="1" si="30"/>
        <v>0.83033576413816146</v>
      </c>
      <c r="F303">
        <f t="shared" ca="1" si="31"/>
        <v>4</v>
      </c>
      <c r="G303">
        <f t="shared" ca="1" si="32"/>
        <v>-4</v>
      </c>
      <c r="H303">
        <f ca="1">AVERAGE($G$2:G303)</f>
        <v>0.44370860927152317</v>
      </c>
      <c r="I303">
        <f ca="1">_xlfn.VAR.P($G$2:G303)</f>
        <v>16.253453795886145</v>
      </c>
      <c r="AE303">
        <f t="shared" si="34"/>
        <v>301</v>
      </c>
      <c r="AF303" s="66">
        <f t="shared" si="33"/>
        <v>1</v>
      </c>
    </row>
    <row r="304" spans="1:32" x14ac:dyDescent="0.3">
      <c r="A304">
        <f t="shared" ca="1" si="28"/>
        <v>0.14594108967810038</v>
      </c>
      <c r="B304">
        <f t="shared" ca="1" si="29"/>
        <v>0</v>
      </c>
      <c r="C304">
        <f ca="1">AVERAGE($B$2:B304)</f>
        <v>2.5280528052805282</v>
      </c>
      <c r="D304">
        <f ca="1">_xlfn.VAR.P($B$2:B304)</f>
        <v>8.2492130401158921</v>
      </c>
      <c r="E304">
        <f t="shared" ca="1" si="30"/>
        <v>0.23535667360327528</v>
      </c>
      <c r="F304">
        <f t="shared" ca="1" si="31"/>
        <v>0</v>
      </c>
      <c r="G304">
        <f t="shared" ca="1" si="32"/>
        <v>0</v>
      </c>
      <c r="H304">
        <f ca="1">AVERAGE($G$2:G304)</f>
        <v>0.44224422442244227</v>
      </c>
      <c r="I304">
        <f ca="1">_xlfn.VAR.P($G$2:G304)</f>
        <v>16.200459649925389</v>
      </c>
      <c r="AE304">
        <f t="shared" si="34"/>
        <v>302</v>
      </c>
      <c r="AF304" s="66">
        <f t="shared" si="33"/>
        <v>1</v>
      </c>
    </row>
    <row r="305" spans="1:32" x14ac:dyDescent="0.3">
      <c r="A305">
        <f t="shared" ca="1" si="28"/>
        <v>6.7178106597674425E-2</v>
      </c>
      <c r="B305">
        <f t="shared" ca="1" si="29"/>
        <v>0</v>
      </c>
      <c r="C305">
        <f ca="1">AVERAGE($B$2:B305)</f>
        <v>2.5197368421052633</v>
      </c>
      <c r="D305">
        <f ca="1">_xlfn.VAR.P($B$2:B305)</f>
        <v>8.2430315096952906</v>
      </c>
      <c r="E305">
        <f t="shared" ca="1" si="30"/>
        <v>0.20787610097501819</v>
      </c>
      <c r="F305">
        <f t="shared" ca="1" si="31"/>
        <v>0</v>
      </c>
      <c r="G305">
        <f t="shared" ca="1" si="32"/>
        <v>0</v>
      </c>
      <c r="H305">
        <f ca="1">AVERAGE($G$2:G305)</f>
        <v>0.44078947368421051</v>
      </c>
      <c r="I305">
        <f ca="1">_xlfn.VAR.P($G$2:G305)</f>
        <v>16.14780990304709</v>
      </c>
      <c r="AE305">
        <f t="shared" si="34"/>
        <v>303</v>
      </c>
      <c r="AF305" s="66">
        <f t="shared" si="33"/>
        <v>1</v>
      </c>
    </row>
    <row r="306" spans="1:32" x14ac:dyDescent="0.3">
      <c r="A306">
        <f t="shared" ca="1" si="28"/>
        <v>9.6698637900037965E-2</v>
      </c>
      <c r="B306">
        <f t="shared" ca="1" si="29"/>
        <v>0</v>
      </c>
      <c r="C306">
        <f ca="1">AVERAGE($B$2:B306)</f>
        <v>2.5114754098360654</v>
      </c>
      <c r="D306">
        <f ca="1">_xlfn.VAR.P($B$2:B306)</f>
        <v>8.2367535608707332</v>
      </c>
      <c r="E306">
        <f t="shared" ca="1" si="30"/>
        <v>0.29266881859004934</v>
      </c>
      <c r="F306">
        <f t="shared" ca="1" si="31"/>
        <v>0</v>
      </c>
      <c r="G306">
        <f t="shared" ca="1" si="32"/>
        <v>0</v>
      </c>
      <c r="H306">
        <f ca="1">AVERAGE($G$2:G306)</f>
        <v>0.43934426229508194</v>
      </c>
      <c r="I306">
        <f ca="1">_xlfn.VAR.P($G$2:G306)</f>
        <v>16.095501209352324</v>
      </c>
      <c r="AE306">
        <f t="shared" si="34"/>
        <v>304</v>
      </c>
      <c r="AF306" s="66">
        <f t="shared" si="33"/>
        <v>1</v>
      </c>
    </row>
    <row r="307" spans="1:32" x14ac:dyDescent="0.3">
      <c r="A307">
        <f t="shared" ca="1" si="28"/>
        <v>8.031902905254884E-2</v>
      </c>
      <c r="B307">
        <f t="shared" ca="1" si="29"/>
        <v>0</v>
      </c>
      <c r="C307">
        <f ca="1">AVERAGE($B$2:B307)</f>
        <v>2.5032679738562091</v>
      </c>
      <c r="D307">
        <f ca="1">_xlfn.VAR.P($B$2:B307)</f>
        <v>8.2303814772096207</v>
      </c>
      <c r="E307">
        <f t="shared" ca="1" si="30"/>
        <v>3.4504487373864245E-2</v>
      </c>
      <c r="F307">
        <f t="shared" ca="1" si="31"/>
        <v>0</v>
      </c>
      <c r="G307">
        <f t="shared" ca="1" si="32"/>
        <v>0</v>
      </c>
      <c r="H307">
        <f ca="1">AVERAGE($G$2:G307)</f>
        <v>0.43790849673202614</v>
      </c>
      <c r="I307">
        <f ca="1">_xlfn.VAR.P($G$2:G307)</f>
        <v>16.043530266136955</v>
      </c>
      <c r="AE307">
        <f t="shared" si="34"/>
        <v>305</v>
      </c>
      <c r="AF307" s="66">
        <f t="shared" si="33"/>
        <v>1</v>
      </c>
    </row>
    <row r="308" spans="1:32" x14ac:dyDescent="0.3">
      <c r="A308">
        <f t="shared" ca="1" si="28"/>
        <v>5.0301572395544447E-2</v>
      </c>
      <c r="B308">
        <f t="shared" ca="1" si="29"/>
        <v>0</v>
      </c>
      <c r="C308">
        <f ca="1">AVERAGE($B$2:B308)</f>
        <v>2.4951140065146582</v>
      </c>
      <c r="D308">
        <f ca="1">_xlfn.VAR.P($B$2:B308)</f>
        <v>8.2239174951458374</v>
      </c>
      <c r="E308">
        <f t="shared" ca="1" si="30"/>
        <v>0.54394931779005273</v>
      </c>
      <c r="F308">
        <f t="shared" ca="1" si="31"/>
        <v>2</v>
      </c>
      <c r="G308">
        <f t="shared" ca="1" si="32"/>
        <v>-2</v>
      </c>
      <c r="H308">
        <f ca="1">AVERAGE($G$2:G308)</f>
        <v>0.42996742671009774</v>
      </c>
      <c r="I308">
        <f ca="1">_xlfn.VAR.P($G$2:G308)</f>
        <v>16.010567751381977</v>
      </c>
      <c r="AE308">
        <f t="shared" si="34"/>
        <v>306</v>
      </c>
      <c r="AF308" s="66">
        <f t="shared" si="33"/>
        <v>1</v>
      </c>
    </row>
    <row r="309" spans="1:32" x14ac:dyDescent="0.3">
      <c r="A309">
        <f t="shared" ca="1" si="28"/>
        <v>0.33037061069606377</v>
      </c>
      <c r="B309">
        <f t="shared" ca="1" si="29"/>
        <v>1</v>
      </c>
      <c r="C309">
        <f ca="1">AVERAGE($B$2:B309)</f>
        <v>2.4902597402597402</v>
      </c>
      <c r="D309">
        <f ca="1">_xlfn.VAR.P($B$2:B309)</f>
        <v>8.2044505818856468</v>
      </c>
      <c r="E309">
        <f t="shared" ca="1" si="30"/>
        <v>0.23076061574465201</v>
      </c>
      <c r="F309">
        <f t="shared" ca="1" si="31"/>
        <v>0</v>
      </c>
      <c r="G309">
        <f t="shared" ca="1" si="32"/>
        <v>1</v>
      </c>
      <c r="H309">
        <f ca="1">AVERAGE($G$2:G309)</f>
        <v>0.43181818181818182</v>
      </c>
      <c r="I309">
        <f ca="1">_xlfn.VAR.P($G$2:G309)</f>
        <v>15.959636953955135</v>
      </c>
      <c r="AE309">
        <f t="shared" si="34"/>
        <v>307</v>
      </c>
      <c r="AF309" s="66">
        <f t="shared" si="33"/>
        <v>1</v>
      </c>
    </row>
    <row r="310" spans="1:32" x14ac:dyDescent="0.3">
      <c r="A310">
        <f t="shared" ca="1" si="28"/>
        <v>0.85879478209198734</v>
      </c>
      <c r="B310">
        <f t="shared" ca="1" si="29"/>
        <v>5</v>
      </c>
      <c r="C310">
        <f ca="1">AVERAGE($B$2:B310)</f>
        <v>2.4983818770226538</v>
      </c>
      <c r="D310">
        <f ca="1">_xlfn.VAR.P($B$2:B310)</f>
        <v>8.1982174464029498</v>
      </c>
      <c r="E310">
        <f t="shared" ca="1" si="30"/>
        <v>0.93643639823651026</v>
      </c>
      <c r="F310">
        <f t="shared" ca="1" si="31"/>
        <v>7</v>
      </c>
      <c r="G310">
        <f t="shared" ca="1" si="32"/>
        <v>-2</v>
      </c>
      <c r="H310">
        <f ca="1">AVERAGE($G$2:G310)</f>
        <v>0.42394822006472493</v>
      </c>
      <c r="I310">
        <f ca="1">_xlfn.VAR.P($G$2:G310)</f>
        <v>15.927064023208805</v>
      </c>
      <c r="AE310">
        <f t="shared" si="34"/>
        <v>308</v>
      </c>
      <c r="AF310" s="66">
        <f t="shared" si="33"/>
        <v>1</v>
      </c>
    </row>
    <row r="311" spans="1:32" x14ac:dyDescent="0.3">
      <c r="A311">
        <f t="shared" ca="1" si="28"/>
        <v>0.74288557806776379</v>
      </c>
      <c r="B311">
        <f t="shared" ca="1" si="29"/>
        <v>3</v>
      </c>
      <c r="C311">
        <f ca="1">AVERAGE($B$2:B311)</f>
        <v>2.5</v>
      </c>
      <c r="D311">
        <f ca="1">_xlfn.VAR.P($B$2:B311)</f>
        <v>8.1725806451612897</v>
      </c>
      <c r="E311">
        <f t="shared" ca="1" si="30"/>
        <v>0.94370169421262451</v>
      </c>
      <c r="F311">
        <f t="shared" ca="1" si="31"/>
        <v>8</v>
      </c>
      <c r="G311">
        <f t="shared" ca="1" si="32"/>
        <v>-5</v>
      </c>
      <c r="H311">
        <f ca="1">AVERAGE($G$2:G311)</f>
        <v>0.40645161290322579</v>
      </c>
      <c r="I311">
        <f ca="1">_xlfn.VAR.P($G$2:G311)</f>
        <v>15.970280957336108</v>
      </c>
      <c r="AE311">
        <f t="shared" si="34"/>
        <v>309</v>
      </c>
      <c r="AF311" s="66">
        <f t="shared" si="33"/>
        <v>1</v>
      </c>
    </row>
    <row r="312" spans="1:32" x14ac:dyDescent="0.3">
      <c r="A312">
        <f t="shared" ca="1" si="28"/>
        <v>0.9693989361006895</v>
      </c>
      <c r="B312">
        <f t="shared" ca="1" si="29"/>
        <v>9</v>
      </c>
      <c r="C312">
        <f ca="1">AVERAGE($B$2:B312)</f>
        <v>2.5209003215434085</v>
      </c>
      <c r="D312">
        <f ca="1">_xlfn.VAR.P($B$2:B312)</f>
        <v>8.2817175173953945</v>
      </c>
      <c r="E312">
        <f t="shared" ca="1" si="30"/>
        <v>0.93253957723084602</v>
      </c>
      <c r="F312">
        <f t="shared" ca="1" si="31"/>
        <v>7</v>
      </c>
      <c r="G312">
        <f t="shared" ca="1" si="32"/>
        <v>2</v>
      </c>
      <c r="H312">
        <f ca="1">AVERAGE($G$2:G312)</f>
        <v>0.41157556270096463</v>
      </c>
      <c r="I312">
        <f ca="1">_xlfn.VAR.P($G$2:G312)</f>
        <v>15.927068578695422</v>
      </c>
      <c r="AE312">
        <f t="shared" si="34"/>
        <v>310</v>
      </c>
      <c r="AF312" s="66">
        <f t="shared" si="33"/>
        <v>1</v>
      </c>
    </row>
    <row r="313" spans="1:32" x14ac:dyDescent="0.3">
      <c r="A313">
        <f t="shared" ca="1" si="28"/>
        <v>0.74874964151251022</v>
      </c>
      <c r="B313">
        <f t="shared" ca="1" si="29"/>
        <v>3</v>
      </c>
      <c r="C313">
        <f ca="1">AVERAGE($B$2:B313)</f>
        <v>2.5224358974358974</v>
      </c>
      <c r="D313">
        <f ca="1">_xlfn.VAR.P($B$2:B313)</f>
        <v>8.2559068869165024</v>
      </c>
      <c r="E313">
        <f t="shared" ca="1" si="30"/>
        <v>8.6861584509888456E-2</v>
      </c>
      <c r="F313">
        <f t="shared" ca="1" si="31"/>
        <v>0</v>
      </c>
      <c r="G313">
        <f t="shared" ca="1" si="32"/>
        <v>3</v>
      </c>
      <c r="H313">
        <f ca="1">AVERAGE($G$2:G313)</f>
        <v>0.41987179487179488</v>
      </c>
      <c r="I313">
        <f ca="1">_xlfn.VAR.P($G$2:G313)</f>
        <v>15.897425624589086</v>
      </c>
      <c r="AE313">
        <f t="shared" si="34"/>
        <v>311</v>
      </c>
      <c r="AF313" s="66">
        <f t="shared" si="33"/>
        <v>1</v>
      </c>
    </row>
    <row r="314" spans="1:32" x14ac:dyDescent="0.3">
      <c r="A314">
        <f t="shared" ca="1" si="28"/>
        <v>0.23945704129884215</v>
      </c>
      <c r="B314">
        <f t="shared" ca="1" si="29"/>
        <v>0</v>
      </c>
      <c r="C314">
        <f ca="1">AVERAGE($B$2:B314)</f>
        <v>2.5143769968051117</v>
      </c>
      <c r="D314">
        <f ca="1">_xlfn.VAR.P($B$2:B314)</f>
        <v>8.2497933019628658</v>
      </c>
      <c r="E314">
        <f t="shared" ca="1" si="30"/>
        <v>0.82440152629899666</v>
      </c>
      <c r="F314">
        <f t="shared" ca="1" si="31"/>
        <v>4</v>
      </c>
      <c r="G314">
        <f t="shared" ca="1" si="32"/>
        <v>-4</v>
      </c>
      <c r="H314">
        <f ca="1">AVERAGE($G$2:G314)</f>
        <v>0.40575079872204473</v>
      </c>
      <c r="I314">
        <f ca="1">_xlfn.VAR.P($G$2:G314)</f>
        <v>15.908848717451439</v>
      </c>
      <c r="AE314">
        <f t="shared" si="34"/>
        <v>312</v>
      </c>
      <c r="AF314" s="66">
        <f t="shared" si="33"/>
        <v>1</v>
      </c>
    </row>
    <row r="315" spans="1:32" x14ac:dyDescent="0.3">
      <c r="A315">
        <f t="shared" ca="1" si="28"/>
        <v>0.44024464508621119</v>
      </c>
      <c r="B315">
        <f t="shared" ca="1" si="29"/>
        <v>1</v>
      </c>
      <c r="C315">
        <f ca="1">AVERAGE($B$2:B315)</f>
        <v>2.5095541401273884</v>
      </c>
      <c r="D315">
        <f ca="1">_xlfn.VAR.P($B$2:B315)</f>
        <v>8.2308004381516486</v>
      </c>
      <c r="E315">
        <f t="shared" ca="1" si="30"/>
        <v>0.51559524031771542</v>
      </c>
      <c r="F315">
        <f t="shared" ca="1" si="31"/>
        <v>2</v>
      </c>
      <c r="G315">
        <f t="shared" ca="1" si="32"/>
        <v>-1</v>
      </c>
      <c r="H315">
        <f ca="1">AVERAGE($G$2:G315)</f>
        <v>0.40127388535031849</v>
      </c>
      <c r="I315">
        <f ca="1">_xlfn.VAR.P($G$2:G315)</f>
        <v>15.864456975942229</v>
      </c>
      <c r="AE315">
        <f t="shared" si="34"/>
        <v>313</v>
      </c>
      <c r="AF315" s="66">
        <f t="shared" si="33"/>
        <v>1</v>
      </c>
    </row>
    <row r="316" spans="1:32" x14ac:dyDescent="0.3">
      <c r="A316">
        <f t="shared" ca="1" si="28"/>
        <v>0.24536680533918276</v>
      </c>
      <c r="B316">
        <f t="shared" ca="1" si="29"/>
        <v>0</v>
      </c>
      <c r="C316">
        <f ca="1">AVERAGE($B$2:B316)</f>
        <v>2.5015873015873016</v>
      </c>
      <c r="D316">
        <f ca="1">_xlfn.VAR.P($B$2:B316)</f>
        <v>8.2246006550768449</v>
      </c>
      <c r="E316">
        <f t="shared" ca="1" si="30"/>
        <v>0.52924136731735949</v>
      </c>
      <c r="F316">
        <f t="shared" ca="1" si="31"/>
        <v>2</v>
      </c>
      <c r="G316">
        <f t="shared" ca="1" si="32"/>
        <v>-2</v>
      </c>
      <c r="H316">
        <f ca="1">AVERAGE($G$2:G316)</f>
        <v>0.39365079365079364</v>
      </c>
      <c r="I316">
        <f ca="1">_xlfn.VAR.P($G$2:G316)</f>
        <v>15.832340639959687</v>
      </c>
      <c r="AE316">
        <f t="shared" si="34"/>
        <v>314</v>
      </c>
      <c r="AF316" s="66">
        <f t="shared" si="33"/>
        <v>1</v>
      </c>
    </row>
    <row r="317" spans="1:32" x14ac:dyDescent="0.3">
      <c r="A317">
        <f t="shared" ca="1" si="28"/>
        <v>0.14317837947585599</v>
      </c>
      <c r="B317">
        <f t="shared" ca="1" si="29"/>
        <v>0</v>
      </c>
      <c r="C317">
        <f ca="1">AVERAGE($B$2:B317)</f>
        <v>2.4936708860759493</v>
      </c>
      <c r="D317">
        <f ca="1">_xlfn.VAR.P($B$2:B317)</f>
        <v>8.2183143726966836</v>
      </c>
      <c r="E317">
        <f t="shared" ca="1" si="30"/>
        <v>0.77995567820296297</v>
      </c>
      <c r="F317">
        <f t="shared" ca="1" si="31"/>
        <v>4</v>
      </c>
      <c r="G317">
        <f t="shared" ca="1" si="32"/>
        <v>-4</v>
      </c>
      <c r="H317">
        <f ca="1">AVERAGE($G$2:G317)</f>
        <v>0.379746835443038</v>
      </c>
      <c r="I317">
        <f ca="1">_xlfn.VAR.P($G$2:G317)</f>
        <v>15.843134113122897</v>
      </c>
      <c r="AE317">
        <f t="shared" si="34"/>
        <v>315</v>
      </c>
      <c r="AF317" s="66">
        <f t="shared" si="33"/>
        <v>1</v>
      </c>
    </row>
    <row r="318" spans="1:32" x14ac:dyDescent="0.3">
      <c r="A318">
        <f t="shared" ca="1" si="28"/>
        <v>0.12056434915248471</v>
      </c>
      <c r="B318">
        <f t="shared" ca="1" si="29"/>
        <v>0</v>
      </c>
      <c r="C318">
        <f ca="1">AVERAGE($B$2:B318)</f>
        <v>2.4858044164037856</v>
      </c>
      <c r="D318">
        <f ca="1">_xlfn.VAR.P($B$2:B318)</f>
        <v>8.2119435958164573</v>
      </c>
      <c r="E318">
        <f t="shared" ca="1" si="30"/>
        <v>0.58385166492717744</v>
      </c>
      <c r="F318">
        <f t="shared" ca="1" si="31"/>
        <v>2</v>
      </c>
      <c r="G318">
        <f t="shared" ca="1" si="32"/>
        <v>-2</v>
      </c>
      <c r="H318">
        <f ca="1">AVERAGE($G$2:G318)</f>
        <v>0.37223974763406942</v>
      </c>
      <c r="I318">
        <f ca="1">_xlfn.VAR.P($G$2:G318)</f>
        <v>15.810964384161451</v>
      </c>
      <c r="AE318">
        <f t="shared" si="34"/>
        <v>316</v>
      </c>
      <c r="AF318" s="66">
        <f t="shared" si="33"/>
        <v>1</v>
      </c>
    </row>
    <row r="319" spans="1:32" x14ac:dyDescent="0.3">
      <c r="A319">
        <f t="shared" ca="1" si="28"/>
        <v>0.72936695184789668</v>
      </c>
      <c r="B319">
        <f t="shared" ca="1" si="29"/>
        <v>3</v>
      </c>
      <c r="C319">
        <f ca="1">AVERAGE($B$2:B319)</f>
        <v>2.4874213836477987</v>
      </c>
      <c r="D319">
        <f ca="1">_xlfn.VAR.P($B$2:B319)</f>
        <v>8.1869486966496581</v>
      </c>
      <c r="E319">
        <f t="shared" ca="1" si="30"/>
        <v>0.32143856030161821</v>
      </c>
      <c r="F319">
        <f t="shared" ca="1" si="31"/>
        <v>1</v>
      </c>
      <c r="G319">
        <f t="shared" ca="1" si="32"/>
        <v>2</v>
      </c>
      <c r="H319">
        <f ca="1">AVERAGE($G$2:G319)</f>
        <v>0.37735849056603776</v>
      </c>
      <c r="I319">
        <f ca="1">_xlfn.VAR.P($G$2:G319)</f>
        <v>15.769550255132312</v>
      </c>
      <c r="AE319">
        <f t="shared" si="34"/>
        <v>317</v>
      </c>
      <c r="AF319" s="66">
        <f t="shared" si="33"/>
        <v>1</v>
      </c>
    </row>
    <row r="320" spans="1:32" x14ac:dyDescent="0.3">
      <c r="A320">
        <f t="shared" ca="1" si="28"/>
        <v>0.654100363586266</v>
      </c>
      <c r="B320">
        <f t="shared" ca="1" si="29"/>
        <v>2</v>
      </c>
      <c r="C320">
        <f ca="1">AVERAGE($B$2:B320)</f>
        <v>2.4858934169278997</v>
      </c>
      <c r="D320">
        <f ca="1">_xlfn.VAR.P($B$2:B320)</f>
        <v>8.1620267096431842</v>
      </c>
      <c r="E320">
        <f t="shared" ca="1" si="30"/>
        <v>0.84371576289257555</v>
      </c>
      <c r="F320">
        <f t="shared" ca="1" si="31"/>
        <v>5</v>
      </c>
      <c r="G320">
        <f t="shared" ca="1" si="32"/>
        <v>-3</v>
      </c>
      <c r="H320">
        <f ca="1">AVERAGE($G$2:G320)</f>
        <v>0.36677115987460818</v>
      </c>
      <c r="I320">
        <f ca="1">_xlfn.VAR.P($G$2:G320)</f>
        <v>15.755761047945677</v>
      </c>
      <c r="AE320">
        <f t="shared" si="34"/>
        <v>318</v>
      </c>
      <c r="AF320" s="66">
        <f t="shared" si="33"/>
        <v>1</v>
      </c>
    </row>
    <row r="321" spans="1:32" x14ac:dyDescent="0.3">
      <c r="A321">
        <f t="shared" ca="1" si="28"/>
        <v>0.16452400017481228</v>
      </c>
      <c r="B321">
        <f t="shared" ca="1" si="29"/>
        <v>0</v>
      </c>
      <c r="C321">
        <f ca="1">AVERAGE($B$2:B321)</f>
        <v>2.4781249999999999</v>
      </c>
      <c r="D321">
        <f ca="1">_xlfn.VAR.P($B$2:B321)</f>
        <v>8.1557714843750002</v>
      </c>
      <c r="E321">
        <f t="shared" ca="1" si="30"/>
        <v>0.10854132367339686</v>
      </c>
      <c r="F321">
        <f t="shared" ca="1" si="31"/>
        <v>0</v>
      </c>
      <c r="G321">
        <f t="shared" ca="1" si="32"/>
        <v>0</v>
      </c>
      <c r="H321">
        <f ca="1">AVERAGE($G$2:G321)</f>
        <v>0.36562499999999998</v>
      </c>
      <c r="I321">
        <f ca="1">_xlfn.VAR.P($G$2:G321)</f>
        <v>15.706943359375</v>
      </c>
      <c r="AE321">
        <f t="shared" si="34"/>
        <v>319</v>
      </c>
      <c r="AF321" s="66">
        <f t="shared" si="33"/>
        <v>1</v>
      </c>
    </row>
    <row r="322" spans="1:32" x14ac:dyDescent="0.3">
      <c r="A322">
        <f t="shared" ca="1" si="28"/>
        <v>0.24666283122871868</v>
      </c>
      <c r="B322">
        <f t="shared" ca="1" si="29"/>
        <v>0</v>
      </c>
      <c r="C322">
        <f ca="1">AVERAGE($B$2:B322)</f>
        <v>2.4704049844236762</v>
      </c>
      <c r="D322">
        <f ca="1">_xlfn.VAR.P($B$2:B322)</f>
        <v>8.1494356615327881</v>
      </c>
      <c r="E322">
        <f t="shared" ca="1" si="30"/>
        <v>0.11037660683577311</v>
      </c>
      <c r="F322">
        <f t="shared" ca="1" si="31"/>
        <v>0</v>
      </c>
      <c r="G322">
        <f t="shared" ca="1" si="32"/>
        <v>0</v>
      </c>
      <c r="H322">
        <f ca="1">AVERAGE($G$2:G322)</f>
        <v>0.3644859813084112</v>
      </c>
      <c r="I322">
        <f ca="1">_xlfn.VAR.P($G$2:G322)</f>
        <v>15.658427227996622</v>
      </c>
      <c r="AE322">
        <f t="shared" si="34"/>
        <v>320</v>
      </c>
      <c r="AF322" s="66">
        <f t="shared" si="33"/>
        <v>1</v>
      </c>
    </row>
    <row r="323" spans="1:32" x14ac:dyDescent="0.3">
      <c r="A323">
        <f t="shared" ref="A323:A386" ca="1" si="35">RAND()</f>
        <v>0.40800269929156274</v>
      </c>
      <c r="B323">
        <f t="shared" ref="B323:B386" ca="1" si="36">LOOKUP(A323,$AF$2:$AF$1002,$AE$2:$AE$1002)</f>
        <v>1</v>
      </c>
      <c r="C323">
        <f ca="1">AVERAGE($B$2:B323)</f>
        <v>2.4658385093167703</v>
      </c>
      <c r="D323">
        <f ca="1">_xlfn.VAR.P($B$2:B323)</f>
        <v>8.1308205701940519</v>
      </c>
      <c r="E323">
        <f t="shared" ref="E323:E386" ca="1" si="37">RAND()</f>
        <v>0.46711866722446682</v>
      </c>
      <c r="F323">
        <f t="shared" ref="F323:F386" ca="1" si="38">LOOKUP(E323,$AF$2:$AF$1002,$AE$2:$AE$1002)</f>
        <v>1</v>
      </c>
      <c r="G323">
        <f t="shared" ref="G323:G386" ca="1" si="39">B323-F323</f>
        <v>0</v>
      </c>
      <c r="H323">
        <f ca="1">AVERAGE($G$2:G323)</f>
        <v>0.36335403726708076</v>
      </c>
      <c r="I323">
        <f ca="1">_xlfn.VAR.P($G$2:G323)</f>
        <v>15.610209868446434</v>
      </c>
      <c r="AE323">
        <f t="shared" si="34"/>
        <v>321</v>
      </c>
      <c r="AF323" s="66">
        <f t="shared" ref="AF323:AF386" si="40">_xlfn.NEGBINOM.DIST(AE323-1,1,$K$1,TRUE)</f>
        <v>1</v>
      </c>
    </row>
    <row r="324" spans="1:32" x14ac:dyDescent="0.3">
      <c r="A324">
        <f t="shared" ca="1" si="35"/>
        <v>0.58786577266099715</v>
      </c>
      <c r="B324">
        <f t="shared" ca="1" si="36"/>
        <v>2</v>
      </c>
      <c r="C324">
        <f ca="1">AVERAGE($B$2:B324)</f>
        <v>2.4643962848297214</v>
      </c>
      <c r="D324">
        <f ca="1">_xlfn.VAR.P($B$2:B324)</f>
        <v>8.1063175147849584</v>
      </c>
      <c r="E324">
        <f t="shared" ca="1" si="37"/>
        <v>0.42673155595269763</v>
      </c>
      <c r="F324">
        <f t="shared" ca="1" si="38"/>
        <v>1</v>
      </c>
      <c r="G324">
        <f t="shared" ca="1" si="39"/>
        <v>1</v>
      </c>
      <c r="H324">
        <f ca="1">AVERAGE($G$2:G324)</f>
        <v>0.3653250773993808</v>
      </c>
      <c r="I324">
        <f ca="1">_xlfn.VAR.P($G$2:G324)</f>
        <v>15.563132015067719</v>
      </c>
      <c r="AE324">
        <f t="shared" si="34"/>
        <v>322</v>
      </c>
      <c r="AF324" s="66">
        <f t="shared" si="40"/>
        <v>1</v>
      </c>
    </row>
    <row r="325" spans="1:32" x14ac:dyDescent="0.3">
      <c r="A325">
        <f t="shared" ca="1" si="35"/>
        <v>0.24309443885995341</v>
      </c>
      <c r="B325">
        <f t="shared" ca="1" si="36"/>
        <v>0</v>
      </c>
      <c r="C325">
        <f ca="1">AVERAGE($B$2:B325)</f>
        <v>2.4567901234567899</v>
      </c>
      <c r="D325">
        <f ca="1">_xlfn.VAR.P($B$2:B325)</f>
        <v>8.0999847584209732</v>
      </c>
      <c r="E325">
        <f t="shared" ca="1" si="37"/>
        <v>0.21696939304728724</v>
      </c>
      <c r="F325">
        <f t="shared" ca="1" si="38"/>
        <v>0</v>
      </c>
      <c r="G325">
        <f t="shared" ca="1" si="39"/>
        <v>0</v>
      </c>
      <c r="H325">
        <f ca="1">AVERAGE($G$2:G325)</f>
        <v>0.36419753086419754</v>
      </c>
      <c r="I325">
        <f ca="1">_xlfn.VAR.P($G$2:G325)</f>
        <v>15.515508306660569</v>
      </c>
      <c r="AE325">
        <f t="shared" ref="AE325:AE388" si="41">AE324+1</f>
        <v>323</v>
      </c>
      <c r="AF325" s="66">
        <f t="shared" si="40"/>
        <v>1</v>
      </c>
    </row>
    <row r="326" spans="1:32" x14ac:dyDescent="0.3">
      <c r="A326">
        <f t="shared" ca="1" si="35"/>
        <v>0.64773322419238888</v>
      </c>
      <c r="B326">
        <f t="shared" ca="1" si="36"/>
        <v>2</v>
      </c>
      <c r="C326">
        <f ca="1">AVERAGE($B$2:B326)</f>
        <v>2.4553846153846153</v>
      </c>
      <c r="D326">
        <f ca="1">_xlfn.VAR.P($B$2:B326)</f>
        <v>8.0757017751479285</v>
      </c>
      <c r="E326">
        <f t="shared" ca="1" si="37"/>
        <v>0.87132483511637449</v>
      </c>
      <c r="F326">
        <f t="shared" ca="1" si="38"/>
        <v>5</v>
      </c>
      <c r="G326">
        <f t="shared" ca="1" si="39"/>
        <v>-3</v>
      </c>
      <c r="H326">
        <f ca="1">AVERAGE($G$2:G326)</f>
        <v>0.35384615384615387</v>
      </c>
      <c r="I326">
        <f ca="1">_xlfn.VAR.P($G$2:G326)</f>
        <v>15.502485207100591</v>
      </c>
      <c r="AE326">
        <f t="shared" si="41"/>
        <v>324</v>
      </c>
      <c r="AF326" s="66">
        <f t="shared" si="40"/>
        <v>1</v>
      </c>
    </row>
    <row r="327" spans="1:32" x14ac:dyDescent="0.3">
      <c r="A327">
        <f t="shared" ca="1" si="35"/>
        <v>0.87847319661157375</v>
      </c>
      <c r="B327">
        <f t="shared" ca="1" si="36"/>
        <v>5</v>
      </c>
      <c r="C327">
        <f ca="1">AVERAGE($B$2:B327)</f>
        <v>2.46319018404908</v>
      </c>
      <c r="D327">
        <f ca="1">_xlfn.VAR.P($B$2:B327)</f>
        <v>8.070730927020211</v>
      </c>
      <c r="E327">
        <f t="shared" ca="1" si="37"/>
        <v>0.13726305983988629</v>
      </c>
      <c r="F327">
        <f t="shared" ca="1" si="38"/>
        <v>0</v>
      </c>
      <c r="G327">
        <f t="shared" ca="1" si="39"/>
        <v>5</v>
      </c>
      <c r="H327">
        <f ca="1">AVERAGE($G$2:G327)</f>
        <v>0.36809815950920244</v>
      </c>
      <c r="I327">
        <f ca="1">_xlfn.VAR.P($G$2:G327)</f>
        <v>15.520945462757348</v>
      </c>
      <c r="AE327">
        <f t="shared" si="41"/>
        <v>325</v>
      </c>
      <c r="AF327" s="66">
        <f t="shared" si="40"/>
        <v>1</v>
      </c>
    </row>
    <row r="328" spans="1:32" x14ac:dyDescent="0.3">
      <c r="A328">
        <f t="shared" ca="1" si="35"/>
        <v>0.43818299856829601</v>
      </c>
      <c r="B328">
        <f t="shared" ca="1" si="36"/>
        <v>1</v>
      </c>
      <c r="C328">
        <f ca="1">AVERAGE($B$2:B328)</f>
        <v>2.4587155963302751</v>
      </c>
      <c r="D328">
        <f ca="1">_xlfn.VAR.P($B$2:B328)</f>
        <v>8.0525769435793837</v>
      </c>
      <c r="E328">
        <f t="shared" ca="1" si="37"/>
        <v>0.20427035355487588</v>
      </c>
      <c r="F328">
        <f t="shared" ca="1" si="38"/>
        <v>0</v>
      </c>
      <c r="G328">
        <f t="shared" ca="1" si="39"/>
        <v>1</v>
      </c>
      <c r="H328">
        <f ca="1">AVERAGE($G$2:G328)</f>
        <v>0.37003058103975534</v>
      </c>
      <c r="I328">
        <f ca="1">_xlfn.VAR.P($G$2:G328)</f>
        <v>15.474698164202415</v>
      </c>
      <c r="AE328">
        <f t="shared" si="41"/>
        <v>326</v>
      </c>
      <c r="AF328" s="66">
        <f t="shared" si="40"/>
        <v>1</v>
      </c>
    </row>
    <row r="329" spans="1:32" x14ac:dyDescent="0.3">
      <c r="A329">
        <f t="shared" ca="1" si="35"/>
        <v>0.75826651379079357</v>
      </c>
      <c r="B329">
        <f t="shared" ca="1" si="36"/>
        <v>3</v>
      </c>
      <c r="C329">
        <f ca="1">AVERAGE($B$2:B329)</f>
        <v>2.4603658536585367</v>
      </c>
      <c r="D329">
        <f ca="1">_xlfn.VAR.P($B$2:B329)</f>
        <v>8.0289169393218316</v>
      </c>
      <c r="E329">
        <f t="shared" ca="1" si="37"/>
        <v>0.45876286689989931</v>
      </c>
      <c r="F329">
        <f t="shared" ca="1" si="38"/>
        <v>1</v>
      </c>
      <c r="G329">
        <f t="shared" ca="1" si="39"/>
        <v>2</v>
      </c>
      <c r="H329">
        <f ca="1">AVERAGE($G$2:G329)</f>
        <v>0.375</v>
      </c>
      <c r="I329">
        <f ca="1">_xlfn.VAR.P($G$2:G329)</f>
        <v>15.435594512195122</v>
      </c>
      <c r="AE329">
        <f t="shared" si="41"/>
        <v>327</v>
      </c>
      <c r="AF329" s="66">
        <f t="shared" si="40"/>
        <v>1</v>
      </c>
    </row>
    <row r="330" spans="1:32" x14ac:dyDescent="0.3">
      <c r="A330">
        <f t="shared" ca="1" si="35"/>
        <v>0.14235793916431205</v>
      </c>
      <c r="B330">
        <f t="shared" ca="1" si="36"/>
        <v>0</v>
      </c>
      <c r="C330">
        <f ca="1">AVERAGE($B$2:B330)</f>
        <v>2.452887537993921</v>
      </c>
      <c r="D330">
        <f ca="1">_xlfn.VAR.P($B$2:B330)</f>
        <v>8.0228564037656707</v>
      </c>
      <c r="E330">
        <f t="shared" ca="1" si="37"/>
        <v>0.70546935431338442</v>
      </c>
      <c r="F330">
        <f t="shared" ca="1" si="38"/>
        <v>3</v>
      </c>
      <c r="G330">
        <f t="shared" ca="1" si="39"/>
        <v>-3</v>
      </c>
      <c r="H330">
        <f ca="1">AVERAGE($G$2:G330)</f>
        <v>0.36474164133738601</v>
      </c>
      <c r="I330">
        <f ca="1">_xlfn.VAR.P($G$2:G330)</f>
        <v>15.423194538114023</v>
      </c>
      <c r="AE330">
        <f t="shared" si="41"/>
        <v>328</v>
      </c>
      <c r="AF330" s="66">
        <f t="shared" si="40"/>
        <v>1</v>
      </c>
    </row>
    <row r="331" spans="1:32" x14ac:dyDescent="0.3">
      <c r="A331">
        <f t="shared" ca="1" si="35"/>
        <v>0.48373014850105134</v>
      </c>
      <c r="B331">
        <f t="shared" ca="1" si="36"/>
        <v>1</v>
      </c>
      <c r="C331">
        <f ca="1">AVERAGE($B$2:B331)</f>
        <v>2.4484848484848483</v>
      </c>
      <c r="D331">
        <f ca="1">_xlfn.VAR.P($B$2:B331)</f>
        <v>8.0049219467401294</v>
      </c>
      <c r="E331">
        <f t="shared" ca="1" si="37"/>
        <v>0.4949048944808957</v>
      </c>
      <c r="F331">
        <f t="shared" ca="1" si="38"/>
        <v>1</v>
      </c>
      <c r="G331">
        <f t="shared" ca="1" si="39"/>
        <v>0</v>
      </c>
      <c r="H331">
        <f ca="1">AVERAGE($G$2:G331)</f>
        <v>0.36363636363636365</v>
      </c>
      <c r="I331">
        <f ca="1">_xlfn.VAR.P($G$2:G331)</f>
        <v>15.376859504132231</v>
      </c>
      <c r="AE331">
        <f t="shared" si="41"/>
        <v>329</v>
      </c>
      <c r="AF331" s="66">
        <f t="shared" si="40"/>
        <v>1</v>
      </c>
    </row>
    <row r="332" spans="1:32" x14ac:dyDescent="0.3">
      <c r="A332">
        <f t="shared" ca="1" si="35"/>
        <v>0.49950798469610047</v>
      </c>
      <c r="B332">
        <f t="shared" ca="1" si="36"/>
        <v>1</v>
      </c>
      <c r="C332">
        <f ca="1">AVERAGE($B$2:B332)</f>
        <v>2.4441087613293053</v>
      </c>
      <c r="D332">
        <f ca="1">_xlfn.VAR.P($B$2:B332)</f>
        <v>7.9870574383220303</v>
      </c>
      <c r="E332">
        <f t="shared" ca="1" si="37"/>
        <v>0.4275060603469395</v>
      </c>
      <c r="F332">
        <f t="shared" ca="1" si="38"/>
        <v>1</v>
      </c>
      <c r="G332">
        <f t="shared" ca="1" si="39"/>
        <v>0</v>
      </c>
      <c r="H332">
        <f ca="1">AVERAGE($G$2:G332)</f>
        <v>0.36253776435045315</v>
      </c>
      <c r="I332">
        <f ca="1">_xlfn.VAR.P($G$2:G332)</f>
        <v>15.330802018966603</v>
      </c>
      <c r="AE332">
        <f t="shared" si="41"/>
        <v>330</v>
      </c>
      <c r="AF332" s="66">
        <f t="shared" si="40"/>
        <v>1</v>
      </c>
    </row>
    <row r="333" spans="1:32" x14ac:dyDescent="0.3">
      <c r="A333">
        <f t="shared" ca="1" si="35"/>
        <v>8.875634343633787E-2</v>
      </c>
      <c r="B333">
        <f t="shared" ca="1" si="36"/>
        <v>0</v>
      </c>
      <c r="C333">
        <f ca="1">AVERAGE($B$2:B333)</f>
        <v>2.4367469879518073</v>
      </c>
      <c r="D333">
        <f ca="1">_xlfn.VAR.P($B$2:B333)</f>
        <v>7.9809388155029755</v>
      </c>
      <c r="E333">
        <f t="shared" ca="1" si="37"/>
        <v>8.7852457641726556E-2</v>
      </c>
      <c r="F333">
        <f t="shared" ca="1" si="38"/>
        <v>0</v>
      </c>
      <c r="G333">
        <f t="shared" ca="1" si="39"/>
        <v>0</v>
      </c>
      <c r="H333">
        <f ca="1">AVERAGE($G$2:G333)</f>
        <v>0.36144578313253012</v>
      </c>
      <c r="I333">
        <f ca="1">_xlfn.VAR.P($G$2:G333)</f>
        <v>15.285019596458122</v>
      </c>
      <c r="AE333">
        <f t="shared" si="41"/>
        <v>331</v>
      </c>
      <c r="AF333" s="66">
        <f t="shared" si="40"/>
        <v>1</v>
      </c>
    </row>
    <row r="334" spans="1:32" x14ac:dyDescent="0.3">
      <c r="A334">
        <f t="shared" ca="1" si="35"/>
        <v>0.3132669918988884</v>
      </c>
      <c r="B334">
        <f t="shared" ca="1" si="36"/>
        <v>1</v>
      </c>
      <c r="C334">
        <f ca="1">AVERAGE($B$2:B334)</f>
        <v>2.4324324324324325</v>
      </c>
      <c r="D334">
        <f ca="1">_xlfn.VAR.P($B$2:B334)</f>
        <v>7.9631523415307202</v>
      </c>
      <c r="E334">
        <f t="shared" ca="1" si="37"/>
        <v>5.6602273255944913E-2</v>
      </c>
      <c r="F334">
        <f t="shared" ca="1" si="38"/>
        <v>0</v>
      </c>
      <c r="G334">
        <f t="shared" ca="1" si="39"/>
        <v>1</v>
      </c>
      <c r="H334">
        <f ca="1">AVERAGE($G$2:G334)</f>
        <v>0.36336336336336339</v>
      </c>
      <c r="I334">
        <f ca="1">_xlfn.VAR.P($G$2:G334)</f>
        <v>15.240339438537637</v>
      </c>
      <c r="AE334">
        <f t="shared" si="41"/>
        <v>332</v>
      </c>
      <c r="AF334" s="66">
        <f t="shared" si="40"/>
        <v>1</v>
      </c>
    </row>
    <row r="335" spans="1:32" x14ac:dyDescent="0.3">
      <c r="A335">
        <f t="shared" ca="1" si="35"/>
        <v>0.61316008148857781</v>
      </c>
      <c r="B335">
        <f t="shared" ca="1" si="36"/>
        <v>2</v>
      </c>
      <c r="C335">
        <f ca="1">AVERAGE($B$2:B335)</f>
        <v>2.431137724550898</v>
      </c>
      <c r="D335">
        <f ca="1">_xlfn.VAR.P($B$2:B335)</f>
        <v>7.9398687654630855</v>
      </c>
      <c r="E335">
        <f t="shared" ca="1" si="37"/>
        <v>0.5602288993418354</v>
      </c>
      <c r="F335">
        <f t="shared" ca="1" si="38"/>
        <v>2</v>
      </c>
      <c r="G335">
        <f t="shared" ca="1" si="39"/>
        <v>0</v>
      </c>
      <c r="H335">
        <f ca="1">AVERAGE($G$2:G335)</f>
        <v>0.36227544910179643</v>
      </c>
      <c r="I335">
        <f ca="1">_xlfn.VAR.P($G$2:G335)</f>
        <v>15.195103804367314</v>
      </c>
      <c r="AE335">
        <f t="shared" si="41"/>
        <v>333</v>
      </c>
      <c r="AF335" s="66">
        <f t="shared" si="40"/>
        <v>1</v>
      </c>
    </row>
    <row r="336" spans="1:32" x14ac:dyDescent="0.3">
      <c r="A336">
        <f t="shared" ca="1" si="35"/>
        <v>0.76217458534604465</v>
      </c>
      <c r="B336">
        <f t="shared" ca="1" si="36"/>
        <v>4</v>
      </c>
      <c r="C336">
        <f ca="1">AVERAGE($B$2:B336)</f>
        <v>2.4358208955223879</v>
      </c>
      <c r="D336">
        <f ca="1">_xlfn.VAR.P($B$2:B336)</f>
        <v>7.9234929828469589</v>
      </c>
      <c r="E336">
        <f t="shared" ca="1" si="37"/>
        <v>0.18345110320967273</v>
      </c>
      <c r="F336">
        <f t="shared" ca="1" si="38"/>
        <v>0</v>
      </c>
      <c r="G336">
        <f t="shared" ca="1" si="39"/>
        <v>4</v>
      </c>
      <c r="H336">
        <f ca="1">AVERAGE($G$2:G336)</f>
        <v>0.37313432835820898</v>
      </c>
      <c r="I336">
        <f ca="1">_xlfn.VAR.P($G$2:G336)</f>
        <v>15.189128981955893</v>
      </c>
      <c r="AE336">
        <f t="shared" si="41"/>
        <v>334</v>
      </c>
      <c r="AF336" s="66">
        <f t="shared" si="40"/>
        <v>1</v>
      </c>
    </row>
    <row r="337" spans="1:32" x14ac:dyDescent="0.3">
      <c r="A337">
        <f t="shared" ca="1" si="35"/>
        <v>0.16747264783831461</v>
      </c>
      <c r="B337">
        <f t="shared" ca="1" si="36"/>
        <v>0</v>
      </c>
      <c r="C337">
        <f ca="1">AVERAGE($B$2:B337)</f>
        <v>2.4285714285714284</v>
      </c>
      <c r="D337">
        <f ca="1">_xlfn.VAR.P($B$2:B337)</f>
        <v>7.9175170068027212</v>
      </c>
      <c r="E337">
        <f t="shared" ca="1" si="37"/>
        <v>0.25649355762109982</v>
      </c>
      <c r="F337">
        <f t="shared" ca="1" si="38"/>
        <v>0</v>
      </c>
      <c r="G337">
        <f t="shared" ca="1" si="39"/>
        <v>0</v>
      </c>
      <c r="H337">
        <f ca="1">AVERAGE($G$2:G337)</f>
        <v>0.37202380952380953</v>
      </c>
      <c r="I337">
        <f ca="1">_xlfn.VAR.P($G$2:G337)</f>
        <v>15.144336380385488</v>
      </c>
      <c r="AE337">
        <f t="shared" si="41"/>
        <v>335</v>
      </c>
      <c r="AF337" s="66">
        <f t="shared" si="40"/>
        <v>1</v>
      </c>
    </row>
    <row r="338" spans="1:32" x14ac:dyDescent="0.3">
      <c r="A338">
        <f t="shared" ca="1" si="35"/>
        <v>0.2106904212535502</v>
      </c>
      <c r="B338">
        <f t="shared" ca="1" si="36"/>
        <v>0</v>
      </c>
      <c r="C338">
        <f ca="1">AVERAGE($B$2:B338)</f>
        <v>2.4213649851632049</v>
      </c>
      <c r="D338">
        <f ca="1">_xlfn.VAR.P($B$2:B338)</f>
        <v>7.9114723207917654</v>
      </c>
      <c r="E338">
        <f t="shared" ca="1" si="37"/>
        <v>0.35751333727844092</v>
      </c>
      <c r="F338">
        <f t="shared" ca="1" si="38"/>
        <v>1</v>
      </c>
      <c r="G338">
        <f t="shared" ca="1" si="39"/>
        <v>-1</v>
      </c>
      <c r="H338">
        <f ca="1">AVERAGE($G$2:G338)</f>
        <v>0.36795252225519287</v>
      </c>
      <c r="I338">
        <f ca="1">_xlfn.VAR.P($G$2:G338)</f>
        <v>15.104967024452096</v>
      </c>
      <c r="AE338">
        <f t="shared" si="41"/>
        <v>336</v>
      </c>
      <c r="AF338" s="66">
        <f t="shared" si="40"/>
        <v>1</v>
      </c>
    </row>
    <row r="339" spans="1:32" x14ac:dyDescent="0.3">
      <c r="A339">
        <f t="shared" ca="1" si="35"/>
        <v>0.82535366191124171</v>
      </c>
      <c r="B339">
        <f t="shared" ca="1" si="36"/>
        <v>4</v>
      </c>
      <c r="C339">
        <f ca="1">AVERAGE($B$2:B339)</f>
        <v>2.4260355029585798</v>
      </c>
      <c r="D339">
        <f ca="1">_xlfn.VAR.P($B$2:B339)</f>
        <v>7.895416827141907</v>
      </c>
      <c r="E339">
        <f t="shared" ca="1" si="37"/>
        <v>6.2830100815642331E-2</v>
      </c>
      <c r="F339">
        <f t="shared" ca="1" si="38"/>
        <v>0</v>
      </c>
      <c r="G339">
        <f t="shared" ca="1" si="39"/>
        <v>4</v>
      </c>
      <c r="H339">
        <f ca="1">AVERAGE($G$2:G339)</f>
        <v>0.378698224852071</v>
      </c>
      <c r="I339">
        <f ca="1">_xlfn.VAR.P($G$2:G339)</f>
        <v>15.099191204789749</v>
      </c>
      <c r="AE339">
        <f t="shared" si="41"/>
        <v>337</v>
      </c>
      <c r="AF339" s="66">
        <f t="shared" si="40"/>
        <v>1</v>
      </c>
    </row>
    <row r="340" spans="1:32" x14ac:dyDescent="0.3">
      <c r="A340">
        <f t="shared" ca="1" si="35"/>
        <v>0.65650283347611271</v>
      </c>
      <c r="B340">
        <f t="shared" ca="1" si="36"/>
        <v>2</v>
      </c>
      <c r="C340">
        <f ca="1">AVERAGE($B$2:B340)</f>
        <v>2.4247787610619471</v>
      </c>
      <c r="D340">
        <f ca="1">_xlfn.VAR.P($B$2:B340)</f>
        <v>7.8726603492834206</v>
      </c>
      <c r="E340">
        <f t="shared" ca="1" si="37"/>
        <v>0.23824644895590852</v>
      </c>
      <c r="F340">
        <f t="shared" ca="1" si="38"/>
        <v>0</v>
      </c>
      <c r="G340">
        <f t="shared" ca="1" si="39"/>
        <v>2</v>
      </c>
      <c r="H340">
        <f ca="1">AVERAGE($G$2:G340)</f>
        <v>0.38348082595870209</v>
      </c>
      <c r="I340">
        <f ca="1">_xlfn.VAR.P($G$2:G340)</f>
        <v>15.062381984145631</v>
      </c>
      <c r="AE340">
        <f t="shared" si="41"/>
        <v>338</v>
      </c>
      <c r="AF340" s="66">
        <f t="shared" si="40"/>
        <v>1</v>
      </c>
    </row>
    <row r="341" spans="1:32" x14ac:dyDescent="0.3">
      <c r="A341">
        <f t="shared" ca="1" si="35"/>
        <v>0.28319441334284656</v>
      </c>
      <c r="B341">
        <f t="shared" ca="1" si="36"/>
        <v>0</v>
      </c>
      <c r="C341">
        <f ca="1">AVERAGE($B$2:B341)</f>
        <v>2.4176470588235293</v>
      </c>
      <c r="D341">
        <f ca="1">_xlfn.VAR.P($B$2:B341)</f>
        <v>7.8667474048442907</v>
      </c>
      <c r="E341">
        <f t="shared" ca="1" si="37"/>
        <v>0.86015341388874855</v>
      </c>
      <c r="F341">
        <f t="shared" ca="1" si="38"/>
        <v>5</v>
      </c>
      <c r="G341">
        <f t="shared" ca="1" si="39"/>
        <v>-5</v>
      </c>
      <c r="H341">
        <f ca="1">AVERAGE($G$2:G341)</f>
        <v>0.36764705882352944</v>
      </c>
      <c r="I341">
        <f ca="1">_xlfn.VAR.P($G$2:G341)</f>
        <v>15.103070934256055</v>
      </c>
      <c r="AE341">
        <f t="shared" si="41"/>
        <v>339</v>
      </c>
      <c r="AF341" s="66">
        <f t="shared" si="40"/>
        <v>1</v>
      </c>
    </row>
    <row r="342" spans="1:32" x14ac:dyDescent="0.3">
      <c r="A342">
        <f t="shared" ca="1" si="35"/>
        <v>0.11385770485308699</v>
      </c>
      <c r="B342">
        <f t="shared" ca="1" si="36"/>
        <v>0</v>
      </c>
      <c r="C342">
        <f ca="1">AVERAGE($B$2:B342)</f>
        <v>2.4105571847507332</v>
      </c>
      <c r="D342">
        <f ca="1">_xlfn.VAR.P($B$2:B342)</f>
        <v>7.8607683112460336</v>
      </c>
      <c r="E342">
        <f t="shared" ca="1" si="37"/>
        <v>0.38265068056329987</v>
      </c>
      <c r="F342">
        <f t="shared" ca="1" si="38"/>
        <v>1</v>
      </c>
      <c r="G342">
        <f t="shared" ca="1" si="39"/>
        <v>-1</v>
      </c>
      <c r="H342">
        <f ca="1">AVERAGE($G$2:G342)</f>
        <v>0.36363636363636365</v>
      </c>
      <c r="I342">
        <f ca="1">_xlfn.VAR.P($G$2:G342)</f>
        <v>15.064249533457744</v>
      </c>
      <c r="AE342">
        <f t="shared" si="41"/>
        <v>340</v>
      </c>
      <c r="AF342" s="66">
        <f t="shared" si="40"/>
        <v>1</v>
      </c>
    </row>
    <row r="343" spans="1:32" x14ac:dyDescent="0.3">
      <c r="A343">
        <f t="shared" ca="1" si="35"/>
        <v>0.98150139931382008</v>
      </c>
      <c r="B343">
        <f t="shared" ca="1" si="36"/>
        <v>11</v>
      </c>
      <c r="C343">
        <f ca="1">AVERAGE($B$2:B343)</f>
        <v>2.435672514619883</v>
      </c>
      <c r="D343">
        <f ca="1">_xlfn.VAR.P($B$2:B343)</f>
        <v>8.0528795184843194</v>
      </c>
      <c r="E343">
        <f t="shared" ca="1" si="37"/>
        <v>0.50253217408181872</v>
      </c>
      <c r="F343">
        <f t="shared" ca="1" si="38"/>
        <v>1</v>
      </c>
      <c r="G343">
        <f t="shared" ca="1" si="39"/>
        <v>10</v>
      </c>
      <c r="H343">
        <f ca="1">AVERAGE($G$2:G343)</f>
        <v>0.391812865497076</v>
      </c>
      <c r="I343">
        <f ca="1">_xlfn.VAR.P($G$2:G343)</f>
        <v>15.290927122875415</v>
      </c>
      <c r="AE343">
        <f t="shared" si="41"/>
        <v>341</v>
      </c>
      <c r="AF343" s="66">
        <f t="shared" si="40"/>
        <v>1</v>
      </c>
    </row>
    <row r="344" spans="1:32" x14ac:dyDescent="0.3">
      <c r="A344">
        <f t="shared" ca="1" si="35"/>
        <v>0.9943898285741023</v>
      </c>
      <c r="B344">
        <f t="shared" ca="1" si="36"/>
        <v>14</v>
      </c>
      <c r="C344">
        <f ca="1">AVERAGE($B$2:B344)</f>
        <v>2.4693877551020407</v>
      </c>
      <c r="D344">
        <f ca="1">_xlfn.VAR.P($B$2:B344)</f>
        <v>8.4181591003748437</v>
      </c>
      <c r="E344">
        <f t="shared" ca="1" si="37"/>
        <v>0.41556215958539189</v>
      </c>
      <c r="F344">
        <f t="shared" ca="1" si="38"/>
        <v>1</v>
      </c>
      <c r="G344">
        <f t="shared" ca="1" si="39"/>
        <v>13</v>
      </c>
      <c r="H344">
        <f ca="1">AVERAGE($G$2:G344)</f>
        <v>0.42857142857142855</v>
      </c>
      <c r="I344">
        <f ca="1">_xlfn.VAR.P($G$2:G344)</f>
        <v>15.708454810495628</v>
      </c>
      <c r="AE344">
        <f t="shared" si="41"/>
        <v>342</v>
      </c>
      <c r="AF344" s="66">
        <f t="shared" si="40"/>
        <v>1</v>
      </c>
    </row>
    <row r="345" spans="1:32" x14ac:dyDescent="0.3">
      <c r="A345">
        <f t="shared" ca="1" si="35"/>
        <v>0.10989046488423271</v>
      </c>
      <c r="B345">
        <f t="shared" ca="1" si="36"/>
        <v>0</v>
      </c>
      <c r="C345">
        <f ca="1">AVERAGE($B$2:B345)</f>
        <v>2.4622093023255816</v>
      </c>
      <c r="D345">
        <f ca="1">_xlfn.VAR.P($B$2:B345)</f>
        <v>8.411362560843699</v>
      </c>
      <c r="E345">
        <f t="shared" ca="1" si="37"/>
        <v>0.93687290679143742</v>
      </c>
      <c r="F345">
        <f t="shared" ca="1" si="38"/>
        <v>7</v>
      </c>
      <c r="G345">
        <f t="shared" ca="1" si="39"/>
        <v>-7</v>
      </c>
      <c r="H345">
        <f ca="1">AVERAGE($G$2:G345)</f>
        <v>0.40697674418604651</v>
      </c>
      <c r="I345">
        <f ca="1">_xlfn.VAR.P($G$2:G345)</f>
        <v>15.822742022714982</v>
      </c>
      <c r="AE345">
        <f t="shared" si="41"/>
        <v>343</v>
      </c>
      <c r="AF345" s="66">
        <f t="shared" si="40"/>
        <v>1</v>
      </c>
    </row>
    <row r="346" spans="1:32" x14ac:dyDescent="0.3">
      <c r="A346">
        <f t="shared" ca="1" si="35"/>
        <v>0.53972348274879722</v>
      </c>
      <c r="B346">
        <f t="shared" ca="1" si="36"/>
        <v>2</v>
      </c>
      <c r="C346">
        <f ca="1">AVERAGE($B$2:B346)</f>
        <v>2.4608695652173913</v>
      </c>
      <c r="D346">
        <f ca="1">_xlfn.VAR.P($B$2:B346)</f>
        <v>8.3875992438563323</v>
      </c>
      <c r="E346">
        <f t="shared" ca="1" si="37"/>
        <v>0.79743673700141116</v>
      </c>
      <c r="F346">
        <f t="shared" ca="1" si="38"/>
        <v>4</v>
      </c>
      <c r="G346">
        <f t="shared" ca="1" si="39"/>
        <v>-2</v>
      </c>
      <c r="H346">
        <f ca="1">AVERAGE($G$2:G346)</f>
        <v>0.4</v>
      </c>
      <c r="I346">
        <f ca="1">_xlfn.VAR.P($G$2:G346)</f>
        <v>15.793623188405798</v>
      </c>
      <c r="AE346">
        <f t="shared" si="41"/>
        <v>344</v>
      </c>
      <c r="AF346" s="66">
        <f t="shared" si="40"/>
        <v>1</v>
      </c>
    </row>
    <row r="347" spans="1:32" x14ac:dyDescent="0.3">
      <c r="A347">
        <f t="shared" ca="1" si="35"/>
        <v>0.71626915920592504</v>
      </c>
      <c r="B347">
        <f t="shared" ca="1" si="36"/>
        <v>3</v>
      </c>
      <c r="C347">
        <f ca="1">AVERAGE($B$2:B347)</f>
        <v>2.4624277456647401</v>
      </c>
      <c r="D347">
        <f ca="1">_xlfn.VAR.P($B$2:B347)</f>
        <v>8.3641952621203508</v>
      </c>
      <c r="E347">
        <f t="shared" ca="1" si="37"/>
        <v>0.37543815487869125</v>
      </c>
      <c r="F347">
        <f t="shared" ca="1" si="38"/>
        <v>1</v>
      </c>
      <c r="G347">
        <f t="shared" ca="1" si="39"/>
        <v>2</v>
      </c>
      <c r="H347">
        <f ca="1">AVERAGE($G$2:G347)</f>
        <v>0.40462427745664742</v>
      </c>
      <c r="I347">
        <f ca="1">_xlfn.VAR.P($G$2:G347)</f>
        <v>15.755354338601357</v>
      </c>
      <c r="AE347">
        <f t="shared" si="41"/>
        <v>345</v>
      </c>
      <c r="AF347" s="66">
        <f t="shared" si="40"/>
        <v>1</v>
      </c>
    </row>
    <row r="348" spans="1:32" x14ac:dyDescent="0.3">
      <c r="A348">
        <f t="shared" ca="1" si="35"/>
        <v>0.53989595943141844</v>
      </c>
      <c r="B348">
        <f t="shared" ca="1" si="36"/>
        <v>2</v>
      </c>
      <c r="C348">
        <f ca="1">AVERAGE($B$2:B348)</f>
        <v>2.4610951008645534</v>
      </c>
      <c r="D348">
        <f ca="1">_xlfn.VAR.P($B$2:B348)</f>
        <v>8.3407054289961717</v>
      </c>
      <c r="E348">
        <f t="shared" ca="1" si="37"/>
        <v>0.37846634009194513</v>
      </c>
      <c r="F348">
        <f t="shared" ca="1" si="38"/>
        <v>1</v>
      </c>
      <c r="G348">
        <f t="shared" ca="1" si="39"/>
        <v>1</v>
      </c>
      <c r="H348">
        <f ca="1">AVERAGE($G$2:G348)</f>
        <v>0.40634005763688763</v>
      </c>
      <c r="I348">
        <f ca="1">_xlfn.VAR.P($G$2:G348)</f>
        <v>15.710968449202301</v>
      </c>
      <c r="AE348">
        <f t="shared" si="41"/>
        <v>346</v>
      </c>
      <c r="AF348" s="66">
        <f t="shared" si="40"/>
        <v>1</v>
      </c>
    </row>
    <row r="349" spans="1:32" x14ac:dyDescent="0.3">
      <c r="A349">
        <f t="shared" ca="1" si="35"/>
        <v>0.3208331831004545</v>
      </c>
      <c r="B349">
        <f t="shared" ca="1" si="36"/>
        <v>1</v>
      </c>
      <c r="C349">
        <f ca="1">AVERAGE($B$2:B349)</f>
        <v>2.4568965517241379</v>
      </c>
      <c r="D349">
        <f ca="1">_xlfn.VAR.P($B$2:B349)</f>
        <v>8.3228547364248904</v>
      </c>
      <c r="E349">
        <f t="shared" ca="1" si="37"/>
        <v>0.48828444590867293</v>
      </c>
      <c r="F349">
        <f t="shared" ca="1" si="38"/>
        <v>1</v>
      </c>
      <c r="G349">
        <f t="shared" ca="1" si="39"/>
        <v>0</v>
      </c>
      <c r="H349">
        <f ca="1">AVERAGE($G$2:G349)</f>
        <v>0.40517241379310343</v>
      </c>
      <c r="I349">
        <f ca="1">_xlfn.VAR.P($G$2:G349)</f>
        <v>15.666295085216012</v>
      </c>
      <c r="AE349">
        <f t="shared" si="41"/>
        <v>347</v>
      </c>
      <c r="AF349" s="66">
        <f t="shared" si="40"/>
        <v>1</v>
      </c>
    </row>
    <row r="350" spans="1:32" x14ac:dyDescent="0.3">
      <c r="A350">
        <f t="shared" ca="1" si="35"/>
        <v>0.4753958585268645</v>
      </c>
      <c r="B350">
        <f t="shared" ca="1" si="36"/>
        <v>1</v>
      </c>
      <c r="C350">
        <f ca="1">AVERAGE($B$2:B350)</f>
        <v>2.4527220630372493</v>
      </c>
      <c r="D350">
        <f ca="1">_xlfn.VAR.P($B$2:B350)</f>
        <v>8.3050713869344257</v>
      </c>
      <c r="E350">
        <f t="shared" ca="1" si="37"/>
        <v>0.7918358597813433</v>
      </c>
      <c r="F350">
        <f t="shared" ca="1" si="38"/>
        <v>4</v>
      </c>
      <c r="G350">
        <f t="shared" ca="1" si="39"/>
        <v>-3</v>
      </c>
      <c r="H350">
        <f ca="1">AVERAGE($G$2:G350)</f>
        <v>0.39541547277936961</v>
      </c>
      <c r="I350">
        <f ca="1">_xlfn.VAR.P($G$2:G350)</f>
        <v>15.654534856035665</v>
      </c>
      <c r="AE350">
        <f t="shared" si="41"/>
        <v>348</v>
      </c>
      <c r="AF350" s="66">
        <f t="shared" si="40"/>
        <v>1</v>
      </c>
    </row>
    <row r="351" spans="1:32" x14ac:dyDescent="0.3">
      <c r="A351">
        <f t="shared" ca="1" si="35"/>
        <v>0.34272077776630838</v>
      </c>
      <c r="B351">
        <f t="shared" ca="1" si="36"/>
        <v>1</v>
      </c>
      <c r="C351">
        <f ca="1">AVERAGE($B$2:B351)</f>
        <v>2.4485714285714284</v>
      </c>
      <c r="D351">
        <f ca="1">_xlfn.VAR.P($B$2:B351)</f>
        <v>8.2873551020408165</v>
      </c>
      <c r="E351">
        <f t="shared" ca="1" si="37"/>
        <v>0.99590733265690023</v>
      </c>
      <c r="F351">
        <f t="shared" ca="1" si="38"/>
        <v>15</v>
      </c>
      <c r="G351">
        <f t="shared" ca="1" si="39"/>
        <v>-14</v>
      </c>
      <c r="H351">
        <f ca="1">AVERAGE($G$2:G351)</f>
        <v>0.35428571428571426</v>
      </c>
      <c r="I351">
        <f ca="1">_xlfn.VAR.P($G$2:G351)</f>
        <v>16.200195918367346</v>
      </c>
      <c r="AE351">
        <f t="shared" si="41"/>
        <v>349</v>
      </c>
      <c r="AF351" s="66">
        <f t="shared" si="40"/>
        <v>1</v>
      </c>
    </row>
    <row r="352" spans="1:32" x14ac:dyDescent="0.3">
      <c r="A352">
        <f t="shared" ca="1" si="35"/>
        <v>7.3536190632869758E-2</v>
      </c>
      <c r="B352">
        <f t="shared" ca="1" si="36"/>
        <v>0</v>
      </c>
      <c r="C352">
        <f ca="1">AVERAGE($B$2:B352)</f>
        <v>2.4415954415954415</v>
      </c>
      <c r="D352">
        <f ca="1">_xlfn.VAR.P($B$2:B352)</f>
        <v>8.2807769417456019</v>
      </c>
      <c r="E352">
        <f t="shared" ca="1" si="37"/>
        <v>0.79939552014736504</v>
      </c>
      <c r="F352">
        <f t="shared" ca="1" si="38"/>
        <v>4</v>
      </c>
      <c r="G352">
        <f t="shared" ca="1" si="39"/>
        <v>-4</v>
      </c>
      <c r="H352">
        <f ca="1">AVERAGE($G$2:G352)</f>
        <v>0.34188034188034189</v>
      </c>
      <c r="I352">
        <f ca="1">_xlfn.VAR.P($G$2:G352)</f>
        <v>16.207904156622106</v>
      </c>
      <c r="AE352">
        <f t="shared" si="41"/>
        <v>350</v>
      </c>
      <c r="AF352" s="66">
        <f t="shared" si="40"/>
        <v>1</v>
      </c>
    </row>
    <row r="353" spans="1:32" x14ac:dyDescent="0.3">
      <c r="A353">
        <f t="shared" ca="1" si="35"/>
        <v>0.3393623034537645</v>
      </c>
      <c r="B353">
        <f t="shared" ca="1" si="36"/>
        <v>1</v>
      </c>
      <c r="C353">
        <f ca="1">AVERAGE($B$2:B353)</f>
        <v>2.4375</v>
      </c>
      <c r="D353">
        <f ca="1">_xlfn.VAR.P($B$2:B353)</f>
        <v>8.263139204545455</v>
      </c>
      <c r="E353">
        <f t="shared" ca="1" si="37"/>
        <v>0.97090140827506033</v>
      </c>
      <c r="F353">
        <f t="shared" ca="1" si="38"/>
        <v>9</v>
      </c>
      <c r="G353">
        <f t="shared" ca="1" si="39"/>
        <v>-8</v>
      </c>
      <c r="H353">
        <f ca="1">AVERAGE($G$2:G353)</f>
        <v>0.31818181818181818</v>
      </c>
      <c r="I353">
        <f ca="1">_xlfn.VAR.P($G$2:G353)</f>
        <v>16.358987603305785</v>
      </c>
      <c r="AE353">
        <f t="shared" si="41"/>
        <v>351</v>
      </c>
      <c r="AF353" s="66">
        <f t="shared" si="40"/>
        <v>1</v>
      </c>
    </row>
    <row r="354" spans="1:32" x14ac:dyDescent="0.3">
      <c r="A354">
        <f t="shared" ca="1" si="35"/>
        <v>0.57602925246106618</v>
      </c>
      <c r="B354">
        <f t="shared" ca="1" si="36"/>
        <v>2</v>
      </c>
      <c r="C354">
        <f ca="1">AVERAGE($B$2:B354)</f>
        <v>2.4362606232294617</v>
      </c>
      <c r="D354">
        <f ca="1">_xlfn.VAR.P($B$2:B354)</f>
        <v>8.2402715694693001</v>
      </c>
      <c r="E354">
        <f t="shared" ca="1" si="37"/>
        <v>0.51408630962687585</v>
      </c>
      <c r="F354">
        <f t="shared" ca="1" si="38"/>
        <v>2</v>
      </c>
      <c r="G354">
        <f t="shared" ca="1" si="39"/>
        <v>0</v>
      </c>
      <c r="H354">
        <f ca="1">AVERAGE($G$2:G354)</f>
        <v>0.31728045325779036</v>
      </c>
      <c r="I354">
        <f ca="1">_xlfn.VAR.P($G$2:G354)</f>
        <v>16.312930847691579</v>
      </c>
      <c r="AE354">
        <f t="shared" si="41"/>
        <v>352</v>
      </c>
      <c r="AF354" s="66">
        <f t="shared" si="40"/>
        <v>1</v>
      </c>
    </row>
    <row r="355" spans="1:32" x14ac:dyDescent="0.3">
      <c r="A355">
        <f t="shared" ca="1" si="35"/>
        <v>0.89222638915960994</v>
      </c>
      <c r="B355">
        <f t="shared" ca="1" si="36"/>
        <v>6</v>
      </c>
      <c r="C355">
        <f ca="1">AVERAGE($B$2:B355)</f>
        <v>2.4463276836158192</v>
      </c>
      <c r="D355">
        <f ca="1">_xlfn.VAR.P($B$2:B355)</f>
        <v>8.2527689999680813</v>
      </c>
      <c r="E355">
        <f t="shared" ca="1" si="37"/>
        <v>0.15143115748297686</v>
      </c>
      <c r="F355">
        <f t="shared" ca="1" si="38"/>
        <v>0</v>
      </c>
      <c r="G355">
        <f t="shared" ca="1" si="39"/>
        <v>6</v>
      </c>
      <c r="H355">
        <f ca="1">AVERAGE($G$2:G355)</f>
        <v>0.33333333333333331</v>
      </c>
      <c r="I355">
        <f ca="1">_xlfn.VAR.P($G$2:G355)</f>
        <v>16.357815442561204</v>
      </c>
      <c r="AE355">
        <f t="shared" si="41"/>
        <v>353</v>
      </c>
      <c r="AF355" s="66">
        <f t="shared" si="40"/>
        <v>1</v>
      </c>
    </row>
    <row r="356" spans="1:32" x14ac:dyDescent="0.3">
      <c r="A356">
        <f t="shared" ca="1" si="35"/>
        <v>0.87074959202920288</v>
      </c>
      <c r="B356">
        <f t="shared" ca="1" si="36"/>
        <v>5</v>
      </c>
      <c r="C356">
        <f ca="1">AVERAGE($B$2:B356)</f>
        <v>2.4535211267605632</v>
      </c>
      <c r="D356">
        <f ca="1">_xlfn.VAR.P($B$2:B356)</f>
        <v>8.2478397143423923</v>
      </c>
      <c r="E356">
        <f t="shared" ca="1" si="37"/>
        <v>0.10176776474358562</v>
      </c>
      <c r="F356">
        <f t="shared" ca="1" si="38"/>
        <v>0</v>
      </c>
      <c r="G356">
        <f t="shared" ca="1" si="39"/>
        <v>5</v>
      </c>
      <c r="H356">
        <f ca="1">AVERAGE($G$2:G356)</f>
        <v>0.3464788732394366</v>
      </c>
      <c r="I356">
        <f ca="1">_xlfn.VAR.P($G$2:G356)</f>
        <v>16.372910136877604</v>
      </c>
      <c r="AE356">
        <f t="shared" si="41"/>
        <v>354</v>
      </c>
      <c r="AF356" s="66">
        <f t="shared" si="40"/>
        <v>1</v>
      </c>
    </row>
    <row r="357" spans="1:32" x14ac:dyDescent="0.3">
      <c r="A357">
        <f t="shared" ca="1" si="35"/>
        <v>0.40590809872758682</v>
      </c>
      <c r="B357">
        <f t="shared" ca="1" si="36"/>
        <v>1</v>
      </c>
      <c r="C357">
        <f ca="1">AVERAGE($B$2:B357)</f>
        <v>2.4494382022471912</v>
      </c>
      <c r="D357">
        <f ca="1">_xlfn.VAR.P($B$2:B357)</f>
        <v>8.2305895720237352</v>
      </c>
      <c r="E357">
        <f t="shared" ca="1" si="37"/>
        <v>0.13137579779234598</v>
      </c>
      <c r="F357">
        <f t="shared" ca="1" si="38"/>
        <v>0</v>
      </c>
      <c r="G357">
        <f t="shared" ca="1" si="39"/>
        <v>1</v>
      </c>
      <c r="H357">
        <f ca="1">AVERAGE($G$2:G357)</f>
        <v>0.34831460674157305</v>
      </c>
      <c r="I357">
        <f ca="1">_xlfn.VAR.P($G$2:G357)</f>
        <v>16.328115136977654</v>
      </c>
      <c r="AE357">
        <f t="shared" si="41"/>
        <v>355</v>
      </c>
      <c r="AF357" s="66">
        <f t="shared" si="40"/>
        <v>1</v>
      </c>
    </row>
    <row r="358" spans="1:32" x14ac:dyDescent="0.3">
      <c r="A358">
        <f t="shared" ca="1" si="35"/>
        <v>8.1272422106393294E-2</v>
      </c>
      <c r="B358">
        <f t="shared" ca="1" si="36"/>
        <v>0</v>
      </c>
      <c r="C358">
        <f ca="1">AVERAGE($B$2:B358)</f>
        <v>2.4425770308123251</v>
      </c>
      <c r="D358">
        <f ca="1">_xlfn.VAR.P($B$2:B358)</f>
        <v>8.2242936390242374</v>
      </c>
      <c r="E358">
        <f t="shared" ca="1" si="37"/>
        <v>0.69082270578819238</v>
      </c>
      <c r="F358">
        <f t="shared" ca="1" si="38"/>
        <v>3</v>
      </c>
      <c r="G358">
        <f t="shared" ca="1" si="39"/>
        <v>-3</v>
      </c>
      <c r="H358">
        <f ca="1">AVERAGE($G$2:G358)</f>
        <v>0.33893557422969189</v>
      </c>
      <c r="I358">
        <f ca="1">_xlfn.VAR.P($G$2:G358)</f>
        <v>16.313694105093017</v>
      </c>
      <c r="AE358">
        <f t="shared" si="41"/>
        <v>356</v>
      </c>
      <c r="AF358" s="66">
        <f t="shared" si="40"/>
        <v>1</v>
      </c>
    </row>
    <row r="359" spans="1:32" x14ac:dyDescent="0.3">
      <c r="A359">
        <f t="shared" ca="1" si="35"/>
        <v>0.92405668050559719</v>
      </c>
      <c r="B359">
        <f t="shared" ca="1" si="36"/>
        <v>7</v>
      </c>
      <c r="C359">
        <f ca="1">AVERAGE($B$2:B359)</f>
        <v>2.4553072625698324</v>
      </c>
      <c r="D359">
        <f ca="1">_xlfn.VAR.P($B$2:B359)</f>
        <v>8.25917574357854</v>
      </c>
      <c r="E359">
        <f t="shared" ca="1" si="37"/>
        <v>0.14214847577248735</v>
      </c>
      <c r="F359">
        <f t="shared" ca="1" si="38"/>
        <v>0</v>
      </c>
      <c r="G359">
        <f t="shared" ca="1" si="39"/>
        <v>7</v>
      </c>
      <c r="H359">
        <f ca="1">AVERAGE($G$2:G359)</f>
        <v>0.35754189944134079</v>
      </c>
      <c r="I359">
        <f ca="1">_xlfn.VAR.P($G$2:G359)</f>
        <v>16.391716862769577</v>
      </c>
      <c r="AE359">
        <f t="shared" si="41"/>
        <v>357</v>
      </c>
      <c r="AF359" s="66">
        <f t="shared" si="40"/>
        <v>1</v>
      </c>
    </row>
    <row r="360" spans="1:32" x14ac:dyDescent="0.3">
      <c r="A360">
        <f t="shared" ca="1" si="35"/>
        <v>0.27282237143748767</v>
      </c>
      <c r="B360">
        <f t="shared" ca="1" si="36"/>
        <v>0</v>
      </c>
      <c r="C360">
        <f ca="1">AVERAGE($B$2:B360)</f>
        <v>2.448467966573816</v>
      </c>
      <c r="D360">
        <f ca="1">_xlfn.VAR.P($B$2:B360)</f>
        <v>8.252915480171632</v>
      </c>
      <c r="E360">
        <f t="shared" ca="1" si="37"/>
        <v>0.95576992554137563</v>
      </c>
      <c r="F360">
        <f t="shared" ca="1" si="38"/>
        <v>8</v>
      </c>
      <c r="G360">
        <f t="shared" ca="1" si="39"/>
        <v>-8</v>
      </c>
      <c r="H360">
        <f ca="1">AVERAGE($G$2:G360)</f>
        <v>0.33426183844011143</v>
      </c>
      <c r="I360">
        <f ca="1">_xlfn.VAR.P($G$2:G360)</f>
        <v>16.540079608320855</v>
      </c>
      <c r="AE360">
        <f t="shared" si="41"/>
        <v>358</v>
      </c>
      <c r="AF360" s="66">
        <f t="shared" si="40"/>
        <v>1</v>
      </c>
    </row>
    <row r="361" spans="1:32" x14ac:dyDescent="0.3">
      <c r="A361">
        <f t="shared" ca="1" si="35"/>
        <v>0.17730392536676343</v>
      </c>
      <c r="B361">
        <f t="shared" ca="1" si="36"/>
        <v>0</v>
      </c>
      <c r="C361">
        <f ca="1">AVERAGE($B$2:B361)</f>
        <v>2.4416666666666669</v>
      </c>
      <c r="D361">
        <f ca="1">_xlfn.VAR.P($B$2:B361)</f>
        <v>8.2465972222222224</v>
      </c>
      <c r="E361">
        <f t="shared" ca="1" si="37"/>
        <v>0.70616128600014061</v>
      </c>
      <c r="F361">
        <f t="shared" ca="1" si="38"/>
        <v>3</v>
      </c>
      <c r="G361">
        <f t="shared" ca="1" si="39"/>
        <v>-3</v>
      </c>
      <c r="H361">
        <f ca="1">AVERAGE($G$2:G361)</f>
        <v>0.32500000000000001</v>
      </c>
      <c r="I361">
        <f ca="1">_xlfn.VAR.P($G$2:G361)</f>
        <v>16.524930555555557</v>
      </c>
      <c r="AE361">
        <f t="shared" si="41"/>
        <v>359</v>
      </c>
      <c r="AF361" s="66">
        <f t="shared" si="40"/>
        <v>1</v>
      </c>
    </row>
    <row r="362" spans="1:32" x14ac:dyDescent="0.3">
      <c r="A362">
        <f t="shared" ca="1" si="35"/>
        <v>0.77622722155342649</v>
      </c>
      <c r="B362">
        <f t="shared" ca="1" si="36"/>
        <v>4</v>
      </c>
      <c r="C362">
        <f ca="1">AVERAGE($B$2:B362)</f>
        <v>2.445983379501385</v>
      </c>
      <c r="D362">
        <f ca="1">_xlfn.VAR.P($B$2:B362)</f>
        <v>8.2304617060949496</v>
      </c>
      <c r="E362">
        <f t="shared" ca="1" si="37"/>
        <v>0.4010123008486941</v>
      </c>
      <c r="F362">
        <f t="shared" ca="1" si="38"/>
        <v>1</v>
      </c>
      <c r="G362">
        <f t="shared" ca="1" si="39"/>
        <v>3</v>
      </c>
      <c r="H362">
        <f ca="1">AVERAGE($G$2:G362)</f>
        <v>0.33240997229916897</v>
      </c>
      <c r="I362">
        <f ca="1">_xlfn.VAR.P($G$2:G362)</f>
        <v>16.498921892864541</v>
      </c>
      <c r="AE362">
        <f t="shared" si="41"/>
        <v>360</v>
      </c>
      <c r="AF362" s="66">
        <f t="shared" si="40"/>
        <v>1</v>
      </c>
    </row>
    <row r="363" spans="1:32" x14ac:dyDescent="0.3">
      <c r="A363">
        <f t="shared" ca="1" si="35"/>
        <v>0.32082229376750293</v>
      </c>
      <c r="B363">
        <f t="shared" ca="1" si="36"/>
        <v>1</v>
      </c>
      <c r="C363">
        <f ca="1">AVERAGE($B$2:B363)</f>
        <v>2.4419889502762433</v>
      </c>
      <c r="D363">
        <f ca="1">_xlfn.VAR.P($B$2:B363)</f>
        <v>8.2134855468392303</v>
      </c>
      <c r="E363">
        <f t="shared" ca="1" si="37"/>
        <v>0.77245236702671916</v>
      </c>
      <c r="F363">
        <f t="shared" ca="1" si="38"/>
        <v>4</v>
      </c>
      <c r="G363">
        <f t="shared" ca="1" si="39"/>
        <v>-3</v>
      </c>
      <c r="H363">
        <f ca="1">AVERAGE($G$2:G363)</f>
        <v>0.32320441988950277</v>
      </c>
      <c r="I363">
        <f ca="1">_xlfn.VAR.P($G$2:G363)</f>
        <v>16.483936693019139</v>
      </c>
      <c r="AE363">
        <f t="shared" si="41"/>
        <v>361</v>
      </c>
      <c r="AF363" s="66">
        <f t="shared" si="40"/>
        <v>1</v>
      </c>
    </row>
    <row r="364" spans="1:32" x14ac:dyDescent="0.3">
      <c r="A364">
        <f t="shared" ca="1" si="35"/>
        <v>0.39334111004344474</v>
      </c>
      <c r="B364">
        <f t="shared" ca="1" si="36"/>
        <v>1</v>
      </c>
      <c r="C364">
        <f ca="1">AVERAGE($B$2:B364)</f>
        <v>2.4380165289256199</v>
      </c>
      <c r="D364">
        <f ca="1">_xlfn.VAR.P($B$2:B364)</f>
        <v>8.1965712724540669</v>
      </c>
      <c r="E364">
        <f t="shared" ca="1" si="37"/>
        <v>0.77815166101597566</v>
      </c>
      <c r="F364">
        <f t="shared" ca="1" si="38"/>
        <v>4</v>
      </c>
      <c r="G364">
        <f t="shared" ca="1" si="39"/>
        <v>-3</v>
      </c>
      <c r="H364">
        <f ca="1">AVERAGE($G$2:G364)</f>
        <v>0.31404958677685951</v>
      </c>
      <c r="I364">
        <f ca="1">_xlfn.VAR.P($G$2:G364)</f>
        <v>16.468865969992944</v>
      </c>
      <c r="AE364">
        <f t="shared" si="41"/>
        <v>362</v>
      </c>
      <c r="AF364" s="66">
        <f t="shared" si="40"/>
        <v>1</v>
      </c>
    </row>
    <row r="365" spans="1:32" x14ac:dyDescent="0.3">
      <c r="A365">
        <f t="shared" ca="1" si="35"/>
        <v>0.10039544824580571</v>
      </c>
      <c r="B365">
        <f t="shared" ca="1" si="36"/>
        <v>0</v>
      </c>
      <c r="C365">
        <f ca="1">AVERAGE($B$2:B365)</f>
        <v>2.4313186813186811</v>
      </c>
      <c r="D365">
        <f ca="1">_xlfn.VAR.P($B$2:B365)</f>
        <v>8.1903378215191402</v>
      </c>
      <c r="E365">
        <f t="shared" ca="1" si="37"/>
        <v>5.0051458612179078E-2</v>
      </c>
      <c r="F365">
        <f t="shared" ca="1" si="38"/>
        <v>0</v>
      </c>
      <c r="G365">
        <f t="shared" ca="1" si="39"/>
        <v>0</v>
      </c>
      <c r="H365">
        <f ca="1">AVERAGE($G$2:G365)</f>
        <v>0.31318681318681318</v>
      </c>
      <c r="I365">
        <f ca="1">_xlfn.VAR.P($G$2:G365)</f>
        <v>16.423892042023912</v>
      </c>
      <c r="AE365">
        <f t="shared" si="41"/>
        <v>363</v>
      </c>
      <c r="AF365" s="66">
        <f t="shared" si="40"/>
        <v>1</v>
      </c>
    </row>
    <row r="366" spans="1:32" x14ac:dyDescent="0.3">
      <c r="A366">
        <f t="shared" ca="1" si="35"/>
        <v>0.49228042270523986</v>
      </c>
      <c r="B366">
        <f t="shared" ca="1" si="36"/>
        <v>1</v>
      </c>
      <c r="C366">
        <f ca="1">AVERAGE($B$2:B366)</f>
        <v>2.4273972602739726</v>
      </c>
      <c r="D366">
        <f ca="1">_xlfn.VAR.P($B$2:B366)</f>
        <v>8.1734959654719468</v>
      </c>
      <c r="E366">
        <f t="shared" ca="1" si="37"/>
        <v>0.80752965989247327</v>
      </c>
      <c r="F366">
        <f t="shared" ca="1" si="38"/>
        <v>4</v>
      </c>
      <c r="G366">
        <f t="shared" ca="1" si="39"/>
        <v>-3</v>
      </c>
      <c r="H366">
        <f ca="1">AVERAGE($G$2:G366)</f>
        <v>0.30410958904109592</v>
      </c>
      <c r="I366">
        <f ca="1">_xlfn.VAR.P($G$2:G366)</f>
        <v>16.408887220866955</v>
      </c>
      <c r="AE366">
        <f t="shared" si="41"/>
        <v>364</v>
      </c>
      <c r="AF366" s="66">
        <f t="shared" si="40"/>
        <v>1</v>
      </c>
    </row>
    <row r="367" spans="1:32" x14ac:dyDescent="0.3">
      <c r="A367">
        <f t="shared" ca="1" si="35"/>
        <v>0.85684923030873728</v>
      </c>
      <c r="B367">
        <f t="shared" ca="1" si="36"/>
        <v>5</v>
      </c>
      <c r="C367">
        <f ca="1">AVERAGE($B$2:B367)</f>
        <v>2.4344262295081966</v>
      </c>
      <c r="D367">
        <f ca="1">_xlfn.VAR.P($B$2:B367)</f>
        <v>8.1691973483830509</v>
      </c>
      <c r="E367">
        <f t="shared" ca="1" si="37"/>
        <v>0.45869183757774235</v>
      </c>
      <c r="F367">
        <f t="shared" ca="1" si="38"/>
        <v>1</v>
      </c>
      <c r="G367">
        <f t="shared" ca="1" si="39"/>
        <v>4</v>
      </c>
      <c r="H367">
        <f ca="1">AVERAGE($G$2:G367)</f>
        <v>0.31420765027322406</v>
      </c>
      <c r="I367">
        <f ca="1">_xlfn.VAR.P($G$2:G367)</f>
        <v>16.401273552509778</v>
      </c>
      <c r="AE367">
        <f t="shared" si="41"/>
        <v>365</v>
      </c>
      <c r="AF367" s="66">
        <f t="shared" si="40"/>
        <v>1</v>
      </c>
    </row>
    <row r="368" spans="1:32" x14ac:dyDescent="0.3">
      <c r="A368">
        <f t="shared" ca="1" si="35"/>
        <v>0.97690031095858898</v>
      </c>
      <c r="B368">
        <f t="shared" ca="1" si="36"/>
        <v>10</v>
      </c>
      <c r="C368">
        <f ca="1">AVERAGE($B$2:B368)</f>
        <v>2.4550408719346049</v>
      </c>
      <c r="D368">
        <f ca="1">_xlfn.VAR.P($B$2:B368)</f>
        <v>8.3024745896101386</v>
      </c>
      <c r="E368">
        <f t="shared" ca="1" si="37"/>
        <v>0.23997360542265089</v>
      </c>
      <c r="F368">
        <f t="shared" ca="1" si="38"/>
        <v>0</v>
      </c>
      <c r="G368">
        <f t="shared" ca="1" si="39"/>
        <v>10</v>
      </c>
      <c r="H368">
        <f ca="1">AVERAGE($G$2:G368)</f>
        <v>0.34059945504087191</v>
      </c>
      <c r="I368">
        <f ca="1">_xlfn.VAR.P($G$2:G368)</f>
        <v>16.611512447193164</v>
      </c>
      <c r="AE368">
        <f t="shared" si="41"/>
        <v>366</v>
      </c>
      <c r="AF368" s="66">
        <f t="shared" si="40"/>
        <v>1</v>
      </c>
    </row>
    <row r="369" spans="1:32" x14ac:dyDescent="0.3">
      <c r="A369">
        <f t="shared" ca="1" si="35"/>
        <v>0.70509632141968681</v>
      </c>
      <c r="B369">
        <f t="shared" ca="1" si="36"/>
        <v>3</v>
      </c>
      <c r="C369">
        <f ca="1">AVERAGE($B$2:B369)</f>
        <v>2.4565217391304346</v>
      </c>
      <c r="D369">
        <f ca="1">_xlfn.VAR.P($B$2:B369)</f>
        <v>8.2807183364839325</v>
      </c>
      <c r="E369">
        <f t="shared" ca="1" si="37"/>
        <v>9.7027779930722979E-2</v>
      </c>
      <c r="F369">
        <f t="shared" ca="1" si="38"/>
        <v>0</v>
      </c>
      <c r="G369">
        <f t="shared" ca="1" si="39"/>
        <v>3</v>
      </c>
      <c r="H369">
        <f ca="1">AVERAGE($G$2:G369)</f>
        <v>0.34782608695652173</v>
      </c>
      <c r="I369">
        <f ca="1">_xlfn.VAR.P($G$2:G369)</f>
        <v>16.58553875236295</v>
      </c>
      <c r="AE369">
        <f t="shared" si="41"/>
        <v>367</v>
      </c>
      <c r="AF369" s="66">
        <f t="shared" si="40"/>
        <v>1</v>
      </c>
    </row>
    <row r="370" spans="1:32" x14ac:dyDescent="0.3">
      <c r="A370">
        <f t="shared" ca="1" si="35"/>
        <v>0.62337779618374922</v>
      </c>
      <c r="B370">
        <f t="shared" ca="1" si="36"/>
        <v>2</v>
      </c>
      <c r="C370">
        <f ca="1">AVERAGE($B$2:B370)</f>
        <v>2.4552845528455283</v>
      </c>
      <c r="D370">
        <f ca="1">_xlfn.VAR.P($B$2:B370)</f>
        <v>8.258840637186859</v>
      </c>
      <c r="E370">
        <f t="shared" ca="1" si="37"/>
        <v>0.40008865383369774</v>
      </c>
      <c r="F370">
        <f t="shared" ca="1" si="38"/>
        <v>1</v>
      </c>
      <c r="G370">
        <f t="shared" ca="1" si="39"/>
        <v>1</v>
      </c>
      <c r="H370">
        <f ca="1">AVERAGE($G$2:G370)</f>
        <v>0.34959349593495936</v>
      </c>
      <c r="I370">
        <f ca="1">_xlfn.VAR.P($G$2:G370)</f>
        <v>16.541741027166371</v>
      </c>
      <c r="AE370">
        <f t="shared" si="41"/>
        <v>368</v>
      </c>
      <c r="AF370" s="66">
        <f t="shared" si="40"/>
        <v>1</v>
      </c>
    </row>
    <row r="371" spans="1:32" x14ac:dyDescent="0.3">
      <c r="A371">
        <f t="shared" ca="1" si="35"/>
        <v>0.19684288035737763</v>
      </c>
      <c r="B371">
        <f t="shared" ca="1" si="36"/>
        <v>0</v>
      </c>
      <c r="C371">
        <f ca="1">AVERAGE($B$2:B371)</f>
        <v>2.4486486486486485</v>
      </c>
      <c r="D371">
        <f ca="1">_xlfn.VAR.P($B$2:B371)</f>
        <v>8.2527684441197948</v>
      </c>
      <c r="E371">
        <f t="shared" ca="1" si="37"/>
        <v>0.13935873590645675</v>
      </c>
      <c r="F371">
        <f t="shared" ca="1" si="38"/>
        <v>0</v>
      </c>
      <c r="G371">
        <f t="shared" ca="1" si="39"/>
        <v>0</v>
      </c>
      <c r="H371">
        <f ca="1">AVERAGE($G$2:G371)</f>
        <v>0.34864864864864864</v>
      </c>
      <c r="I371">
        <f ca="1">_xlfn.VAR.P($G$2:G371)</f>
        <v>16.49736303871439</v>
      </c>
      <c r="AE371">
        <f t="shared" si="41"/>
        <v>369</v>
      </c>
      <c r="AF371" s="66">
        <f t="shared" si="40"/>
        <v>1</v>
      </c>
    </row>
    <row r="372" spans="1:32" x14ac:dyDescent="0.3">
      <c r="A372">
        <f t="shared" ca="1" si="35"/>
        <v>0.63220020592639159</v>
      </c>
      <c r="B372">
        <f t="shared" ca="1" si="36"/>
        <v>2</v>
      </c>
      <c r="C372">
        <f ca="1">AVERAGE($B$2:B372)</f>
        <v>2.4474393530997305</v>
      </c>
      <c r="D372">
        <f ca="1">_xlfn.VAR.P($B$2:B372)</f>
        <v>8.2310648716588801</v>
      </c>
      <c r="E372">
        <f t="shared" ca="1" si="37"/>
        <v>0.74569651073090137</v>
      </c>
      <c r="F372">
        <f t="shared" ca="1" si="38"/>
        <v>3</v>
      </c>
      <c r="G372">
        <f t="shared" ca="1" si="39"/>
        <v>-1</v>
      </c>
      <c r="H372">
        <f ca="1">AVERAGE($G$2:G372)</f>
        <v>0.34501347708894881</v>
      </c>
      <c r="I372">
        <f ca="1">_xlfn.VAR.P($G$2:G372)</f>
        <v>16.457785107635079</v>
      </c>
      <c r="AE372">
        <f t="shared" si="41"/>
        <v>370</v>
      </c>
      <c r="AF372" s="66">
        <f t="shared" si="40"/>
        <v>1</v>
      </c>
    </row>
    <row r="373" spans="1:32" x14ac:dyDescent="0.3">
      <c r="A373">
        <f t="shared" ca="1" si="35"/>
        <v>0.38399658152647664</v>
      </c>
      <c r="B373">
        <f t="shared" ca="1" si="36"/>
        <v>1</v>
      </c>
      <c r="C373">
        <f ca="1">AVERAGE($B$2:B373)</f>
        <v>2.443548387096774</v>
      </c>
      <c r="D373">
        <f ca="1">_xlfn.VAR.P($B$2:B373)</f>
        <v>8.2145551508844949</v>
      </c>
      <c r="E373">
        <f t="shared" ca="1" si="37"/>
        <v>9.7849747409542331E-2</v>
      </c>
      <c r="F373">
        <f t="shared" ca="1" si="38"/>
        <v>0</v>
      </c>
      <c r="G373">
        <f t="shared" ca="1" si="39"/>
        <v>1</v>
      </c>
      <c r="H373">
        <f ca="1">AVERAGE($G$2:G373)</f>
        <v>0.34677419354838712</v>
      </c>
      <c r="I373">
        <f ca="1">_xlfn.VAR.P($G$2:G373)</f>
        <v>16.414693895248007</v>
      </c>
      <c r="AE373">
        <f t="shared" si="41"/>
        <v>371</v>
      </c>
      <c r="AF373" s="66">
        <f t="shared" si="40"/>
        <v>1</v>
      </c>
    </row>
    <row r="374" spans="1:32" x14ac:dyDescent="0.3">
      <c r="A374">
        <f t="shared" ca="1" si="35"/>
        <v>0.56071409801976768</v>
      </c>
      <c r="B374">
        <f t="shared" ca="1" si="36"/>
        <v>2</v>
      </c>
      <c r="C374">
        <f ca="1">AVERAGE($B$2:B374)</f>
        <v>2.4423592493297588</v>
      </c>
      <c r="D374">
        <f ca="1">_xlfn.VAR.P($B$2:B374)</f>
        <v>8.1930582409131087</v>
      </c>
      <c r="E374">
        <f t="shared" ca="1" si="37"/>
        <v>9.370496791666838E-2</v>
      </c>
      <c r="F374">
        <f t="shared" ca="1" si="38"/>
        <v>0</v>
      </c>
      <c r="G374">
        <f t="shared" ca="1" si="39"/>
        <v>2</v>
      </c>
      <c r="H374">
        <f ca="1">AVERAGE($G$2:G374)</f>
        <v>0.3512064343163539</v>
      </c>
      <c r="I374">
        <f ca="1">_xlfn.VAR.P($G$2:G374)</f>
        <v>16.377994523068519</v>
      </c>
      <c r="AE374">
        <f t="shared" si="41"/>
        <v>372</v>
      </c>
      <c r="AF374" s="66">
        <f t="shared" si="40"/>
        <v>1</v>
      </c>
    </row>
    <row r="375" spans="1:32" x14ac:dyDescent="0.3">
      <c r="A375">
        <f t="shared" ca="1" si="35"/>
        <v>0.3676470144392624</v>
      </c>
      <c r="B375">
        <f t="shared" ca="1" si="36"/>
        <v>1</v>
      </c>
      <c r="C375">
        <f ca="1">AVERAGE($B$2:B375)</f>
        <v>2.4385026737967914</v>
      </c>
      <c r="D375">
        <f ca="1">_xlfn.VAR.P($B$2:B375)</f>
        <v>8.1766993622923163</v>
      </c>
      <c r="E375">
        <f t="shared" ca="1" si="37"/>
        <v>0.67130945868514258</v>
      </c>
      <c r="F375">
        <f t="shared" ca="1" si="38"/>
        <v>3</v>
      </c>
      <c r="G375">
        <f t="shared" ca="1" si="39"/>
        <v>-2</v>
      </c>
      <c r="H375">
        <f ca="1">AVERAGE($G$2:G375)</f>
        <v>0.34491978609625668</v>
      </c>
      <c r="I375">
        <f ca="1">_xlfn.VAR.P($G$2:G375)</f>
        <v>16.348944779661988</v>
      </c>
      <c r="AE375">
        <f t="shared" si="41"/>
        <v>373</v>
      </c>
      <c r="AF375" s="66">
        <f t="shared" si="40"/>
        <v>1</v>
      </c>
    </row>
    <row r="376" spans="1:32" x14ac:dyDescent="0.3">
      <c r="A376">
        <f t="shared" ca="1" si="35"/>
        <v>0.57776187402350165</v>
      </c>
      <c r="B376">
        <f t="shared" ca="1" si="36"/>
        <v>2</v>
      </c>
      <c r="C376">
        <f ca="1">AVERAGE($B$2:B376)</f>
        <v>2.4373333333333331</v>
      </c>
      <c r="D376">
        <f ca="1">_xlfn.VAR.P($B$2:B376)</f>
        <v>8.1554062222222221</v>
      </c>
      <c r="E376">
        <f t="shared" ca="1" si="37"/>
        <v>0.51224466541713265</v>
      </c>
      <c r="F376">
        <f t="shared" ca="1" si="38"/>
        <v>2</v>
      </c>
      <c r="G376">
        <f t="shared" ca="1" si="39"/>
        <v>0</v>
      </c>
      <c r="H376">
        <f ca="1">AVERAGE($G$2:G376)</f>
        <v>0.34399999999999997</v>
      </c>
      <c r="I376">
        <f ca="1">_xlfn.VAR.P($G$2:G376)</f>
        <v>16.305664</v>
      </c>
      <c r="AE376">
        <f t="shared" si="41"/>
        <v>374</v>
      </c>
      <c r="AF376" s="66">
        <f t="shared" si="40"/>
        <v>1</v>
      </c>
    </row>
    <row r="377" spans="1:32" x14ac:dyDescent="0.3">
      <c r="A377">
        <f t="shared" ca="1" si="35"/>
        <v>0.29068197239772953</v>
      </c>
      <c r="B377">
        <f t="shared" ca="1" si="36"/>
        <v>0</v>
      </c>
      <c r="C377">
        <f ca="1">AVERAGE($B$2:B377)</f>
        <v>2.4308510638297873</v>
      </c>
      <c r="D377">
        <f ca="1">_xlfn.VAR.P($B$2:B377)</f>
        <v>8.1494737437754647</v>
      </c>
      <c r="E377">
        <f t="shared" ca="1" si="37"/>
        <v>0.90523426024128828</v>
      </c>
      <c r="F377">
        <f t="shared" ca="1" si="38"/>
        <v>6</v>
      </c>
      <c r="G377">
        <f t="shared" ca="1" si="39"/>
        <v>-6</v>
      </c>
      <c r="H377">
        <f ca="1">AVERAGE($G$2:G377)</f>
        <v>0.3271276595744681</v>
      </c>
      <c r="I377">
        <f ca="1">_xlfn.VAR.P($G$2:G377)</f>
        <v>16.369051324128566</v>
      </c>
      <c r="AE377">
        <f t="shared" si="41"/>
        <v>375</v>
      </c>
      <c r="AF377" s="66">
        <f t="shared" si="40"/>
        <v>1</v>
      </c>
    </row>
    <row r="378" spans="1:32" x14ac:dyDescent="0.3">
      <c r="A378">
        <f t="shared" ca="1" si="35"/>
        <v>0.30629883729819407</v>
      </c>
      <c r="B378">
        <f t="shared" ca="1" si="36"/>
        <v>1</v>
      </c>
      <c r="C378">
        <f ca="1">AVERAGE($B$2:B378)</f>
        <v>2.4270557029177717</v>
      </c>
      <c r="D378">
        <f ca="1">_xlfn.VAR.P($B$2:B378)</f>
        <v>8.1332732939794123</v>
      </c>
      <c r="E378">
        <f t="shared" ca="1" si="37"/>
        <v>0.83795443758723698</v>
      </c>
      <c r="F378">
        <f t="shared" ca="1" si="38"/>
        <v>5</v>
      </c>
      <c r="G378">
        <f t="shared" ca="1" si="39"/>
        <v>-4</v>
      </c>
      <c r="H378">
        <f ca="1">AVERAGE($G$2:G378)</f>
        <v>0.3156498673740053</v>
      </c>
      <c r="I378">
        <f ca="1">_xlfn.VAR.P($G$2:G378)</f>
        <v>16.375166222234732</v>
      </c>
      <c r="AE378">
        <f t="shared" si="41"/>
        <v>376</v>
      </c>
      <c r="AF378" s="66">
        <f t="shared" si="40"/>
        <v>1</v>
      </c>
    </row>
    <row r="379" spans="1:32" x14ac:dyDescent="0.3">
      <c r="A379">
        <f t="shared" ca="1" si="35"/>
        <v>0.31179935003765546</v>
      </c>
      <c r="B379">
        <f t="shared" ca="1" si="36"/>
        <v>1</v>
      </c>
      <c r="C379">
        <f ca="1">AVERAGE($B$2:B379)</f>
        <v>2.4232804232804233</v>
      </c>
      <c r="D379">
        <f ca="1">_xlfn.VAR.P($B$2:B379)</f>
        <v>8.1171299795638419</v>
      </c>
      <c r="E379">
        <f t="shared" ca="1" si="37"/>
        <v>0.39049708028669416</v>
      </c>
      <c r="F379">
        <f t="shared" ca="1" si="38"/>
        <v>1</v>
      </c>
      <c r="G379">
        <f t="shared" ca="1" si="39"/>
        <v>0</v>
      </c>
      <c r="H379">
        <f ca="1">AVERAGE($G$2:G379)</f>
        <v>0.31481481481481483</v>
      </c>
      <c r="I379">
        <f ca="1">_xlfn.VAR.P($G$2:G379)</f>
        <v>16.332108563590044</v>
      </c>
      <c r="AE379">
        <f t="shared" si="41"/>
        <v>377</v>
      </c>
      <c r="AF379" s="66">
        <f t="shared" si="40"/>
        <v>1</v>
      </c>
    </row>
    <row r="380" spans="1:32" x14ac:dyDescent="0.3">
      <c r="A380">
        <f t="shared" ca="1" si="35"/>
        <v>0.57110172063695852</v>
      </c>
      <c r="B380">
        <f t="shared" ca="1" si="36"/>
        <v>2</v>
      </c>
      <c r="C380">
        <f ca="1">AVERAGE($B$2:B380)</f>
        <v>2.4221635883905015</v>
      </c>
      <c r="D380">
        <f ca="1">_xlfn.VAR.P($B$2:B380)</f>
        <v>8.0961842370910819</v>
      </c>
      <c r="E380">
        <f t="shared" ca="1" si="37"/>
        <v>0.22452538410323797</v>
      </c>
      <c r="F380">
        <f t="shared" ca="1" si="38"/>
        <v>0</v>
      </c>
      <c r="G380">
        <f t="shared" ca="1" si="39"/>
        <v>2</v>
      </c>
      <c r="H380">
        <f ca="1">AVERAGE($G$2:G380)</f>
        <v>0.31926121372031663</v>
      </c>
      <c r="I380">
        <f ca="1">_xlfn.VAR.P($G$2:G380)</f>
        <v>16.296489163957364</v>
      </c>
      <c r="AE380">
        <f t="shared" si="41"/>
        <v>378</v>
      </c>
      <c r="AF380" s="66">
        <f t="shared" si="40"/>
        <v>1</v>
      </c>
    </row>
    <row r="381" spans="1:32" x14ac:dyDescent="0.3">
      <c r="A381">
        <f t="shared" ca="1" si="35"/>
        <v>0.33096780217981958</v>
      </c>
      <c r="B381">
        <f t="shared" ca="1" si="36"/>
        <v>1</v>
      </c>
      <c r="C381">
        <f ca="1">AVERAGE($B$2:B381)</f>
        <v>2.418421052631579</v>
      </c>
      <c r="D381">
        <f ca="1">_xlfn.VAR.P($B$2:B381)</f>
        <v>8.0801869806094189</v>
      </c>
      <c r="E381">
        <f t="shared" ca="1" si="37"/>
        <v>0.98594808554287239</v>
      </c>
      <c r="F381">
        <f t="shared" ca="1" si="38"/>
        <v>11</v>
      </c>
      <c r="G381">
        <f t="shared" ca="1" si="39"/>
        <v>-10</v>
      </c>
      <c r="H381">
        <f ca="1">AVERAGE($G$2:G381)</f>
        <v>0.29210526315789476</v>
      </c>
      <c r="I381">
        <f ca="1">_xlfn.VAR.P($G$2:G381)</f>
        <v>16.533095567867036</v>
      </c>
      <c r="AE381">
        <f t="shared" si="41"/>
        <v>379</v>
      </c>
      <c r="AF381" s="66">
        <f t="shared" si="40"/>
        <v>1</v>
      </c>
    </row>
    <row r="382" spans="1:32" x14ac:dyDescent="0.3">
      <c r="A382">
        <f t="shared" ca="1" si="35"/>
        <v>0.7655669238578241</v>
      </c>
      <c r="B382">
        <f t="shared" ca="1" si="36"/>
        <v>4</v>
      </c>
      <c r="C382">
        <f ca="1">AVERAGE($B$2:B382)</f>
        <v>2.4225721784776901</v>
      </c>
      <c r="D382">
        <f ca="1">_xlfn.VAR.P($B$2:B382)</f>
        <v>8.0655272421655955</v>
      </c>
      <c r="E382">
        <f t="shared" ca="1" si="37"/>
        <v>0.30408548397216129</v>
      </c>
      <c r="F382">
        <f t="shared" ca="1" si="38"/>
        <v>1</v>
      </c>
      <c r="G382">
        <f t="shared" ca="1" si="39"/>
        <v>3</v>
      </c>
      <c r="H382">
        <f ca="1">AVERAGE($G$2:G382)</f>
        <v>0.29921259842519687</v>
      </c>
      <c r="I382">
        <f ca="1">_xlfn.VAR.P($G$2:G382)</f>
        <v>16.508897017794034</v>
      </c>
      <c r="AE382">
        <f t="shared" si="41"/>
        <v>380</v>
      </c>
      <c r="AF382" s="66">
        <f t="shared" si="40"/>
        <v>1</v>
      </c>
    </row>
    <row r="383" spans="1:32" x14ac:dyDescent="0.3">
      <c r="A383">
        <f t="shared" ca="1" si="35"/>
        <v>0.12304788993803928</v>
      </c>
      <c r="B383">
        <f t="shared" ca="1" si="36"/>
        <v>0</v>
      </c>
      <c r="C383">
        <f ca="1">AVERAGE($B$2:B383)</f>
        <v>2.4162303664921465</v>
      </c>
      <c r="D383">
        <f ca="1">_xlfn.VAR.P($B$2:B383)</f>
        <v>8.0597365752035302</v>
      </c>
      <c r="E383">
        <f t="shared" ca="1" si="37"/>
        <v>0.87041508835511305</v>
      </c>
      <c r="F383">
        <f t="shared" ca="1" si="38"/>
        <v>5</v>
      </c>
      <c r="G383">
        <f t="shared" ca="1" si="39"/>
        <v>-5</v>
      </c>
      <c r="H383">
        <f ca="1">AVERAGE($G$2:G383)</f>
        <v>0.28534031413612565</v>
      </c>
      <c r="I383">
        <f ca="1">_xlfn.VAR.P($G$2:G383)</f>
        <v>16.538999753296235</v>
      </c>
      <c r="AE383">
        <f t="shared" si="41"/>
        <v>381</v>
      </c>
      <c r="AF383" s="66">
        <f t="shared" si="40"/>
        <v>1</v>
      </c>
    </row>
    <row r="384" spans="1:32" x14ac:dyDescent="0.3">
      <c r="A384">
        <f t="shared" ca="1" si="35"/>
        <v>0.18856923013324223</v>
      </c>
      <c r="B384">
        <f t="shared" ca="1" si="36"/>
        <v>0</v>
      </c>
      <c r="C384">
        <f ca="1">AVERAGE($B$2:B384)</f>
        <v>2.4099216710182767</v>
      </c>
      <c r="D384">
        <f ca="1">_xlfn.VAR.P($B$2:B384)</f>
        <v>8.0538963385120894</v>
      </c>
      <c r="E384">
        <f t="shared" ca="1" si="37"/>
        <v>0.37129953614762068</v>
      </c>
      <c r="F384">
        <f t="shared" ca="1" si="38"/>
        <v>1</v>
      </c>
      <c r="G384">
        <f t="shared" ca="1" si="39"/>
        <v>-1</v>
      </c>
      <c r="H384">
        <f ca="1">AVERAGE($G$2:G384)</f>
        <v>0.28198433420365537</v>
      </c>
      <c r="I384">
        <f ca="1">_xlfn.VAR.P($G$2:G384)</f>
        <v>16.50011930001568</v>
      </c>
      <c r="AE384">
        <f t="shared" si="41"/>
        <v>382</v>
      </c>
      <c r="AF384" s="66">
        <f t="shared" si="40"/>
        <v>1</v>
      </c>
    </row>
    <row r="385" spans="1:32" x14ac:dyDescent="0.3">
      <c r="A385">
        <f t="shared" ca="1" si="35"/>
        <v>2.8543452485700782E-2</v>
      </c>
      <c r="B385">
        <f t="shared" ca="1" si="36"/>
        <v>0</v>
      </c>
      <c r="C385">
        <f ca="1">AVERAGE($B$2:B385)</f>
        <v>2.4036458333333335</v>
      </c>
      <c r="D385">
        <f ca="1">_xlfn.VAR.P($B$2:B385)</f>
        <v>8.0480075412326393</v>
      </c>
      <c r="E385">
        <f t="shared" ca="1" si="37"/>
        <v>0.69953231696393625</v>
      </c>
      <c r="F385">
        <f t="shared" ca="1" si="38"/>
        <v>3</v>
      </c>
      <c r="G385">
        <f t="shared" ca="1" si="39"/>
        <v>-3</v>
      </c>
      <c r="H385">
        <f ca="1">AVERAGE($G$2:G385)</f>
        <v>0.2734375</v>
      </c>
      <c r="I385">
        <f ca="1">_xlfn.VAR.P($G$2:G385)</f>
        <v>16.485127766927082</v>
      </c>
      <c r="AE385">
        <f t="shared" si="41"/>
        <v>383</v>
      </c>
      <c r="AF385" s="66">
        <f t="shared" si="40"/>
        <v>1</v>
      </c>
    </row>
    <row r="386" spans="1:32" x14ac:dyDescent="0.3">
      <c r="A386">
        <f t="shared" ca="1" si="35"/>
        <v>9.5781874936797462E-2</v>
      </c>
      <c r="B386">
        <f t="shared" ca="1" si="36"/>
        <v>0</v>
      </c>
      <c r="C386">
        <f ca="1">AVERAGE($B$2:B386)</f>
        <v>2.3974025974025972</v>
      </c>
      <c r="D386">
        <f ca="1">_xlfn.VAR.P($B$2:B386)</f>
        <v>8.0420711755776697</v>
      </c>
      <c r="E386">
        <f t="shared" ca="1" si="37"/>
        <v>0.37185032134078344</v>
      </c>
      <c r="F386">
        <f t="shared" ca="1" si="38"/>
        <v>1</v>
      </c>
      <c r="G386">
        <f t="shared" ca="1" si="39"/>
        <v>-1</v>
      </c>
      <c r="H386">
        <f ca="1">AVERAGE($G$2:G386)</f>
        <v>0.27012987012987011</v>
      </c>
      <c r="I386">
        <f ca="1">_xlfn.VAR.P($G$2:G386)</f>
        <v>16.44651037274414</v>
      </c>
      <c r="AE386">
        <f t="shared" si="41"/>
        <v>384</v>
      </c>
      <c r="AF386" s="66">
        <f t="shared" si="40"/>
        <v>1</v>
      </c>
    </row>
    <row r="387" spans="1:32" x14ac:dyDescent="0.3">
      <c r="A387">
        <f t="shared" ref="A387:A450" ca="1" si="42">RAND()</f>
        <v>2.7189926753048321E-2</v>
      </c>
      <c r="B387">
        <f t="shared" ref="B387:B450" ca="1" si="43">LOOKUP(A387,$AF$2:$AF$1002,$AE$2:$AE$1002)</f>
        <v>0</v>
      </c>
      <c r="C387">
        <f ca="1">AVERAGE($B$2:B387)</f>
        <v>2.3911917098445596</v>
      </c>
      <c r="D387">
        <f ca="1">_xlfn.VAR.P($B$2:B387)</f>
        <v>8.0360882171333454</v>
      </c>
      <c r="E387">
        <f t="shared" ref="E387:E450" ca="1" si="44">RAND()</f>
        <v>0.25486605198851242</v>
      </c>
      <c r="F387">
        <f t="shared" ref="F387:F450" ca="1" si="45">LOOKUP(E387,$AF$2:$AF$1002,$AE$2:$AE$1002)</f>
        <v>0</v>
      </c>
      <c r="G387">
        <f t="shared" ref="G387:G450" ca="1" si="46">B387-F387</f>
        <v>0</v>
      </c>
      <c r="H387">
        <f ca="1">AVERAGE($G$2:G387)</f>
        <v>0.26943005181347152</v>
      </c>
      <c r="I387">
        <f ca="1">_xlfn.VAR.P($G$2:G387)</f>
        <v>16.404091385003625</v>
      </c>
      <c r="AE387">
        <f t="shared" si="41"/>
        <v>385</v>
      </c>
      <c r="AF387" s="66">
        <f t="shared" ref="AF387:AF450" si="47">_xlfn.NEGBINOM.DIST(AE387-1,1,$K$1,TRUE)</f>
        <v>1</v>
      </c>
    </row>
    <row r="388" spans="1:32" x14ac:dyDescent="0.3">
      <c r="A388">
        <f t="shared" ca="1" si="42"/>
        <v>7.5805063209225754E-2</v>
      </c>
      <c r="B388">
        <f t="shared" ca="1" si="43"/>
        <v>0</v>
      </c>
      <c r="C388">
        <f ca="1">AVERAGE($B$2:B388)</f>
        <v>2.3850129198966408</v>
      </c>
      <c r="D388">
        <f ca="1">_xlfn.VAR.P($B$2:B388)</f>
        <v>8.0300596251560741</v>
      </c>
      <c r="E388">
        <f t="shared" ca="1" si="44"/>
        <v>0.77866168591651541</v>
      </c>
      <c r="F388">
        <f t="shared" ca="1" si="45"/>
        <v>4</v>
      </c>
      <c r="G388">
        <f t="shared" ca="1" si="46"/>
        <v>-4</v>
      </c>
      <c r="H388">
        <f ca="1">AVERAGE($G$2:G388)</f>
        <v>0.25839793281653745</v>
      </c>
      <c r="I388">
        <f ca="1">_xlfn.VAR.P($G$2:G388)</f>
        <v>16.40868270469857</v>
      </c>
      <c r="AE388">
        <f t="shared" si="41"/>
        <v>386</v>
      </c>
      <c r="AF388" s="66">
        <f t="shared" si="47"/>
        <v>1</v>
      </c>
    </row>
    <row r="389" spans="1:32" x14ac:dyDescent="0.3">
      <c r="A389">
        <f t="shared" ca="1" si="42"/>
        <v>0.84766937963314615</v>
      </c>
      <c r="B389">
        <f t="shared" ca="1" si="43"/>
        <v>5</v>
      </c>
      <c r="C389">
        <f ca="1">AVERAGE($B$2:B389)</f>
        <v>2.3917525773195876</v>
      </c>
      <c r="D389">
        <f ca="1">_xlfn.VAR.P($B$2:B389)</f>
        <v>8.026942289297482</v>
      </c>
      <c r="E389">
        <f t="shared" ca="1" si="44"/>
        <v>0.49204279382210747</v>
      </c>
      <c r="F389">
        <f t="shared" ca="1" si="45"/>
        <v>1</v>
      </c>
      <c r="G389">
        <f t="shared" ca="1" si="46"/>
        <v>4</v>
      </c>
      <c r="H389">
        <f ca="1">AVERAGE($G$2:G389)</f>
        <v>0.26804123711340205</v>
      </c>
      <c r="I389">
        <f ca="1">_xlfn.VAR.P($G$2:G389)</f>
        <v>16.402380699330429</v>
      </c>
      <c r="AE389">
        <f t="shared" ref="AE389:AE452" si="48">AE388+1</f>
        <v>387</v>
      </c>
      <c r="AF389" s="66">
        <f t="shared" si="47"/>
        <v>1</v>
      </c>
    </row>
    <row r="390" spans="1:32" x14ac:dyDescent="0.3">
      <c r="A390">
        <f t="shared" ca="1" si="42"/>
        <v>0.27810474672623398</v>
      </c>
      <c r="B390">
        <f t="shared" ca="1" si="43"/>
        <v>0</v>
      </c>
      <c r="C390">
        <f ca="1">AVERAGE($B$2:B390)</f>
        <v>2.3856041131105399</v>
      </c>
      <c r="D390">
        <f ca="1">_xlfn.VAR.P($B$2:B390)</f>
        <v>8.020975277720872</v>
      </c>
      <c r="E390">
        <f t="shared" ca="1" si="44"/>
        <v>0.76592265658313385</v>
      </c>
      <c r="F390">
        <f t="shared" ca="1" si="45"/>
        <v>4</v>
      </c>
      <c r="G390">
        <f t="shared" ca="1" si="46"/>
        <v>-4</v>
      </c>
      <c r="H390">
        <f ca="1">AVERAGE($G$2:G390)</f>
        <v>0.25706940874035988</v>
      </c>
      <c r="I390">
        <f ca="1">_xlfn.VAR.P($G$2:G390)</f>
        <v>16.406923031172145</v>
      </c>
      <c r="AE390">
        <f t="shared" si="48"/>
        <v>388</v>
      </c>
      <c r="AF390" s="66">
        <f t="shared" si="47"/>
        <v>1</v>
      </c>
    </row>
    <row r="391" spans="1:32" x14ac:dyDescent="0.3">
      <c r="A391">
        <f t="shared" ca="1" si="42"/>
        <v>0.94647921063070761</v>
      </c>
      <c r="B391">
        <f t="shared" ca="1" si="43"/>
        <v>8</v>
      </c>
      <c r="C391">
        <f ca="1">AVERAGE($B$2:B391)</f>
        <v>2.4</v>
      </c>
      <c r="D391">
        <f ca="1">_xlfn.VAR.P($B$2:B391)</f>
        <v>8.0810256410256418</v>
      </c>
      <c r="E391">
        <f t="shared" ca="1" si="44"/>
        <v>0.29501689524129748</v>
      </c>
      <c r="F391">
        <f t="shared" ca="1" si="45"/>
        <v>0</v>
      </c>
      <c r="G391">
        <f t="shared" ca="1" si="46"/>
        <v>8</v>
      </c>
      <c r="H391">
        <f ca="1">AVERAGE($G$2:G391)</f>
        <v>0.27692307692307694</v>
      </c>
      <c r="I391">
        <f ca="1">_xlfn.VAR.P($G$2:G391)</f>
        <v>16.518185404339249</v>
      </c>
      <c r="AE391">
        <f t="shared" si="48"/>
        <v>389</v>
      </c>
      <c r="AF391" s="66">
        <f t="shared" si="47"/>
        <v>1</v>
      </c>
    </row>
    <row r="392" spans="1:32" x14ac:dyDescent="0.3">
      <c r="A392">
        <f t="shared" ca="1" si="42"/>
        <v>0.24371362849811939</v>
      </c>
      <c r="B392">
        <f t="shared" ca="1" si="43"/>
        <v>0</v>
      </c>
      <c r="C392">
        <f ca="1">AVERAGE($B$2:B392)</f>
        <v>2.3938618925831201</v>
      </c>
      <c r="D392">
        <f ca="1">_xlfn.VAR.P($B$2:B392)</f>
        <v>8.0750518377038354</v>
      </c>
      <c r="E392">
        <f t="shared" ca="1" si="44"/>
        <v>0.49343064678341653</v>
      </c>
      <c r="F392">
        <f t="shared" ca="1" si="45"/>
        <v>1</v>
      </c>
      <c r="G392">
        <f t="shared" ca="1" si="46"/>
        <v>-1</v>
      </c>
      <c r="H392">
        <f ca="1">AVERAGE($G$2:G392)</f>
        <v>0.27365728900255754</v>
      </c>
      <c r="I392">
        <f ca="1">_xlfn.VAR.P($G$2:G392)</f>
        <v>16.480098900451985</v>
      </c>
      <c r="AE392">
        <f t="shared" si="48"/>
        <v>390</v>
      </c>
      <c r="AF392" s="66">
        <f t="shared" si="47"/>
        <v>1</v>
      </c>
    </row>
    <row r="393" spans="1:32" x14ac:dyDescent="0.3">
      <c r="A393">
        <f t="shared" ca="1" si="42"/>
        <v>0.2292557373347115</v>
      </c>
      <c r="B393">
        <f t="shared" ca="1" si="43"/>
        <v>0</v>
      </c>
      <c r="C393">
        <f ca="1">AVERAGE($B$2:B393)</f>
        <v>2.3877551020408165</v>
      </c>
      <c r="D393">
        <f ca="1">_xlfn.VAR.P($B$2:B393)</f>
        <v>8.069033735943357</v>
      </c>
      <c r="E393">
        <f t="shared" ca="1" si="44"/>
        <v>0.31324461499123191</v>
      </c>
      <c r="F393">
        <f t="shared" ca="1" si="45"/>
        <v>1</v>
      </c>
      <c r="G393">
        <f t="shared" ca="1" si="46"/>
        <v>-1</v>
      </c>
      <c r="H393">
        <f ca="1">AVERAGE($G$2:G393)</f>
        <v>0.27040816326530615</v>
      </c>
      <c r="I393">
        <f ca="1">_xlfn.VAR.P($G$2:G393)</f>
        <v>16.442185547688464</v>
      </c>
      <c r="AE393">
        <f t="shared" si="48"/>
        <v>391</v>
      </c>
      <c r="AF393" s="66">
        <f t="shared" si="47"/>
        <v>1</v>
      </c>
    </row>
    <row r="394" spans="1:32" x14ac:dyDescent="0.3">
      <c r="A394">
        <f t="shared" ca="1" si="42"/>
        <v>0.62217615677024796</v>
      </c>
      <c r="B394">
        <f t="shared" ca="1" si="43"/>
        <v>2</v>
      </c>
      <c r="C394">
        <f ca="1">AVERAGE($B$2:B394)</f>
        <v>2.38676844783715</v>
      </c>
      <c r="D394">
        <f ca="1">_xlfn.VAR.P($B$2:B394)</f>
        <v>8.048883450200389</v>
      </c>
      <c r="E394">
        <f t="shared" ca="1" si="44"/>
        <v>1.5786447874383214E-2</v>
      </c>
      <c r="F394">
        <f t="shared" ca="1" si="45"/>
        <v>0</v>
      </c>
      <c r="G394">
        <f t="shared" ca="1" si="46"/>
        <v>2</v>
      </c>
      <c r="H394">
        <f ca="1">AVERAGE($G$2:G394)</f>
        <v>0.27480916030534353</v>
      </c>
      <c r="I394">
        <f ca="1">_xlfn.VAR.P($G$2:G394)</f>
        <v>16.407940485208709</v>
      </c>
      <c r="AE394">
        <f t="shared" si="48"/>
        <v>392</v>
      </c>
      <c r="AF394" s="66">
        <f t="shared" si="47"/>
        <v>1</v>
      </c>
    </row>
    <row r="395" spans="1:32" x14ac:dyDescent="0.3">
      <c r="A395">
        <f t="shared" ca="1" si="42"/>
        <v>5.2244396563150386E-2</v>
      </c>
      <c r="B395">
        <f t="shared" ca="1" si="43"/>
        <v>0</v>
      </c>
      <c r="C395">
        <f ca="1">AVERAGE($B$2:B395)</f>
        <v>2.3807106598984773</v>
      </c>
      <c r="D395">
        <f ca="1">_xlfn.VAR.P($B$2:B395)</f>
        <v>8.0428766523229154</v>
      </c>
      <c r="E395">
        <f t="shared" ca="1" si="44"/>
        <v>0.1622297163664026</v>
      </c>
      <c r="F395">
        <f t="shared" ca="1" si="45"/>
        <v>0</v>
      </c>
      <c r="G395">
        <f t="shared" ca="1" si="46"/>
        <v>0</v>
      </c>
      <c r="H395">
        <f ca="1">AVERAGE($G$2:G395)</f>
        <v>0.27411167512690354</v>
      </c>
      <c r="I395">
        <f ca="1">_xlfn.VAR.P($G$2:G395)</f>
        <v>16.366487155041355</v>
      </c>
      <c r="AE395">
        <f t="shared" si="48"/>
        <v>393</v>
      </c>
      <c r="AF395" s="66">
        <f t="shared" si="47"/>
        <v>1</v>
      </c>
    </row>
    <row r="396" spans="1:32" x14ac:dyDescent="0.3">
      <c r="A396">
        <f t="shared" ca="1" si="42"/>
        <v>0.33727524357303251</v>
      </c>
      <c r="B396">
        <f t="shared" ca="1" si="43"/>
        <v>1</v>
      </c>
      <c r="C396">
        <f ca="1">AVERAGE($B$2:B396)</f>
        <v>2.3772151898734175</v>
      </c>
      <c r="D396">
        <f ca="1">_xlfn.VAR.P($B$2:B396)</f>
        <v>8.0273289536933188</v>
      </c>
      <c r="E396">
        <f t="shared" ca="1" si="44"/>
        <v>6.2362260980842965E-2</v>
      </c>
      <c r="F396">
        <f t="shared" ca="1" si="45"/>
        <v>0</v>
      </c>
      <c r="G396">
        <f t="shared" ca="1" si="46"/>
        <v>1</v>
      </c>
      <c r="H396">
        <f ca="1">AVERAGE($G$2:G396)</f>
        <v>0.27594936708860762</v>
      </c>
      <c r="I396">
        <f ca="1">_xlfn.VAR.P($G$2:G396)</f>
        <v>16.326383592373016</v>
      </c>
      <c r="AE396">
        <f t="shared" si="48"/>
        <v>394</v>
      </c>
      <c r="AF396" s="66">
        <f t="shared" si="47"/>
        <v>1</v>
      </c>
    </row>
    <row r="397" spans="1:32" x14ac:dyDescent="0.3">
      <c r="A397">
        <f t="shared" ca="1" si="42"/>
        <v>0.28192692639910044</v>
      </c>
      <c r="B397">
        <f t="shared" ca="1" si="43"/>
        <v>0</v>
      </c>
      <c r="C397">
        <f ca="1">AVERAGE($B$2:B397)</f>
        <v>2.3712121212121211</v>
      </c>
      <c r="D397">
        <f ca="1">_xlfn.VAR.P($B$2:B397)</f>
        <v>8.0212924701561068</v>
      </c>
      <c r="E397">
        <f t="shared" ca="1" si="44"/>
        <v>0.23760568936144832</v>
      </c>
      <c r="F397">
        <f t="shared" ca="1" si="45"/>
        <v>0</v>
      </c>
      <c r="G397">
        <f t="shared" ca="1" si="46"/>
        <v>0</v>
      </c>
      <c r="H397">
        <f ca="1">AVERAGE($G$2:G397)</f>
        <v>0.27525252525252525</v>
      </c>
      <c r="I397">
        <f ca="1">_xlfn.VAR.P($G$2:G397)</f>
        <v>16.28534715845322</v>
      </c>
      <c r="AE397">
        <f t="shared" si="48"/>
        <v>395</v>
      </c>
      <c r="AF397" s="66">
        <f t="shared" si="47"/>
        <v>1</v>
      </c>
    </row>
    <row r="398" spans="1:32" x14ac:dyDescent="0.3">
      <c r="A398">
        <f t="shared" ca="1" si="42"/>
        <v>0.60305913376595466</v>
      </c>
      <c r="B398">
        <f t="shared" ca="1" si="43"/>
        <v>2</v>
      </c>
      <c r="C398">
        <f ca="1">AVERAGE($B$2:B398)</f>
        <v>2.3702770780856421</v>
      </c>
      <c r="D398">
        <f ca="1">_xlfn.VAR.P($B$2:B398)</f>
        <v>8.0014339282655182</v>
      </c>
      <c r="E398">
        <f t="shared" ca="1" si="44"/>
        <v>0.10106751792156599</v>
      </c>
      <c r="F398">
        <f t="shared" ca="1" si="45"/>
        <v>0</v>
      </c>
      <c r="G398">
        <f t="shared" ca="1" si="46"/>
        <v>2</v>
      </c>
      <c r="H398">
        <f ca="1">AVERAGE($G$2:G398)</f>
        <v>0.27959697732997479</v>
      </c>
      <c r="I398">
        <f ca="1">_xlfn.VAR.P($G$2:G398)</f>
        <v>16.251800341351064</v>
      </c>
      <c r="AE398">
        <f t="shared" si="48"/>
        <v>396</v>
      </c>
      <c r="AF398" s="66">
        <f t="shared" si="47"/>
        <v>1</v>
      </c>
    </row>
    <row r="399" spans="1:32" x14ac:dyDescent="0.3">
      <c r="A399">
        <f t="shared" ca="1" si="42"/>
        <v>0.27243258402536763</v>
      </c>
      <c r="B399">
        <f t="shared" ca="1" si="43"/>
        <v>0</v>
      </c>
      <c r="C399">
        <f ca="1">AVERAGE($B$2:B399)</f>
        <v>2.3643216080402012</v>
      </c>
      <c r="D399">
        <f ca="1">_xlfn.VAR.P($B$2:B399)</f>
        <v>7.9954104694325903</v>
      </c>
      <c r="E399">
        <f t="shared" ca="1" si="44"/>
        <v>0.42424760840131237</v>
      </c>
      <c r="F399">
        <f t="shared" ca="1" si="45"/>
        <v>1</v>
      </c>
      <c r="G399">
        <f t="shared" ca="1" si="46"/>
        <v>-1</v>
      </c>
      <c r="H399">
        <f ca="1">AVERAGE($G$2:G399)</f>
        <v>0.27638190954773867</v>
      </c>
      <c r="I399">
        <f ca="1">_xlfn.VAR.P($G$2:G399)</f>
        <v>16.215070326506908</v>
      </c>
      <c r="AE399">
        <f t="shared" si="48"/>
        <v>397</v>
      </c>
      <c r="AF399" s="66">
        <f t="shared" si="47"/>
        <v>1</v>
      </c>
    </row>
    <row r="400" spans="1:32" x14ac:dyDescent="0.3">
      <c r="A400">
        <f t="shared" ca="1" si="42"/>
        <v>0.23804506971496231</v>
      </c>
      <c r="B400">
        <f t="shared" ca="1" si="43"/>
        <v>0</v>
      </c>
      <c r="C400">
        <f ca="1">AVERAGE($B$2:B400)</f>
        <v>2.3583959899749374</v>
      </c>
      <c r="D400">
        <f ca="1">_xlfn.VAR.P($B$2:B400)</f>
        <v>7.9893468005854231</v>
      </c>
      <c r="E400">
        <f t="shared" ca="1" si="44"/>
        <v>0.26314386342856866</v>
      </c>
      <c r="F400">
        <f t="shared" ca="1" si="45"/>
        <v>0</v>
      </c>
      <c r="G400">
        <f t="shared" ca="1" si="46"/>
        <v>0</v>
      </c>
      <c r="H400">
        <f ca="1">AVERAGE($G$2:G400)</f>
        <v>0.27568922305764409</v>
      </c>
      <c r="I400">
        <f ca="1">_xlfn.VAR.P($G$2:G400)</f>
        <v>16.174622018705911</v>
      </c>
      <c r="AE400">
        <f t="shared" si="48"/>
        <v>398</v>
      </c>
      <c r="AF400" s="66">
        <f t="shared" si="47"/>
        <v>1</v>
      </c>
    </row>
    <row r="401" spans="1:32" x14ac:dyDescent="0.3">
      <c r="A401">
        <f t="shared" ca="1" si="42"/>
        <v>0.81400933269704079</v>
      </c>
      <c r="B401">
        <f t="shared" ca="1" si="43"/>
        <v>4</v>
      </c>
      <c r="C401">
        <f ca="1">AVERAGE($B$2:B401)</f>
        <v>2.3624999999999998</v>
      </c>
      <c r="D401">
        <f ca="1">_xlfn.VAR.P($B$2:B401)</f>
        <v>7.9760937500000004</v>
      </c>
      <c r="E401">
        <f t="shared" ca="1" si="44"/>
        <v>0.39342037220105741</v>
      </c>
      <c r="F401">
        <f t="shared" ca="1" si="45"/>
        <v>1</v>
      </c>
      <c r="G401">
        <f t="shared" ca="1" si="46"/>
        <v>3</v>
      </c>
      <c r="H401">
        <f ca="1">AVERAGE($G$2:G401)</f>
        <v>0.28249999999999997</v>
      </c>
      <c r="I401">
        <f ca="1">_xlfn.VAR.P($G$2:G401)</f>
        <v>16.152693750000001</v>
      </c>
      <c r="AE401">
        <f t="shared" si="48"/>
        <v>399</v>
      </c>
      <c r="AF401" s="66">
        <f t="shared" si="47"/>
        <v>1</v>
      </c>
    </row>
    <row r="402" spans="1:32" x14ac:dyDescent="0.3">
      <c r="A402">
        <f t="shared" ca="1" si="42"/>
        <v>0.27120927874241285</v>
      </c>
      <c r="B402">
        <f t="shared" ca="1" si="43"/>
        <v>0</v>
      </c>
      <c r="C402">
        <f ca="1">AVERAGE($B$2:B402)</f>
        <v>2.3566084788029924</v>
      </c>
      <c r="D402">
        <f ca="1">_xlfn.VAR.P($B$2:B402)</f>
        <v>7.9700872507011775</v>
      </c>
      <c r="E402">
        <f t="shared" ca="1" si="44"/>
        <v>0.18050671506320204</v>
      </c>
      <c r="F402">
        <f t="shared" ca="1" si="45"/>
        <v>0</v>
      </c>
      <c r="G402">
        <f t="shared" ca="1" si="46"/>
        <v>0</v>
      </c>
      <c r="H402">
        <f ca="1">AVERAGE($G$2:G402)</f>
        <v>0.28179551122194513</v>
      </c>
      <c r="I402">
        <f ca="1">_xlfn.VAR.P($G$2:G402)</f>
        <v>16.112611239979852</v>
      </c>
      <c r="AE402">
        <f t="shared" si="48"/>
        <v>400</v>
      </c>
      <c r="AF402" s="66">
        <f t="shared" si="47"/>
        <v>1</v>
      </c>
    </row>
    <row r="403" spans="1:32" x14ac:dyDescent="0.3">
      <c r="A403">
        <f t="shared" ca="1" si="42"/>
        <v>0.586585376154382</v>
      </c>
      <c r="B403">
        <f t="shared" ca="1" si="43"/>
        <v>2</v>
      </c>
      <c r="C403">
        <f ca="1">AVERAGE($B$2:B403)</f>
        <v>2.355721393034826</v>
      </c>
      <c r="D403">
        <f ca="1">_xlfn.VAR.P($B$2:B403)</f>
        <v>7.9505767183980591</v>
      </c>
      <c r="E403">
        <f t="shared" ca="1" si="44"/>
        <v>0.16148546849757084</v>
      </c>
      <c r="F403">
        <f t="shared" ca="1" si="45"/>
        <v>0</v>
      </c>
      <c r="G403">
        <f t="shared" ca="1" si="46"/>
        <v>2</v>
      </c>
      <c r="H403">
        <f ca="1">AVERAGE($G$2:G403)</f>
        <v>0.28606965174129351</v>
      </c>
      <c r="I403">
        <f ca="1">_xlfn.VAR.P($G$2:G403)</f>
        <v>16.079855696641172</v>
      </c>
      <c r="AE403">
        <f t="shared" si="48"/>
        <v>401</v>
      </c>
      <c r="AF403" s="66">
        <f t="shared" si="47"/>
        <v>1</v>
      </c>
    </row>
    <row r="404" spans="1:32" x14ac:dyDescent="0.3">
      <c r="A404">
        <f t="shared" ca="1" si="42"/>
        <v>0.67638160970704231</v>
      </c>
      <c r="B404">
        <f t="shared" ca="1" si="43"/>
        <v>3</v>
      </c>
      <c r="C404">
        <f ca="1">AVERAGE($B$2:B404)</f>
        <v>2.3573200992555829</v>
      </c>
      <c r="D404">
        <f ca="1">_xlfn.VAR.P($B$2:B404)</f>
        <v>7.9318756965439103</v>
      </c>
      <c r="E404">
        <f t="shared" ca="1" si="44"/>
        <v>2.7568645505444911E-2</v>
      </c>
      <c r="F404">
        <f t="shared" ca="1" si="45"/>
        <v>0</v>
      </c>
      <c r="G404">
        <f t="shared" ca="1" si="46"/>
        <v>3</v>
      </c>
      <c r="H404">
        <f ca="1">AVERAGE($G$2:G404)</f>
        <v>0.29280397022332505</v>
      </c>
      <c r="I404">
        <f ca="1">_xlfn.VAR.P($G$2:G404)</f>
        <v>16.058186430554958</v>
      </c>
      <c r="AE404">
        <f t="shared" si="48"/>
        <v>402</v>
      </c>
      <c r="AF404" s="66">
        <f t="shared" si="47"/>
        <v>1</v>
      </c>
    </row>
    <row r="405" spans="1:32" x14ac:dyDescent="0.3">
      <c r="A405">
        <f t="shared" ca="1" si="42"/>
        <v>0.46207712969120207</v>
      </c>
      <c r="B405">
        <f t="shared" ca="1" si="43"/>
        <v>1</v>
      </c>
      <c r="C405">
        <f ca="1">AVERAGE($B$2:B405)</f>
        <v>2.3539603960396041</v>
      </c>
      <c r="D405">
        <f ca="1">_xlfn.VAR.P($B$2:B405)</f>
        <v>7.9167912459562784</v>
      </c>
      <c r="E405">
        <f t="shared" ca="1" si="44"/>
        <v>0.23886674069925462</v>
      </c>
      <c r="F405">
        <f t="shared" ca="1" si="45"/>
        <v>0</v>
      </c>
      <c r="G405">
        <f t="shared" ca="1" si="46"/>
        <v>1</v>
      </c>
      <c r="H405">
        <f ca="1">AVERAGE($G$2:G405)</f>
        <v>0.29455445544554454</v>
      </c>
      <c r="I405">
        <f ca="1">_xlfn.VAR.P($G$2:G405)</f>
        <v>16.019673316341535</v>
      </c>
      <c r="AE405">
        <f t="shared" si="48"/>
        <v>403</v>
      </c>
      <c r="AF405" s="66">
        <f t="shared" si="47"/>
        <v>1</v>
      </c>
    </row>
    <row r="406" spans="1:32" x14ac:dyDescent="0.3">
      <c r="A406">
        <f t="shared" ca="1" si="42"/>
        <v>0.50052124800667108</v>
      </c>
      <c r="B406">
        <f t="shared" ca="1" si="43"/>
        <v>1</v>
      </c>
      <c r="C406">
        <f ca="1">AVERAGE($B$2:B406)</f>
        <v>2.3506172839506174</v>
      </c>
      <c r="D406">
        <f ca="1">_xlfn.VAR.P($B$2:B406)</f>
        <v>7.9017588782197832</v>
      </c>
      <c r="E406">
        <f t="shared" ca="1" si="44"/>
        <v>0.32439742452776832</v>
      </c>
      <c r="F406">
        <f t="shared" ca="1" si="45"/>
        <v>1</v>
      </c>
      <c r="G406">
        <f t="shared" ca="1" si="46"/>
        <v>0</v>
      </c>
      <c r="H406">
        <f ca="1">AVERAGE($G$2:G406)</f>
        <v>0.29382716049382718</v>
      </c>
      <c r="I406">
        <f ca="1">_xlfn.VAR.P($G$2:G406)</f>
        <v>15.980332266422801</v>
      </c>
      <c r="AE406">
        <f t="shared" si="48"/>
        <v>404</v>
      </c>
      <c r="AF406" s="66">
        <f t="shared" si="47"/>
        <v>1</v>
      </c>
    </row>
    <row r="407" spans="1:32" x14ac:dyDescent="0.3">
      <c r="A407">
        <f t="shared" ca="1" si="42"/>
        <v>0.33402923389108585</v>
      </c>
      <c r="B407">
        <f t="shared" ca="1" si="43"/>
        <v>1</v>
      </c>
      <c r="C407">
        <f ca="1">AVERAGE($B$2:B407)</f>
        <v>2.3472906403940885</v>
      </c>
      <c r="D407">
        <f ca="1">_xlfn.VAR.P($B$2:B407)</f>
        <v>7.8867783736562398</v>
      </c>
      <c r="E407">
        <f t="shared" ca="1" si="44"/>
        <v>0.75919444931062818</v>
      </c>
      <c r="F407">
        <f t="shared" ca="1" si="45"/>
        <v>3</v>
      </c>
      <c r="G407">
        <f t="shared" ca="1" si="46"/>
        <v>-2</v>
      </c>
      <c r="H407">
        <f ca="1">AVERAGE($G$2:G407)</f>
        <v>0.28817733990147781</v>
      </c>
      <c r="I407">
        <f ca="1">_xlfn.VAR.P($G$2:G407)</f>
        <v>15.95389963357519</v>
      </c>
      <c r="AE407">
        <f t="shared" si="48"/>
        <v>405</v>
      </c>
      <c r="AF407" s="66">
        <f t="shared" si="47"/>
        <v>1</v>
      </c>
    </row>
    <row r="408" spans="1:32" x14ac:dyDescent="0.3">
      <c r="A408">
        <f t="shared" ca="1" si="42"/>
        <v>0.6811668717840228</v>
      </c>
      <c r="B408">
        <f t="shared" ca="1" si="43"/>
        <v>3</v>
      </c>
      <c r="C408">
        <f ca="1">AVERAGE($B$2:B408)</f>
        <v>2.348894348894349</v>
      </c>
      <c r="D408">
        <f ca="1">_xlfn.VAR.P($B$2:B408)</f>
        <v>7.8684447234815789</v>
      </c>
      <c r="E408">
        <f t="shared" ca="1" si="44"/>
        <v>0.25762214459470478</v>
      </c>
      <c r="F408">
        <f t="shared" ca="1" si="45"/>
        <v>0</v>
      </c>
      <c r="G408">
        <f t="shared" ca="1" si="46"/>
        <v>3</v>
      </c>
      <c r="H408">
        <f ca="1">AVERAGE($G$2:G408)</f>
        <v>0.29484029484029484</v>
      </c>
      <c r="I408">
        <f ca="1">_xlfn.VAR.P($G$2:G408)</f>
        <v>15.932725220194508</v>
      </c>
      <c r="AE408">
        <f t="shared" si="48"/>
        <v>406</v>
      </c>
      <c r="AF408" s="66">
        <f t="shared" si="47"/>
        <v>1</v>
      </c>
    </row>
    <row r="409" spans="1:32" x14ac:dyDescent="0.3">
      <c r="A409">
        <f t="shared" ca="1" si="42"/>
        <v>0.79982069378664722</v>
      </c>
      <c r="B409">
        <f t="shared" ca="1" si="43"/>
        <v>4</v>
      </c>
      <c r="C409">
        <f ca="1">AVERAGE($B$2:B409)</f>
        <v>2.3529411764705883</v>
      </c>
      <c r="D409">
        <f ca="1">_xlfn.VAR.P($B$2:B409)</f>
        <v>7.8558246828143021</v>
      </c>
      <c r="E409">
        <f t="shared" ca="1" si="44"/>
        <v>0.27739012875419056</v>
      </c>
      <c r="F409">
        <f t="shared" ca="1" si="45"/>
        <v>0</v>
      </c>
      <c r="G409">
        <f t="shared" ca="1" si="46"/>
        <v>4</v>
      </c>
      <c r="H409">
        <f ca="1">AVERAGE($G$2:G409)</f>
        <v>0.30392156862745096</v>
      </c>
      <c r="I409">
        <f ca="1">_xlfn.VAR.P($G$2:G409)</f>
        <v>15.927239523260285</v>
      </c>
      <c r="AE409">
        <f t="shared" si="48"/>
        <v>407</v>
      </c>
      <c r="AF409" s="66">
        <f t="shared" si="47"/>
        <v>1</v>
      </c>
    </row>
    <row r="410" spans="1:32" x14ac:dyDescent="0.3">
      <c r="A410">
        <f t="shared" ca="1" si="42"/>
        <v>0.28039933716558407</v>
      </c>
      <c r="B410">
        <f t="shared" ca="1" si="43"/>
        <v>0</v>
      </c>
      <c r="C410">
        <f ca="1">AVERAGE($B$2:B410)</f>
        <v>2.3471882640586799</v>
      </c>
      <c r="D410">
        <f ca="1">_xlfn.VAR.P($B$2:B410)</f>
        <v>7.8501204559991873</v>
      </c>
      <c r="E410">
        <f t="shared" ca="1" si="44"/>
        <v>0.53258491079456494</v>
      </c>
      <c r="F410">
        <f t="shared" ca="1" si="45"/>
        <v>2</v>
      </c>
      <c r="G410">
        <f t="shared" ca="1" si="46"/>
        <v>-2</v>
      </c>
      <c r="H410">
        <f ca="1">AVERAGE($G$2:G410)</f>
        <v>0.2982885085574572</v>
      </c>
      <c r="I410">
        <f ca="1">_xlfn.VAR.P($G$2:G410)</f>
        <v>15.901244014562323</v>
      </c>
      <c r="AE410">
        <f t="shared" si="48"/>
        <v>408</v>
      </c>
      <c r="AF410" s="66">
        <f t="shared" si="47"/>
        <v>1</v>
      </c>
    </row>
    <row r="411" spans="1:32" x14ac:dyDescent="0.3">
      <c r="A411">
        <f t="shared" ca="1" si="42"/>
        <v>0.47970516535525531</v>
      </c>
      <c r="B411">
        <f t="shared" ca="1" si="43"/>
        <v>1</v>
      </c>
      <c r="C411">
        <f ca="1">AVERAGE($B$2:B411)</f>
        <v>2.3439024390243901</v>
      </c>
      <c r="D411">
        <f ca="1">_xlfn.VAR.P($B$2:B411)</f>
        <v>7.8353896490184418</v>
      </c>
      <c r="E411">
        <f t="shared" ca="1" si="44"/>
        <v>0.49371935758023933</v>
      </c>
      <c r="F411">
        <f t="shared" ca="1" si="45"/>
        <v>1</v>
      </c>
      <c r="G411">
        <f t="shared" ca="1" si="46"/>
        <v>0</v>
      </c>
      <c r="H411">
        <f ca="1">AVERAGE($G$2:G411)</f>
        <v>0.29756097560975608</v>
      </c>
      <c r="I411">
        <f ca="1">_xlfn.VAR.P($G$2:G411)</f>
        <v>15.862676977989292</v>
      </c>
      <c r="AE411">
        <f t="shared" si="48"/>
        <v>409</v>
      </c>
      <c r="AF411" s="66">
        <f t="shared" si="47"/>
        <v>1</v>
      </c>
    </row>
    <row r="412" spans="1:32" x14ac:dyDescent="0.3">
      <c r="A412">
        <f t="shared" ca="1" si="42"/>
        <v>0.53500960030554845</v>
      </c>
      <c r="B412">
        <f t="shared" ca="1" si="43"/>
        <v>2</v>
      </c>
      <c r="C412">
        <f ca="1">AVERAGE($B$2:B412)</f>
        <v>2.3430656934306571</v>
      </c>
      <c r="D412">
        <f ca="1">_xlfn.VAR.P($B$2:B412)</f>
        <v>7.816612499334008</v>
      </c>
      <c r="E412">
        <f t="shared" ca="1" si="44"/>
        <v>0.952247968051814</v>
      </c>
      <c r="F412">
        <f t="shared" ca="1" si="45"/>
        <v>8</v>
      </c>
      <c r="G412">
        <f t="shared" ca="1" si="46"/>
        <v>-6</v>
      </c>
      <c r="H412">
        <f ca="1">AVERAGE($G$2:G412)</f>
        <v>0.28223844282238442</v>
      </c>
      <c r="I412">
        <f ca="1">_xlfn.VAR.P($G$2:G412)</f>
        <v>15.920341461393196</v>
      </c>
      <c r="AE412">
        <f t="shared" si="48"/>
        <v>410</v>
      </c>
      <c r="AF412" s="66">
        <f t="shared" si="47"/>
        <v>1</v>
      </c>
    </row>
    <row r="413" spans="1:32" x14ac:dyDescent="0.3">
      <c r="A413">
        <f t="shared" ca="1" si="42"/>
        <v>0.77410869927192483</v>
      </c>
      <c r="B413">
        <f t="shared" ca="1" si="43"/>
        <v>4</v>
      </c>
      <c r="C413">
        <f ca="1">AVERAGE($B$2:B413)</f>
        <v>2.3470873786407767</v>
      </c>
      <c r="D413">
        <f ca="1">_xlfn.VAR.P($B$2:B413)</f>
        <v>7.804287633141672</v>
      </c>
      <c r="E413">
        <f t="shared" ca="1" si="44"/>
        <v>1.719679952732811E-2</v>
      </c>
      <c r="F413">
        <f t="shared" ca="1" si="45"/>
        <v>0</v>
      </c>
      <c r="G413">
        <f t="shared" ca="1" si="46"/>
        <v>4</v>
      </c>
      <c r="H413">
        <f ca="1">AVERAGE($G$2:G413)</f>
        <v>0.29126213592233008</v>
      </c>
      <c r="I413">
        <f ca="1">_xlfn.VAR.P($G$2:G413)</f>
        <v>15.915166368177962</v>
      </c>
      <c r="AE413">
        <f t="shared" si="48"/>
        <v>411</v>
      </c>
      <c r="AF413" s="66">
        <f t="shared" si="47"/>
        <v>1</v>
      </c>
    </row>
    <row r="414" spans="1:32" x14ac:dyDescent="0.3">
      <c r="A414">
        <f t="shared" ca="1" si="42"/>
        <v>0.53655585545851225</v>
      </c>
      <c r="B414">
        <f t="shared" ca="1" si="43"/>
        <v>2</v>
      </c>
      <c r="C414">
        <f ca="1">AVERAGE($B$2:B414)</f>
        <v>2.3462469733656173</v>
      </c>
      <c r="D414">
        <f ca="1">_xlfn.VAR.P($B$2:B414)</f>
        <v>7.7856820406990721</v>
      </c>
      <c r="E414">
        <f t="shared" ca="1" si="44"/>
        <v>0.17270335438868689</v>
      </c>
      <c r="F414">
        <f t="shared" ca="1" si="45"/>
        <v>0</v>
      </c>
      <c r="G414">
        <f t="shared" ca="1" si="46"/>
        <v>2</v>
      </c>
      <c r="H414">
        <f ca="1">AVERAGE($G$2:G414)</f>
        <v>0.29539951573849876</v>
      </c>
      <c r="I414">
        <f ca="1">_xlfn.VAR.P($G$2:G414)</f>
        <v>15.883683436028821</v>
      </c>
      <c r="AE414">
        <f t="shared" si="48"/>
        <v>412</v>
      </c>
      <c r="AF414" s="66">
        <f t="shared" si="47"/>
        <v>1</v>
      </c>
    </row>
    <row r="415" spans="1:32" x14ac:dyDescent="0.3">
      <c r="A415">
        <f t="shared" ca="1" si="42"/>
        <v>0.67546251535664958</v>
      </c>
      <c r="B415">
        <f t="shared" ca="1" si="43"/>
        <v>3</v>
      </c>
      <c r="C415">
        <f ca="1">AVERAGE($B$2:B415)</f>
        <v>2.347826086956522</v>
      </c>
      <c r="D415">
        <f ca="1">_xlfn.VAR.P($B$2:B415)</f>
        <v>7.7679059021214032</v>
      </c>
      <c r="E415">
        <f t="shared" ca="1" si="44"/>
        <v>0.57928160877107382</v>
      </c>
      <c r="F415">
        <f t="shared" ca="1" si="45"/>
        <v>2</v>
      </c>
      <c r="G415">
        <f t="shared" ca="1" si="46"/>
        <v>1</v>
      </c>
      <c r="H415">
        <f ca="1">AVERAGE($G$2:G415)</f>
        <v>0.29710144927536231</v>
      </c>
      <c r="I415">
        <f ca="1">_xlfn.VAR.P($G$2:G415)</f>
        <v>15.846513337534132</v>
      </c>
      <c r="AE415">
        <f t="shared" si="48"/>
        <v>413</v>
      </c>
      <c r="AF415" s="66">
        <f t="shared" si="47"/>
        <v>1</v>
      </c>
    </row>
    <row r="416" spans="1:32" x14ac:dyDescent="0.3">
      <c r="A416">
        <f t="shared" ca="1" si="42"/>
        <v>0.7787879966136424</v>
      </c>
      <c r="B416">
        <f t="shared" ca="1" si="43"/>
        <v>4</v>
      </c>
      <c r="C416">
        <f ca="1">AVERAGE($B$2:B416)</f>
        <v>2.3518072289156629</v>
      </c>
      <c r="D416">
        <f ca="1">_xlfn.VAR.P($B$2:B416)</f>
        <v>7.7557497459718387</v>
      </c>
      <c r="E416">
        <f t="shared" ca="1" si="44"/>
        <v>0.49986827779650322</v>
      </c>
      <c r="F416">
        <f t="shared" ca="1" si="45"/>
        <v>1</v>
      </c>
      <c r="G416">
        <f t="shared" ca="1" si="46"/>
        <v>3</v>
      </c>
      <c r="H416">
        <f ca="1">AVERAGE($G$2:G416)</f>
        <v>0.30361445783132529</v>
      </c>
      <c r="I416">
        <f ca="1">_xlfn.VAR.P($G$2:G416)</f>
        <v>15.825890550152417</v>
      </c>
      <c r="AE416">
        <f t="shared" si="48"/>
        <v>414</v>
      </c>
      <c r="AF416" s="66">
        <f t="shared" si="47"/>
        <v>1</v>
      </c>
    </row>
    <row r="417" spans="1:32" x14ac:dyDescent="0.3">
      <c r="A417">
        <f t="shared" ca="1" si="42"/>
        <v>4.7635216367094446E-2</v>
      </c>
      <c r="B417">
        <f t="shared" ca="1" si="43"/>
        <v>0</v>
      </c>
      <c r="C417">
        <f ca="1">AVERAGE($B$2:B417)</f>
        <v>2.3461538461538463</v>
      </c>
      <c r="D417">
        <f ca="1">_xlfn.VAR.P($B$2:B417)</f>
        <v>7.7503698224852071</v>
      </c>
      <c r="E417">
        <f t="shared" ca="1" si="44"/>
        <v>0.83472886001219426</v>
      </c>
      <c r="F417">
        <f t="shared" ca="1" si="45"/>
        <v>5</v>
      </c>
      <c r="G417">
        <f t="shared" ca="1" si="46"/>
        <v>-5</v>
      </c>
      <c r="H417">
        <f ca="1">AVERAGE($G$2:G417)</f>
        <v>0.29086538461538464</v>
      </c>
      <c r="I417">
        <f ca="1">_xlfn.VAR.P($G$2:G417)</f>
        <v>15.855301174186391</v>
      </c>
      <c r="AE417">
        <f t="shared" si="48"/>
        <v>415</v>
      </c>
      <c r="AF417" s="66">
        <f t="shared" si="47"/>
        <v>1</v>
      </c>
    </row>
    <row r="418" spans="1:32" x14ac:dyDescent="0.3">
      <c r="A418">
        <f t="shared" ca="1" si="42"/>
        <v>0.80196929706514375</v>
      </c>
      <c r="B418">
        <f t="shared" ca="1" si="43"/>
        <v>4</v>
      </c>
      <c r="C418">
        <f ca="1">AVERAGE($B$2:B418)</f>
        <v>2.3501199040767387</v>
      </c>
      <c r="D418">
        <f ca="1">_xlfn.VAR.P($B$2:B418)</f>
        <v>7.7383273237525092</v>
      </c>
      <c r="E418">
        <f t="shared" ca="1" si="44"/>
        <v>0.74096605924526637</v>
      </c>
      <c r="F418">
        <f t="shared" ca="1" si="45"/>
        <v>3</v>
      </c>
      <c r="G418">
        <f t="shared" ca="1" si="46"/>
        <v>1</v>
      </c>
      <c r="H418">
        <f ca="1">AVERAGE($G$2:G418)</f>
        <v>0.29256594724220625</v>
      </c>
      <c r="I418">
        <f ca="1">_xlfn.VAR.P($G$2:G418)</f>
        <v>15.818481905123383</v>
      </c>
      <c r="AE418">
        <f t="shared" si="48"/>
        <v>416</v>
      </c>
      <c r="AF418" s="66">
        <f t="shared" si="47"/>
        <v>1</v>
      </c>
    </row>
    <row r="419" spans="1:32" x14ac:dyDescent="0.3">
      <c r="A419">
        <f t="shared" ca="1" si="42"/>
        <v>0.79733937210424866</v>
      </c>
      <c r="B419">
        <f t="shared" ca="1" si="43"/>
        <v>4</v>
      </c>
      <c r="C419">
        <f ca="1">AVERAGE($B$2:B419)</f>
        <v>2.3540669856459329</v>
      </c>
      <c r="D419">
        <f ca="1">_xlfn.VAR.P($B$2:B419)</f>
        <v>7.726311210823928</v>
      </c>
      <c r="E419">
        <f t="shared" ca="1" si="44"/>
        <v>0.18944442856547405</v>
      </c>
      <c r="F419">
        <f t="shared" ca="1" si="45"/>
        <v>0</v>
      </c>
      <c r="G419">
        <f t="shared" ca="1" si="46"/>
        <v>4</v>
      </c>
      <c r="H419">
        <f ca="1">AVERAGE($G$2:G419)</f>
        <v>0.30143540669856461</v>
      </c>
      <c r="I419">
        <f ca="1">_xlfn.VAR.P($G$2:G419)</f>
        <v>15.813442915684165</v>
      </c>
      <c r="AE419">
        <f t="shared" si="48"/>
        <v>417</v>
      </c>
      <c r="AF419" s="66">
        <f t="shared" si="47"/>
        <v>1</v>
      </c>
    </row>
    <row r="420" spans="1:32" x14ac:dyDescent="0.3">
      <c r="A420">
        <f t="shared" ca="1" si="42"/>
        <v>0.8478612639273998</v>
      </c>
      <c r="B420">
        <f t="shared" ca="1" si="43"/>
        <v>5</v>
      </c>
      <c r="C420">
        <f ca="1">AVERAGE($B$2:B420)</f>
        <v>2.360381861575179</v>
      </c>
      <c r="D420">
        <f ca="1">_xlfn.VAR.P($B$2:B420)</f>
        <v>7.7245401883106153</v>
      </c>
      <c r="E420">
        <f t="shared" ca="1" si="44"/>
        <v>0.88019481542559141</v>
      </c>
      <c r="F420">
        <f t="shared" ca="1" si="45"/>
        <v>5</v>
      </c>
      <c r="G420">
        <f t="shared" ca="1" si="46"/>
        <v>0</v>
      </c>
      <c r="H420">
        <f ca="1">AVERAGE($G$2:G420)</f>
        <v>0.30071599045346065</v>
      </c>
      <c r="I420">
        <f ca="1">_xlfn.VAR.P($G$2:G420)</f>
        <v>15.775918341772945</v>
      </c>
      <c r="AE420">
        <f t="shared" si="48"/>
        <v>418</v>
      </c>
      <c r="AF420" s="66">
        <f t="shared" si="47"/>
        <v>1</v>
      </c>
    </row>
    <row r="421" spans="1:32" x14ac:dyDescent="0.3">
      <c r="A421">
        <f t="shared" ca="1" si="42"/>
        <v>0.9649983807297885</v>
      </c>
      <c r="B421">
        <f t="shared" ca="1" si="43"/>
        <v>9</v>
      </c>
      <c r="C421">
        <f ca="1">AVERAGE($B$2:B421)</f>
        <v>2.3761904761904762</v>
      </c>
      <c r="D421">
        <f ca="1">_xlfn.VAR.P($B$2:B421)</f>
        <v>7.8108616780045352</v>
      </c>
      <c r="E421">
        <f t="shared" ca="1" si="44"/>
        <v>0.15311872878041188</v>
      </c>
      <c r="F421">
        <f t="shared" ca="1" si="45"/>
        <v>0</v>
      </c>
      <c r="G421">
        <f t="shared" ca="1" si="46"/>
        <v>9</v>
      </c>
      <c r="H421">
        <f ca="1">AVERAGE($G$2:G421)</f>
        <v>0.32142857142857145</v>
      </c>
      <c r="I421">
        <f ca="1">_xlfn.VAR.P($G$2:G421)</f>
        <v>15.918112244897959</v>
      </c>
      <c r="AE421">
        <f t="shared" si="48"/>
        <v>419</v>
      </c>
      <c r="AF421" s="66">
        <f t="shared" si="47"/>
        <v>1</v>
      </c>
    </row>
    <row r="422" spans="1:32" x14ac:dyDescent="0.3">
      <c r="A422">
        <f t="shared" ca="1" si="42"/>
        <v>0.87267792887065743</v>
      </c>
      <c r="B422">
        <f t="shared" ca="1" si="43"/>
        <v>5</v>
      </c>
      <c r="C422">
        <f ca="1">AVERAGE($B$2:B422)</f>
        <v>2.3824228028503565</v>
      </c>
      <c r="D422">
        <f ca="1">_xlfn.VAR.P($B$2:B422)</f>
        <v>7.8086221585299116</v>
      </c>
      <c r="E422">
        <f t="shared" ca="1" si="44"/>
        <v>0.58409519799759735</v>
      </c>
      <c r="F422">
        <f t="shared" ca="1" si="45"/>
        <v>2</v>
      </c>
      <c r="G422">
        <f t="shared" ca="1" si="46"/>
        <v>3</v>
      </c>
      <c r="H422">
        <f ca="1">AVERAGE($G$2:G422)</f>
        <v>0.32779097387173395</v>
      </c>
      <c r="I422">
        <f ca="1">_xlfn.VAR.P($G$2:G422)</f>
        <v>15.897303671272448</v>
      </c>
      <c r="AE422">
        <f t="shared" si="48"/>
        <v>420</v>
      </c>
      <c r="AF422" s="66">
        <f t="shared" si="47"/>
        <v>1</v>
      </c>
    </row>
    <row r="423" spans="1:32" x14ac:dyDescent="0.3">
      <c r="A423">
        <f t="shared" ca="1" si="42"/>
        <v>0.42751901080054067</v>
      </c>
      <c r="B423">
        <f t="shared" ca="1" si="43"/>
        <v>1</v>
      </c>
      <c r="C423">
        <f ca="1">AVERAGE($B$2:B423)</f>
        <v>2.3791469194312795</v>
      </c>
      <c r="D423">
        <f ca="1">_xlfn.VAR.P($B$2:B423)</f>
        <v>7.794636239078188</v>
      </c>
      <c r="E423">
        <f t="shared" ca="1" si="44"/>
        <v>0.99476109871805862</v>
      </c>
      <c r="F423">
        <f t="shared" ca="1" si="45"/>
        <v>14</v>
      </c>
      <c r="G423">
        <f t="shared" ca="1" si="46"/>
        <v>-13</v>
      </c>
      <c r="H423">
        <f ca="1">AVERAGE($G$2:G423)</f>
        <v>0.29620853080568721</v>
      </c>
      <c r="I423">
        <f ca="1">_xlfn.VAR.P($G$2:G423)</f>
        <v>16.27955908447699</v>
      </c>
      <c r="AE423">
        <f t="shared" si="48"/>
        <v>421</v>
      </c>
      <c r="AF423" s="66">
        <f t="shared" si="47"/>
        <v>1</v>
      </c>
    </row>
    <row r="424" spans="1:32" x14ac:dyDescent="0.3">
      <c r="A424">
        <f t="shared" ca="1" si="42"/>
        <v>0.60323395188315965</v>
      </c>
      <c r="B424">
        <f t="shared" ca="1" si="43"/>
        <v>2</v>
      </c>
      <c r="C424">
        <f ca="1">AVERAGE($B$2:B424)</f>
        <v>2.3782505910165486</v>
      </c>
      <c r="D424">
        <f ca="1">_xlfn.VAR.P($B$2:B424)</f>
        <v>7.7765482398046153</v>
      </c>
      <c r="E424">
        <f t="shared" ca="1" si="44"/>
        <v>0.28023318384224016</v>
      </c>
      <c r="F424">
        <f t="shared" ca="1" si="45"/>
        <v>0</v>
      </c>
      <c r="G424">
        <f t="shared" ca="1" si="46"/>
        <v>2</v>
      </c>
      <c r="H424">
        <f ca="1">AVERAGE($G$2:G424)</f>
        <v>0.30023640661938533</v>
      </c>
      <c r="I424">
        <f ca="1">_xlfn.VAR.P($G$2:G424)</f>
        <v>16.24791956586132</v>
      </c>
      <c r="AE424">
        <f t="shared" si="48"/>
        <v>422</v>
      </c>
      <c r="AF424" s="66">
        <f t="shared" si="47"/>
        <v>1</v>
      </c>
    </row>
    <row r="425" spans="1:32" x14ac:dyDescent="0.3">
      <c r="A425">
        <f t="shared" ca="1" si="42"/>
        <v>0.1403925224247663</v>
      </c>
      <c r="B425">
        <f t="shared" ca="1" si="43"/>
        <v>0</v>
      </c>
      <c r="C425">
        <f ca="1">AVERAGE($B$2:B425)</f>
        <v>2.3726415094339623</v>
      </c>
      <c r="D425">
        <f ca="1">_xlfn.VAR.P($B$2:B425)</f>
        <v>7.7715156639373442</v>
      </c>
      <c r="E425">
        <f t="shared" ca="1" si="44"/>
        <v>0.30894509354661126</v>
      </c>
      <c r="F425">
        <f t="shared" ca="1" si="45"/>
        <v>1</v>
      </c>
      <c r="G425">
        <f t="shared" ca="1" si="46"/>
        <v>-1</v>
      </c>
      <c r="H425">
        <f ca="1">AVERAGE($G$2:G425)</f>
        <v>0.29716981132075471</v>
      </c>
      <c r="I425">
        <f ca="1">_xlfn.VAR.P($G$2:G425)</f>
        <v>16.213576895692416</v>
      </c>
      <c r="AE425">
        <f t="shared" si="48"/>
        <v>423</v>
      </c>
      <c r="AF425" s="66">
        <f t="shared" si="47"/>
        <v>1</v>
      </c>
    </row>
    <row r="426" spans="1:32" x14ac:dyDescent="0.3">
      <c r="A426">
        <f t="shared" ca="1" si="42"/>
        <v>0.26671237987540608</v>
      </c>
      <c r="B426">
        <f t="shared" ca="1" si="43"/>
        <v>0</v>
      </c>
      <c r="C426">
        <f ca="1">AVERAGE($B$2:B426)</f>
        <v>2.3670588235294119</v>
      </c>
      <c r="D426">
        <f ca="1">_xlfn.VAR.P($B$2:B426)</f>
        <v>7.7664442906574394</v>
      </c>
      <c r="E426">
        <f t="shared" ca="1" si="44"/>
        <v>0.74219245155855829</v>
      </c>
      <c r="F426">
        <f t="shared" ca="1" si="45"/>
        <v>3</v>
      </c>
      <c r="G426">
        <f t="shared" ca="1" si="46"/>
        <v>-3</v>
      </c>
      <c r="H426">
        <f ca="1">AVERAGE($G$2:G426)</f>
        <v>0.28941176470588237</v>
      </c>
      <c r="I426">
        <f ca="1">_xlfn.VAR.P($G$2:G426)</f>
        <v>16.200946712802768</v>
      </c>
      <c r="AE426">
        <f t="shared" si="48"/>
        <v>424</v>
      </c>
      <c r="AF426" s="66">
        <f t="shared" si="47"/>
        <v>1</v>
      </c>
    </row>
    <row r="427" spans="1:32" x14ac:dyDescent="0.3">
      <c r="A427">
        <f t="shared" ca="1" si="42"/>
        <v>0.17513306328892042</v>
      </c>
      <c r="B427">
        <f t="shared" ca="1" si="43"/>
        <v>0</v>
      </c>
      <c r="C427">
        <f ca="1">AVERAGE($B$2:B427)</f>
        <v>2.3615023474178405</v>
      </c>
      <c r="D427">
        <f ca="1">_xlfn.VAR.P($B$2:B427)</f>
        <v>7.7613348321541142</v>
      </c>
      <c r="E427">
        <f t="shared" ca="1" si="44"/>
        <v>0.10142218910811418</v>
      </c>
      <c r="F427">
        <f t="shared" ca="1" si="45"/>
        <v>0</v>
      </c>
      <c r="G427">
        <f t="shared" ca="1" si="46"/>
        <v>0</v>
      </c>
      <c r="H427">
        <f ca="1">AVERAGE($G$2:G427)</f>
        <v>0.28873239436619719</v>
      </c>
      <c r="I427">
        <f ca="1">_xlfn.VAR.P($G$2:G427)</f>
        <v>16.163112477683001</v>
      </c>
      <c r="AE427">
        <f t="shared" si="48"/>
        <v>425</v>
      </c>
      <c r="AF427" s="66">
        <f t="shared" si="47"/>
        <v>1</v>
      </c>
    </row>
    <row r="428" spans="1:32" x14ac:dyDescent="0.3">
      <c r="A428">
        <f t="shared" ca="1" si="42"/>
        <v>0.91369969145294361</v>
      </c>
      <c r="B428">
        <f t="shared" ca="1" si="43"/>
        <v>6</v>
      </c>
      <c r="C428">
        <f ca="1">AVERAGE($B$2:B428)</f>
        <v>2.370023419203747</v>
      </c>
      <c r="D428">
        <f ca="1">_xlfn.VAR.P($B$2:B428)</f>
        <v>7.7740896950018925</v>
      </c>
      <c r="E428">
        <f t="shared" ca="1" si="44"/>
        <v>0.15887664840915661</v>
      </c>
      <c r="F428">
        <f t="shared" ca="1" si="45"/>
        <v>0</v>
      </c>
      <c r="G428">
        <f t="shared" ca="1" si="46"/>
        <v>6</v>
      </c>
      <c r="H428">
        <f ca="1">AVERAGE($G$2:G428)</f>
        <v>0.30210772833723654</v>
      </c>
      <c r="I428">
        <f ca="1">_xlfn.VAR.P($G$2:G428)</f>
        <v>16.201470967317324</v>
      </c>
      <c r="AE428">
        <f t="shared" si="48"/>
        <v>426</v>
      </c>
      <c r="AF428" s="66">
        <f t="shared" si="47"/>
        <v>1</v>
      </c>
    </row>
    <row r="429" spans="1:32" x14ac:dyDescent="0.3">
      <c r="A429">
        <f t="shared" ca="1" si="42"/>
        <v>9.6635015681155179E-2</v>
      </c>
      <c r="B429">
        <f t="shared" ca="1" si="43"/>
        <v>0</v>
      </c>
      <c r="C429">
        <f ca="1">AVERAGE($B$2:B429)</f>
        <v>2.3644859813084111</v>
      </c>
      <c r="D429">
        <f ca="1">_xlfn.VAR.P($B$2:B429)</f>
        <v>7.7690191283081491</v>
      </c>
      <c r="E429">
        <f t="shared" ca="1" si="44"/>
        <v>9.6165810204892122E-2</v>
      </c>
      <c r="F429">
        <f t="shared" ca="1" si="45"/>
        <v>0</v>
      </c>
      <c r="G429">
        <f t="shared" ca="1" si="46"/>
        <v>0</v>
      </c>
      <c r="H429">
        <f ca="1">AVERAGE($G$2:G429)</f>
        <v>0.30140186915887851</v>
      </c>
      <c r="I429">
        <f ca="1">_xlfn.VAR.P($G$2:G429)</f>
        <v>16.163829810463795</v>
      </c>
      <c r="AE429">
        <f t="shared" si="48"/>
        <v>427</v>
      </c>
      <c r="AF429" s="66">
        <f t="shared" si="47"/>
        <v>1</v>
      </c>
    </row>
    <row r="430" spans="1:32" x14ac:dyDescent="0.3">
      <c r="A430">
        <f t="shared" ca="1" si="42"/>
        <v>0.8931606291715507</v>
      </c>
      <c r="B430">
        <f t="shared" ca="1" si="43"/>
        <v>6</v>
      </c>
      <c r="C430">
        <f ca="1">AVERAGE($B$2:B430)</f>
        <v>2.3729603729603728</v>
      </c>
      <c r="D430">
        <f ca="1">_xlfn.VAR.P($B$2:B430)</f>
        <v>7.7816464809471801</v>
      </c>
      <c r="E430">
        <f t="shared" ca="1" si="44"/>
        <v>0.11876988567862112</v>
      </c>
      <c r="F430">
        <f t="shared" ca="1" si="45"/>
        <v>0</v>
      </c>
      <c r="G430">
        <f t="shared" ca="1" si="46"/>
        <v>6</v>
      </c>
      <c r="H430">
        <f ca="1">AVERAGE($G$2:G430)</f>
        <v>0.31468531468531469</v>
      </c>
      <c r="I430">
        <f ca="1">_xlfn.VAR.P($G$2:G430)</f>
        <v>16.201672453420706</v>
      </c>
      <c r="AE430">
        <f t="shared" si="48"/>
        <v>428</v>
      </c>
      <c r="AF430" s="66">
        <f t="shared" si="47"/>
        <v>1</v>
      </c>
    </row>
    <row r="431" spans="1:32" x14ac:dyDescent="0.3">
      <c r="A431">
        <f t="shared" ca="1" si="42"/>
        <v>0.94233156358813841</v>
      </c>
      <c r="B431">
        <f t="shared" ca="1" si="43"/>
        <v>7</v>
      </c>
      <c r="C431">
        <f ca="1">AVERAGE($B$2:B431)</f>
        <v>2.3837209302325579</v>
      </c>
      <c r="D431">
        <f ca="1">_xlfn.VAR.P($B$2:B431)</f>
        <v>7.81322336398053</v>
      </c>
      <c r="E431">
        <f t="shared" ca="1" si="44"/>
        <v>0.94480005160031888</v>
      </c>
      <c r="F431">
        <f t="shared" ca="1" si="45"/>
        <v>8</v>
      </c>
      <c r="G431">
        <f t="shared" ca="1" si="46"/>
        <v>-1</v>
      </c>
      <c r="H431">
        <f ca="1">AVERAGE($G$2:G431)</f>
        <v>0.3116279069767442</v>
      </c>
      <c r="I431">
        <f ca="1">_xlfn.VAR.P($G$2:G431)</f>
        <v>16.168004326663063</v>
      </c>
      <c r="AE431">
        <f t="shared" si="48"/>
        <v>429</v>
      </c>
      <c r="AF431" s="66">
        <f t="shared" si="47"/>
        <v>1</v>
      </c>
    </row>
    <row r="432" spans="1:32" x14ac:dyDescent="0.3">
      <c r="A432">
        <f t="shared" ca="1" si="42"/>
        <v>0.51275104072886457</v>
      </c>
      <c r="B432">
        <f t="shared" ca="1" si="43"/>
        <v>2</v>
      </c>
      <c r="C432">
        <f ca="1">AVERAGE($B$2:B432)</f>
        <v>2.382830626450116</v>
      </c>
      <c r="D432">
        <f ca="1">_xlfn.VAR.P($B$2:B432)</f>
        <v>7.7954360710805819</v>
      </c>
      <c r="E432">
        <f t="shared" ca="1" si="44"/>
        <v>0.8838889647621283</v>
      </c>
      <c r="F432">
        <f t="shared" ca="1" si="45"/>
        <v>6</v>
      </c>
      <c r="G432">
        <f t="shared" ca="1" si="46"/>
        <v>-4</v>
      </c>
      <c r="H432">
        <f ca="1">AVERAGE($G$2:G432)</f>
        <v>0.30162412993039445</v>
      </c>
      <c r="I432">
        <f ca="1">_xlfn.VAR.P($G$2:G432)</f>
        <v>16.173524044336538</v>
      </c>
      <c r="AE432">
        <f t="shared" si="48"/>
        <v>430</v>
      </c>
      <c r="AF432" s="66">
        <f t="shared" si="47"/>
        <v>1</v>
      </c>
    </row>
    <row r="433" spans="1:32" x14ac:dyDescent="0.3">
      <c r="A433">
        <f t="shared" ca="1" si="42"/>
        <v>0.85233560391957564</v>
      </c>
      <c r="B433">
        <f t="shared" ca="1" si="43"/>
        <v>5</v>
      </c>
      <c r="C433">
        <f ca="1">AVERAGE($B$2:B433)</f>
        <v>2.3888888888888888</v>
      </c>
      <c r="D433">
        <f ca="1">_xlfn.VAR.P($B$2:B433)</f>
        <v>7.7932098765432096</v>
      </c>
      <c r="E433">
        <f t="shared" ca="1" si="44"/>
        <v>0.86785861880065263</v>
      </c>
      <c r="F433">
        <f t="shared" ca="1" si="45"/>
        <v>5</v>
      </c>
      <c r="G433">
        <f t="shared" ca="1" si="46"/>
        <v>0</v>
      </c>
      <c r="H433">
        <f ca="1">AVERAGE($G$2:G433)</f>
        <v>0.30092592592592593</v>
      </c>
      <c r="I433">
        <f ca="1">_xlfn.VAR.P($G$2:G433)</f>
        <v>16.136295438957475</v>
      </c>
      <c r="AE433">
        <f t="shared" si="48"/>
        <v>431</v>
      </c>
      <c r="AF433" s="66">
        <f t="shared" si="47"/>
        <v>1</v>
      </c>
    </row>
    <row r="434" spans="1:32" x14ac:dyDescent="0.3">
      <c r="A434">
        <f t="shared" ca="1" si="42"/>
        <v>0.32764649321783901</v>
      </c>
      <c r="B434">
        <f t="shared" ca="1" si="43"/>
        <v>1</v>
      </c>
      <c r="C434">
        <f ca="1">AVERAGE($B$2:B434)</f>
        <v>2.3856812933025404</v>
      </c>
      <c r="D434">
        <f ca="1">_xlfn.VAR.P($B$2:B434)</f>
        <v>7.779656406509182</v>
      </c>
      <c r="E434">
        <f t="shared" ca="1" si="44"/>
        <v>0.47229158620162182</v>
      </c>
      <c r="F434">
        <f t="shared" ca="1" si="45"/>
        <v>1</v>
      </c>
      <c r="G434">
        <f t="shared" ca="1" si="46"/>
        <v>0</v>
      </c>
      <c r="H434">
        <f ca="1">AVERAGE($G$2:G434)</f>
        <v>0.30023094688221708</v>
      </c>
      <c r="I434">
        <f ca="1">_xlfn.VAR.P($G$2:G434)</f>
        <v>16.099237821952222</v>
      </c>
      <c r="AE434">
        <f t="shared" si="48"/>
        <v>432</v>
      </c>
      <c r="AF434" s="66">
        <f t="shared" si="47"/>
        <v>1</v>
      </c>
    </row>
    <row r="435" spans="1:32" x14ac:dyDescent="0.3">
      <c r="A435">
        <f t="shared" ca="1" si="42"/>
        <v>0.72741196899025262</v>
      </c>
      <c r="B435">
        <f t="shared" ca="1" si="43"/>
        <v>3</v>
      </c>
      <c r="C435">
        <f ca="1">AVERAGE($B$2:B435)</f>
        <v>2.3870967741935485</v>
      </c>
      <c r="D435">
        <f ca="1">_xlfn.VAR.P($B$2:B435)</f>
        <v>7.7625984837223134</v>
      </c>
      <c r="E435">
        <f t="shared" ca="1" si="44"/>
        <v>3.5565810169260192E-3</v>
      </c>
      <c r="F435">
        <f t="shared" ca="1" si="45"/>
        <v>0</v>
      </c>
      <c r="G435">
        <f t="shared" ca="1" si="46"/>
        <v>3</v>
      </c>
      <c r="H435">
        <f ca="1">AVERAGE($G$2:G435)</f>
        <v>0.30645161290322581</v>
      </c>
      <c r="I435">
        <f ca="1">_xlfn.VAR.P($G$2:G435)</f>
        <v>16.078898468856845</v>
      </c>
      <c r="AE435">
        <f t="shared" si="48"/>
        <v>433</v>
      </c>
      <c r="AF435" s="66">
        <f t="shared" si="47"/>
        <v>1</v>
      </c>
    </row>
    <row r="436" spans="1:32" x14ac:dyDescent="0.3">
      <c r="A436">
        <f t="shared" ca="1" si="42"/>
        <v>0.32791490327170403</v>
      </c>
      <c r="B436">
        <f t="shared" ca="1" si="43"/>
        <v>1</v>
      </c>
      <c r="C436">
        <f ca="1">AVERAGE($B$2:B436)</f>
        <v>2.3839080459770114</v>
      </c>
      <c r="D436">
        <f ca="1">_xlfn.VAR.P($B$2:B436)</f>
        <v>7.7491663363720438</v>
      </c>
      <c r="E436">
        <f t="shared" ca="1" si="44"/>
        <v>0.49931317095721028</v>
      </c>
      <c r="F436">
        <f t="shared" ca="1" si="45"/>
        <v>1</v>
      </c>
      <c r="G436">
        <f t="shared" ca="1" si="46"/>
        <v>0</v>
      </c>
      <c r="H436">
        <f ca="1">AVERAGE($G$2:G436)</f>
        <v>0.30574712643678159</v>
      </c>
      <c r="I436">
        <f ca="1">_xlfn.VAR.P($G$2:G436)</f>
        <v>16.042150878583698</v>
      </c>
      <c r="AE436">
        <f t="shared" si="48"/>
        <v>434</v>
      </c>
      <c r="AF436" s="66">
        <f t="shared" si="47"/>
        <v>1</v>
      </c>
    </row>
    <row r="437" spans="1:32" x14ac:dyDescent="0.3">
      <c r="A437">
        <f t="shared" ca="1" si="42"/>
        <v>0.34573615051023809</v>
      </c>
      <c r="B437">
        <f t="shared" ca="1" si="43"/>
        <v>1</v>
      </c>
      <c r="C437">
        <f ca="1">AVERAGE($B$2:B437)</f>
        <v>2.3807339449541285</v>
      </c>
      <c r="D437">
        <f ca="1">_xlfn.VAR.P($B$2:B437)</f>
        <v>7.7357756081137952</v>
      </c>
      <c r="E437">
        <f t="shared" ca="1" si="44"/>
        <v>0.44257875976360272</v>
      </c>
      <c r="F437">
        <f t="shared" ca="1" si="45"/>
        <v>1</v>
      </c>
      <c r="G437">
        <f t="shared" ca="1" si="46"/>
        <v>0</v>
      </c>
      <c r="H437">
        <f ca="1">AVERAGE($G$2:G437)</f>
        <v>0.30504587155963303</v>
      </c>
      <c r="I437">
        <f ca="1">_xlfn.VAR.P($G$2:G437)</f>
        <v>16.005570869455433</v>
      </c>
      <c r="AE437">
        <f t="shared" si="48"/>
        <v>435</v>
      </c>
      <c r="AF437" s="66">
        <f t="shared" si="47"/>
        <v>1</v>
      </c>
    </row>
    <row r="438" spans="1:32" x14ac:dyDescent="0.3">
      <c r="A438">
        <f t="shared" ca="1" si="42"/>
        <v>0.15850692591632465</v>
      </c>
      <c r="B438">
        <f t="shared" ca="1" si="43"/>
        <v>0</v>
      </c>
      <c r="C438">
        <f ca="1">AVERAGE($B$2:B438)</f>
        <v>2.3752860411899315</v>
      </c>
      <c r="D438">
        <f ca="1">_xlfn.VAR.P($B$2:B438)</f>
        <v>7.7310139341987441</v>
      </c>
      <c r="E438">
        <f t="shared" ca="1" si="44"/>
        <v>0.30848710296159787</v>
      </c>
      <c r="F438">
        <f t="shared" ca="1" si="45"/>
        <v>1</v>
      </c>
      <c r="G438">
        <f t="shared" ca="1" si="46"/>
        <v>-1</v>
      </c>
      <c r="H438">
        <f ca="1">AVERAGE($G$2:G438)</f>
        <v>0.30205949656750575</v>
      </c>
      <c r="I438">
        <f ca="1">_xlfn.VAR.P($G$2:G438)</f>
        <v>15.972833287078007</v>
      </c>
      <c r="AE438">
        <f t="shared" si="48"/>
        <v>436</v>
      </c>
      <c r="AF438" s="66">
        <f t="shared" si="47"/>
        <v>1</v>
      </c>
    </row>
    <row r="439" spans="1:32" x14ac:dyDescent="0.3">
      <c r="A439">
        <f t="shared" ca="1" si="42"/>
        <v>0.72888653726201147</v>
      </c>
      <c r="B439">
        <f t="shared" ca="1" si="43"/>
        <v>3</v>
      </c>
      <c r="C439">
        <f ca="1">AVERAGE($B$2:B439)</f>
        <v>2.3767123287671232</v>
      </c>
      <c r="D439">
        <f ca="1">_xlfn.VAR.P($B$2:B439)</f>
        <v>7.7142522049164945</v>
      </c>
      <c r="E439">
        <f t="shared" ca="1" si="44"/>
        <v>0.65159513891871301</v>
      </c>
      <c r="F439">
        <f t="shared" ca="1" si="45"/>
        <v>2</v>
      </c>
      <c r="G439">
        <f t="shared" ca="1" si="46"/>
        <v>1</v>
      </c>
      <c r="H439">
        <f ca="1">AVERAGE($G$2:G439)</f>
        <v>0.30365296803652969</v>
      </c>
      <c r="I439">
        <f ca="1">_xlfn.VAR.P($G$2:G439)</f>
        <v>15.93747524029941</v>
      </c>
      <c r="AE439">
        <f t="shared" si="48"/>
        <v>437</v>
      </c>
      <c r="AF439" s="66">
        <f t="shared" si="47"/>
        <v>1</v>
      </c>
    </row>
    <row r="440" spans="1:32" x14ac:dyDescent="0.3">
      <c r="A440">
        <f t="shared" ca="1" si="42"/>
        <v>0.81852547134820142</v>
      </c>
      <c r="B440">
        <f t="shared" ca="1" si="43"/>
        <v>4</v>
      </c>
      <c r="C440">
        <f ca="1">AVERAGE($B$2:B440)</f>
        <v>2.3804100227790435</v>
      </c>
      <c r="D440">
        <f ca="1">_xlfn.VAR.P($B$2:B440)</f>
        <v>7.7026686245920271</v>
      </c>
      <c r="E440">
        <f t="shared" ca="1" si="44"/>
        <v>0.40499439300550288</v>
      </c>
      <c r="F440">
        <f t="shared" ca="1" si="45"/>
        <v>1</v>
      </c>
      <c r="G440">
        <f t="shared" ca="1" si="46"/>
        <v>3</v>
      </c>
      <c r="H440">
        <f ca="1">AVERAGE($G$2:G440)</f>
        <v>0.30979498861047838</v>
      </c>
      <c r="I440">
        <f ca="1">_xlfn.VAR.P($G$2:G440)</f>
        <v>15.917694490999942</v>
      </c>
      <c r="AE440">
        <f t="shared" si="48"/>
        <v>438</v>
      </c>
      <c r="AF440" s="66">
        <f t="shared" si="47"/>
        <v>1</v>
      </c>
    </row>
    <row r="441" spans="1:32" x14ac:dyDescent="0.3">
      <c r="A441">
        <f t="shared" ca="1" si="42"/>
        <v>0.79461680486988207</v>
      </c>
      <c r="B441">
        <f t="shared" ca="1" si="43"/>
        <v>4</v>
      </c>
      <c r="C441">
        <f ca="1">AVERAGE($B$2:B441)</f>
        <v>2.3840909090909093</v>
      </c>
      <c r="D441">
        <f ca="1">_xlfn.VAR.P($B$2:B441)</f>
        <v>7.6911105371900828</v>
      </c>
      <c r="E441">
        <f t="shared" ca="1" si="44"/>
        <v>0.79612890554382454</v>
      </c>
      <c r="F441">
        <f t="shared" ca="1" si="45"/>
        <v>4</v>
      </c>
      <c r="G441">
        <f t="shared" ca="1" si="46"/>
        <v>0</v>
      </c>
      <c r="H441">
        <f ca="1">AVERAGE($G$2:G441)</f>
        <v>0.30909090909090908</v>
      </c>
      <c r="I441">
        <f ca="1">_xlfn.VAR.P($G$2:G441)</f>
        <v>15.881735537190083</v>
      </c>
      <c r="AE441">
        <f t="shared" si="48"/>
        <v>439</v>
      </c>
      <c r="AF441" s="66">
        <f t="shared" si="47"/>
        <v>1</v>
      </c>
    </row>
    <row r="442" spans="1:32" x14ac:dyDescent="0.3">
      <c r="A442">
        <f t="shared" ca="1" si="42"/>
        <v>0.53088887281818908</v>
      </c>
      <c r="B442">
        <f t="shared" ca="1" si="43"/>
        <v>2</v>
      </c>
      <c r="C442">
        <f ca="1">AVERAGE($B$2:B442)</f>
        <v>2.383219954648526</v>
      </c>
      <c r="D442">
        <f ca="1">_xlfn.VAR.P($B$2:B442)</f>
        <v>7.6740041443637166</v>
      </c>
      <c r="E442">
        <f t="shared" ca="1" si="44"/>
        <v>0.25024392248194005</v>
      </c>
      <c r="F442">
        <f t="shared" ca="1" si="45"/>
        <v>0</v>
      </c>
      <c r="G442">
        <f t="shared" ca="1" si="46"/>
        <v>2</v>
      </c>
      <c r="H442">
        <f ca="1">AVERAGE($G$2:G442)</f>
        <v>0.31292517006802723</v>
      </c>
      <c r="I442">
        <f ca="1">_xlfn.VAR.P($G$2:G442)</f>
        <v>15.852191216622703</v>
      </c>
      <c r="AE442">
        <f t="shared" si="48"/>
        <v>440</v>
      </c>
      <c r="AF442" s="66">
        <f t="shared" si="47"/>
        <v>1</v>
      </c>
    </row>
    <row r="443" spans="1:32" x14ac:dyDescent="0.3">
      <c r="A443">
        <f t="shared" ca="1" si="42"/>
        <v>2.9867844127690391E-2</v>
      </c>
      <c r="B443">
        <f t="shared" ca="1" si="43"/>
        <v>0</v>
      </c>
      <c r="C443">
        <f ca="1">AVERAGE($B$2:B443)</f>
        <v>2.3778280542986425</v>
      </c>
      <c r="D443">
        <f ca="1">_xlfn.VAR.P($B$2:B443)</f>
        <v>7.6694631559550377</v>
      </c>
      <c r="E443">
        <f t="shared" ca="1" si="44"/>
        <v>8.176486395742244E-2</v>
      </c>
      <c r="F443">
        <f t="shared" ca="1" si="45"/>
        <v>0</v>
      </c>
      <c r="G443">
        <f t="shared" ca="1" si="46"/>
        <v>0</v>
      </c>
      <c r="H443">
        <f ca="1">AVERAGE($G$2:G443)</f>
        <v>0.31221719457013575</v>
      </c>
      <c r="I443">
        <f ca="1">_xlfn.VAR.P($G$2:G443)</f>
        <v>15.81654757273602</v>
      </c>
      <c r="AE443">
        <f t="shared" si="48"/>
        <v>441</v>
      </c>
      <c r="AF443" s="66">
        <f t="shared" si="47"/>
        <v>1</v>
      </c>
    </row>
    <row r="444" spans="1:32" x14ac:dyDescent="0.3">
      <c r="A444">
        <f t="shared" ca="1" si="42"/>
        <v>0.86804495230273326</v>
      </c>
      <c r="B444">
        <f t="shared" ca="1" si="43"/>
        <v>5</v>
      </c>
      <c r="C444">
        <f ca="1">AVERAGE($B$2:B444)</f>
        <v>2.3837471783295712</v>
      </c>
      <c r="D444">
        <f ca="1">_xlfn.VAR.P($B$2:B444)</f>
        <v>7.6676365229886523</v>
      </c>
      <c r="E444">
        <f t="shared" ca="1" si="44"/>
        <v>0.71204851691464199</v>
      </c>
      <c r="F444">
        <f t="shared" ca="1" si="45"/>
        <v>3</v>
      </c>
      <c r="G444">
        <f t="shared" ca="1" si="46"/>
        <v>2</v>
      </c>
      <c r="H444">
        <f ca="1">AVERAGE($G$2:G444)</f>
        <v>0.3160270880361174</v>
      </c>
      <c r="I444">
        <f ca="1">_xlfn.VAR.P($G$2:G444)</f>
        <v>15.787260062471656</v>
      </c>
      <c r="AE444">
        <f t="shared" si="48"/>
        <v>442</v>
      </c>
      <c r="AF444" s="66">
        <f t="shared" si="47"/>
        <v>1</v>
      </c>
    </row>
    <row r="445" spans="1:32" x14ac:dyDescent="0.3">
      <c r="A445">
        <f t="shared" ca="1" si="42"/>
        <v>0.91637521821187562</v>
      </c>
      <c r="B445">
        <f t="shared" ca="1" si="43"/>
        <v>6</v>
      </c>
      <c r="C445">
        <f ca="1">AVERAGE($B$2:B445)</f>
        <v>2.3918918918918921</v>
      </c>
      <c r="D445">
        <f ca="1">_xlfn.VAR.P($B$2:B445)</f>
        <v>7.6797540784027269</v>
      </c>
      <c r="E445">
        <f t="shared" ca="1" si="44"/>
        <v>0.11358346116506679</v>
      </c>
      <c r="F445">
        <f t="shared" ca="1" si="45"/>
        <v>0</v>
      </c>
      <c r="G445">
        <f t="shared" ca="1" si="46"/>
        <v>6</v>
      </c>
      <c r="H445">
        <f ca="1">AVERAGE($G$2:G445)</f>
        <v>0.32882882882882886</v>
      </c>
      <c r="I445">
        <f ca="1">_xlfn.VAR.P($G$2:G445)</f>
        <v>15.824304033763493</v>
      </c>
      <c r="AE445">
        <f t="shared" si="48"/>
        <v>443</v>
      </c>
      <c r="AF445" s="66">
        <f t="shared" si="47"/>
        <v>1</v>
      </c>
    </row>
    <row r="446" spans="1:32" x14ac:dyDescent="0.3">
      <c r="A446">
        <f t="shared" ca="1" si="42"/>
        <v>2.1811282517294694E-2</v>
      </c>
      <c r="B446">
        <f t="shared" ca="1" si="43"/>
        <v>0</v>
      </c>
      <c r="C446">
        <f ca="1">AVERAGE($B$2:B446)</f>
        <v>2.3865168539325841</v>
      </c>
      <c r="D446">
        <f ca="1">_xlfn.VAR.P($B$2:B446)</f>
        <v>7.675323822749653</v>
      </c>
      <c r="E446">
        <f t="shared" ca="1" si="44"/>
        <v>0.57517730067650985</v>
      </c>
      <c r="F446">
        <f t="shared" ca="1" si="45"/>
        <v>2</v>
      </c>
      <c r="G446">
        <f t="shared" ca="1" si="46"/>
        <v>-2</v>
      </c>
      <c r="H446">
        <f ca="1">AVERAGE($G$2:G446)</f>
        <v>0.32359550561797751</v>
      </c>
      <c r="I446">
        <f ca="1">_xlfn.VAR.P($G$2:G446)</f>
        <v>15.800903926271936</v>
      </c>
      <c r="AE446">
        <f t="shared" si="48"/>
        <v>444</v>
      </c>
      <c r="AF446" s="66">
        <f t="shared" si="47"/>
        <v>1</v>
      </c>
    </row>
    <row r="447" spans="1:32" x14ac:dyDescent="0.3">
      <c r="A447">
        <f t="shared" ca="1" si="42"/>
        <v>0.91583801818867161</v>
      </c>
      <c r="B447">
        <f t="shared" ca="1" si="43"/>
        <v>6</v>
      </c>
      <c r="C447">
        <f ca="1">AVERAGE($B$2:B447)</f>
        <v>2.3946188340807173</v>
      </c>
      <c r="D447">
        <f ca="1">_xlfn.VAR.P($B$2:B447)</f>
        <v>7.6873253031430355</v>
      </c>
      <c r="E447">
        <f t="shared" ca="1" si="44"/>
        <v>0.95779870561228375</v>
      </c>
      <c r="F447">
        <f t="shared" ca="1" si="45"/>
        <v>8</v>
      </c>
      <c r="G447">
        <f t="shared" ca="1" si="46"/>
        <v>-2</v>
      </c>
      <c r="H447">
        <f ca="1">AVERAGE($G$2:G447)</f>
        <v>0.31838565022421522</v>
      </c>
      <c r="I447">
        <f ca="1">_xlfn.VAR.P($G$2:G447)</f>
        <v>15.777554344547447</v>
      </c>
      <c r="AE447">
        <f t="shared" si="48"/>
        <v>445</v>
      </c>
      <c r="AF447" s="66">
        <f t="shared" si="47"/>
        <v>1</v>
      </c>
    </row>
    <row r="448" spans="1:32" x14ac:dyDescent="0.3">
      <c r="A448">
        <f t="shared" ca="1" si="42"/>
        <v>0.88668390016112564</v>
      </c>
      <c r="B448">
        <f t="shared" ca="1" si="43"/>
        <v>6</v>
      </c>
      <c r="C448">
        <f ca="1">AVERAGE($B$2:B448)</f>
        <v>2.4026845637583891</v>
      </c>
      <c r="D448">
        <f ca="1">_xlfn.VAR.P($B$2:B448)</f>
        <v>7.6991426812606036</v>
      </c>
      <c r="E448">
        <f t="shared" ca="1" si="44"/>
        <v>0.63917468397805532</v>
      </c>
      <c r="F448">
        <f t="shared" ca="1" si="45"/>
        <v>2</v>
      </c>
      <c r="G448">
        <f t="shared" ca="1" si="46"/>
        <v>4</v>
      </c>
      <c r="H448">
        <f ca="1">AVERAGE($G$2:G448)</f>
        <v>0.32662192393736017</v>
      </c>
      <c r="I448">
        <f ca="1">_xlfn.VAR.P($G$2:G448)</f>
        <v>15.77251274967594</v>
      </c>
      <c r="AE448">
        <f t="shared" si="48"/>
        <v>446</v>
      </c>
      <c r="AF448" s="66">
        <f t="shared" si="47"/>
        <v>1</v>
      </c>
    </row>
    <row r="449" spans="1:32" x14ac:dyDescent="0.3">
      <c r="A449">
        <f t="shared" ca="1" si="42"/>
        <v>0.70737019106351717</v>
      </c>
      <c r="B449">
        <f t="shared" ca="1" si="43"/>
        <v>3</v>
      </c>
      <c r="C449">
        <f ca="1">AVERAGE($B$2:B449)</f>
        <v>2.4040178571428572</v>
      </c>
      <c r="D449">
        <f ca="1">_xlfn.VAR.P($B$2:B449)</f>
        <v>7.6827517139668364</v>
      </c>
      <c r="E449">
        <f t="shared" ca="1" si="44"/>
        <v>0.60933547870497362</v>
      </c>
      <c r="F449">
        <f t="shared" ca="1" si="45"/>
        <v>2</v>
      </c>
      <c r="G449">
        <f t="shared" ca="1" si="46"/>
        <v>1</v>
      </c>
      <c r="H449">
        <f ca="1">AVERAGE($G$2:G449)</f>
        <v>0.328125</v>
      </c>
      <c r="I449">
        <f ca="1">_xlfn.VAR.P($G$2:G449)</f>
        <v>15.738316127232142</v>
      </c>
      <c r="AE449">
        <f t="shared" si="48"/>
        <v>447</v>
      </c>
      <c r="AF449" s="66">
        <f t="shared" si="47"/>
        <v>1</v>
      </c>
    </row>
    <row r="450" spans="1:32" x14ac:dyDescent="0.3">
      <c r="A450">
        <f t="shared" ca="1" si="42"/>
        <v>0.40724034701027589</v>
      </c>
      <c r="B450">
        <f t="shared" ca="1" si="43"/>
        <v>1</v>
      </c>
      <c r="C450">
        <f ca="1">AVERAGE($B$2:B450)</f>
        <v>2.4008908685968819</v>
      </c>
      <c r="D450">
        <f ca="1">_xlfn.VAR.P($B$2:B450)</f>
        <v>7.6700214780680653</v>
      </c>
      <c r="E450">
        <f t="shared" ca="1" si="44"/>
        <v>0.81709870593049561</v>
      </c>
      <c r="F450">
        <f t="shared" ca="1" si="45"/>
        <v>4</v>
      </c>
      <c r="G450">
        <f t="shared" ca="1" si="46"/>
        <v>-3</v>
      </c>
      <c r="H450">
        <f ca="1">AVERAGE($G$2:G450)</f>
        <v>0.32071269487750559</v>
      </c>
      <c r="I450">
        <f ca="1">_xlfn.VAR.P($G$2:G450)</f>
        <v>15.727878333936836</v>
      </c>
      <c r="AE450">
        <f t="shared" si="48"/>
        <v>448</v>
      </c>
      <c r="AF450" s="66">
        <f t="shared" si="47"/>
        <v>1</v>
      </c>
    </row>
    <row r="451" spans="1:32" x14ac:dyDescent="0.3">
      <c r="A451">
        <f t="shared" ref="A451:A514" ca="1" si="49">RAND()</f>
        <v>0.41151227162953929</v>
      </c>
      <c r="B451">
        <f t="shared" ref="B451:B514" ca="1" si="50">LOOKUP(A451,$AF$2:$AF$1002,$AE$2:$AE$1002)</f>
        <v>1</v>
      </c>
      <c r="C451">
        <f ca="1">AVERAGE($B$2:B451)</f>
        <v>2.3977777777777778</v>
      </c>
      <c r="D451">
        <f ca="1">_xlfn.VAR.P($B$2:B451)</f>
        <v>7.6573283950617288</v>
      </c>
      <c r="E451">
        <f t="shared" ref="E451:E514" ca="1" si="51">RAND()</f>
        <v>0.11194956727590089</v>
      </c>
      <c r="F451">
        <f t="shared" ref="F451:F514" ca="1" si="52">LOOKUP(E451,$AF$2:$AF$1002,$AE$2:$AE$1002)</f>
        <v>0</v>
      </c>
      <c r="G451">
        <f t="shared" ref="G451:G514" ca="1" si="53">B451-F451</f>
        <v>1</v>
      </c>
      <c r="H451">
        <f ca="1">AVERAGE($G$2:G451)</f>
        <v>0.32222222222222224</v>
      </c>
      <c r="I451">
        <f ca="1">_xlfn.VAR.P($G$2:G451)</f>
        <v>15.693950617283951</v>
      </c>
      <c r="AE451">
        <f t="shared" si="48"/>
        <v>449</v>
      </c>
      <c r="AF451" s="66">
        <f t="shared" ref="AF451:AF514" si="54">_xlfn.NEGBINOM.DIST(AE451-1,1,$K$1,TRUE)</f>
        <v>1</v>
      </c>
    </row>
    <row r="452" spans="1:32" x14ac:dyDescent="0.3">
      <c r="A452">
        <f t="shared" ca="1" si="49"/>
        <v>0.220044066464959</v>
      </c>
      <c r="B452">
        <f t="shared" ca="1" si="50"/>
        <v>0</v>
      </c>
      <c r="C452">
        <f ca="1">AVERAGE($B$2:B452)</f>
        <v>2.3924611973392462</v>
      </c>
      <c r="D452">
        <f ca="1">_xlfn.VAR.P($B$2:B452)</f>
        <v>7.6530695522637551</v>
      </c>
      <c r="E452">
        <f t="shared" ca="1" si="51"/>
        <v>0.43387679966877002</v>
      </c>
      <c r="F452">
        <f t="shared" ca="1" si="52"/>
        <v>1</v>
      </c>
      <c r="G452">
        <f t="shared" ca="1" si="53"/>
        <v>-1</v>
      </c>
      <c r="H452">
        <f ca="1">AVERAGE($G$2:G452)</f>
        <v>0.31929046563192903</v>
      </c>
      <c r="I452">
        <f ca="1">_xlfn.VAR.P($G$2:G452)</f>
        <v>15.663020339133043</v>
      </c>
      <c r="AE452">
        <f t="shared" si="48"/>
        <v>450</v>
      </c>
      <c r="AF452" s="66">
        <f t="shared" si="54"/>
        <v>1</v>
      </c>
    </row>
    <row r="453" spans="1:32" x14ac:dyDescent="0.3">
      <c r="A453">
        <f t="shared" ca="1" si="49"/>
        <v>0.77480844847458041</v>
      </c>
      <c r="B453">
        <f t="shared" ca="1" si="50"/>
        <v>4</v>
      </c>
      <c r="C453">
        <f ca="1">AVERAGE($B$2:B453)</f>
        <v>2.3960176991150441</v>
      </c>
      <c r="D453">
        <f ca="1">_xlfn.VAR.P($B$2:B453)</f>
        <v>7.6418425483593078</v>
      </c>
      <c r="E453">
        <f t="shared" ca="1" si="51"/>
        <v>4.0271472230624883E-2</v>
      </c>
      <c r="F453">
        <f t="shared" ca="1" si="52"/>
        <v>0</v>
      </c>
      <c r="G453">
        <f t="shared" ca="1" si="53"/>
        <v>4</v>
      </c>
      <c r="H453">
        <f ca="1">AVERAGE($G$2:G453)</f>
        <v>0.32743362831858408</v>
      </c>
      <c r="I453">
        <f ca="1">_xlfn.VAR.P($G$2:G453)</f>
        <v>15.658273944709844</v>
      </c>
      <c r="AE453">
        <f t="shared" ref="AE453:AE516" si="55">AE452+1</f>
        <v>451</v>
      </c>
      <c r="AF453" s="66">
        <f t="shared" si="54"/>
        <v>1</v>
      </c>
    </row>
    <row r="454" spans="1:32" x14ac:dyDescent="0.3">
      <c r="A454">
        <f t="shared" ca="1" si="49"/>
        <v>0.55017886874742983</v>
      </c>
      <c r="B454">
        <f t="shared" ca="1" si="50"/>
        <v>2</v>
      </c>
      <c r="C454">
        <f ca="1">AVERAGE($B$2:B454)</f>
        <v>2.3951434878587197</v>
      </c>
      <c r="D454">
        <f ca="1">_xlfn.VAR.P($B$2:B454)</f>
        <v>7.6253185776452304</v>
      </c>
      <c r="E454">
        <f t="shared" ca="1" si="51"/>
        <v>0.66829716208556744</v>
      </c>
      <c r="F454">
        <f t="shared" ca="1" si="52"/>
        <v>3</v>
      </c>
      <c r="G454">
        <f t="shared" ca="1" si="53"/>
        <v>-1</v>
      </c>
      <c r="H454">
        <f ca="1">AVERAGE($G$2:G454)</f>
        <v>0.32450331125827814</v>
      </c>
      <c r="I454">
        <f ca="1">_xlfn.VAR.P($G$2:G454)</f>
        <v>15.627589433211993</v>
      </c>
      <c r="AE454">
        <f t="shared" si="55"/>
        <v>452</v>
      </c>
      <c r="AF454" s="66">
        <f t="shared" si="54"/>
        <v>1</v>
      </c>
    </row>
    <row r="455" spans="1:32" x14ac:dyDescent="0.3">
      <c r="A455">
        <f t="shared" ca="1" si="49"/>
        <v>0.20545197991801634</v>
      </c>
      <c r="B455">
        <f t="shared" ca="1" si="50"/>
        <v>0</v>
      </c>
      <c r="C455">
        <f ca="1">AVERAGE($B$2:B455)</f>
        <v>2.3898678414096914</v>
      </c>
      <c r="D455">
        <f ca="1">_xlfn.VAR.P($B$2:B455)</f>
        <v>7.6211308195385126</v>
      </c>
      <c r="E455">
        <f t="shared" ca="1" si="51"/>
        <v>0.55038213850404649</v>
      </c>
      <c r="F455">
        <f t="shared" ca="1" si="52"/>
        <v>2</v>
      </c>
      <c r="G455">
        <f t="shared" ca="1" si="53"/>
        <v>-2</v>
      </c>
      <c r="H455">
        <f ca="1">AVERAGE($G$2:G455)</f>
        <v>0.31938325991189426</v>
      </c>
      <c r="I455">
        <f ca="1">_xlfn.VAR.P($G$2:G455)</f>
        <v>15.605042791437832</v>
      </c>
      <c r="AE455">
        <f t="shared" si="55"/>
        <v>453</v>
      </c>
      <c r="AF455" s="66">
        <f t="shared" si="54"/>
        <v>1</v>
      </c>
    </row>
    <row r="456" spans="1:32" x14ac:dyDescent="0.3">
      <c r="A456">
        <f t="shared" ca="1" si="49"/>
        <v>0.90275964102586981</v>
      </c>
      <c r="B456">
        <f t="shared" ca="1" si="50"/>
        <v>6</v>
      </c>
      <c r="C456">
        <f ca="1">AVERAGE($B$2:B456)</f>
        <v>2.3978021978021977</v>
      </c>
      <c r="D456">
        <f ca="1">_xlfn.VAR.P($B$2:B456)</f>
        <v>7.6329622026325321</v>
      </c>
      <c r="E456">
        <f t="shared" ca="1" si="51"/>
        <v>0.83169463892684192</v>
      </c>
      <c r="F456">
        <f t="shared" ca="1" si="52"/>
        <v>4</v>
      </c>
      <c r="G456">
        <f t="shared" ca="1" si="53"/>
        <v>2</v>
      </c>
      <c r="H456">
        <f ca="1">AVERAGE($G$2:G456)</f>
        <v>0.32307692307692309</v>
      </c>
      <c r="I456">
        <f ca="1">_xlfn.VAR.P($G$2:G456)</f>
        <v>15.57693998309383</v>
      </c>
      <c r="AE456">
        <f t="shared" si="55"/>
        <v>454</v>
      </c>
      <c r="AF456" s="66">
        <f t="shared" si="54"/>
        <v>1</v>
      </c>
    </row>
    <row r="457" spans="1:32" x14ac:dyDescent="0.3">
      <c r="A457">
        <f t="shared" ca="1" si="49"/>
        <v>0.62728266999110427</v>
      </c>
      <c r="B457">
        <f t="shared" ca="1" si="50"/>
        <v>2</v>
      </c>
      <c r="C457">
        <f ca="1">AVERAGE($B$2:B457)</f>
        <v>2.3969298245614037</v>
      </c>
      <c r="D457">
        <f ca="1">_xlfn.VAR.P($B$2:B457)</f>
        <v>7.616569521391197</v>
      </c>
      <c r="E457">
        <f t="shared" ca="1" si="51"/>
        <v>0.24770201221686916</v>
      </c>
      <c r="F457">
        <f t="shared" ca="1" si="52"/>
        <v>0</v>
      </c>
      <c r="G457">
        <f t="shared" ca="1" si="53"/>
        <v>2</v>
      </c>
      <c r="H457">
        <f ca="1">AVERAGE($G$2:G457)</f>
        <v>0.3267543859649123</v>
      </c>
      <c r="I457">
        <f ca="1">_xlfn.VAR.P($G$2:G457)</f>
        <v>15.548933325638657</v>
      </c>
      <c r="AE457">
        <f t="shared" si="55"/>
        <v>455</v>
      </c>
      <c r="AF457" s="66">
        <f t="shared" si="54"/>
        <v>1</v>
      </c>
    </row>
    <row r="458" spans="1:32" x14ac:dyDescent="0.3">
      <c r="A458">
        <f t="shared" ca="1" si="49"/>
        <v>0.18394798004008517</v>
      </c>
      <c r="B458">
        <f t="shared" ca="1" si="50"/>
        <v>0</v>
      </c>
      <c r="C458">
        <f ca="1">AVERAGE($B$2:B458)</f>
        <v>2.3916849015317285</v>
      </c>
      <c r="D458">
        <f ca="1">_xlfn.VAR.P($B$2:B458)</f>
        <v>7.6124472705160189</v>
      </c>
      <c r="E458">
        <f t="shared" ca="1" si="51"/>
        <v>0.5849105322292687</v>
      </c>
      <c r="F458">
        <f t="shared" ca="1" si="52"/>
        <v>2</v>
      </c>
      <c r="G458">
        <f t="shared" ca="1" si="53"/>
        <v>-2</v>
      </c>
      <c r="H458">
        <f ca="1">AVERAGE($G$2:G458)</f>
        <v>0.32166301969365424</v>
      </c>
      <c r="I458">
        <f ca="1">_xlfn.VAR.P($G$2:G458)</f>
        <v>15.526729838304229</v>
      </c>
      <c r="AE458">
        <f t="shared" si="55"/>
        <v>456</v>
      </c>
      <c r="AF458" s="66">
        <f t="shared" si="54"/>
        <v>1</v>
      </c>
    </row>
    <row r="459" spans="1:32" x14ac:dyDescent="0.3">
      <c r="A459">
        <f t="shared" ca="1" si="49"/>
        <v>0.57059925709905823</v>
      </c>
      <c r="B459">
        <f t="shared" ca="1" si="50"/>
        <v>2</v>
      </c>
      <c r="C459">
        <f ca="1">AVERAGE($B$2:B459)</f>
        <v>2.390829694323144</v>
      </c>
      <c r="D459">
        <f ca="1">_xlfn.VAR.P($B$2:B459)</f>
        <v>7.5961604469785096</v>
      </c>
      <c r="E459">
        <f t="shared" ca="1" si="51"/>
        <v>0.47443718290354198</v>
      </c>
      <c r="F459">
        <f t="shared" ca="1" si="52"/>
        <v>1</v>
      </c>
      <c r="G459">
        <f t="shared" ca="1" si="53"/>
        <v>1</v>
      </c>
      <c r="H459">
        <f ca="1">AVERAGE($G$2:G459)</f>
        <v>0.32314410480349343</v>
      </c>
      <c r="I459">
        <f ca="1">_xlfn.VAR.P($G$2:G459)</f>
        <v>15.493831162639919</v>
      </c>
      <c r="AE459">
        <f t="shared" si="55"/>
        <v>457</v>
      </c>
      <c r="AF459" s="66">
        <f t="shared" si="54"/>
        <v>1</v>
      </c>
    </row>
    <row r="460" spans="1:32" x14ac:dyDescent="0.3">
      <c r="A460">
        <f t="shared" ca="1" si="49"/>
        <v>0.68443312439077053</v>
      </c>
      <c r="B460">
        <f t="shared" ca="1" si="50"/>
        <v>3</v>
      </c>
      <c r="C460">
        <f ca="1">AVERAGE($B$2:B460)</f>
        <v>2.392156862745098</v>
      </c>
      <c r="D460">
        <f ca="1">_xlfn.VAR.P($B$2:B460)</f>
        <v>7.5804177880302444</v>
      </c>
      <c r="E460">
        <f t="shared" ca="1" si="51"/>
        <v>0.15790249844469118</v>
      </c>
      <c r="F460">
        <f t="shared" ca="1" si="52"/>
        <v>0</v>
      </c>
      <c r="G460">
        <f t="shared" ca="1" si="53"/>
        <v>3</v>
      </c>
      <c r="H460">
        <f ca="1">AVERAGE($G$2:G460)</f>
        <v>0.32897603485838778</v>
      </c>
      <c r="I460">
        <f ca="1">_xlfn.VAR.P($G$2:G460)</f>
        <v>15.475652764131555</v>
      </c>
      <c r="AE460">
        <f t="shared" si="55"/>
        <v>458</v>
      </c>
      <c r="AF460" s="66">
        <f t="shared" si="54"/>
        <v>1</v>
      </c>
    </row>
    <row r="461" spans="1:32" x14ac:dyDescent="0.3">
      <c r="A461">
        <f t="shared" ca="1" si="49"/>
        <v>0.62657372428105862</v>
      </c>
      <c r="B461">
        <f t="shared" ca="1" si="50"/>
        <v>2</v>
      </c>
      <c r="C461">
        <f ca="1">AVERAGE($B$2:B461)</f>
        <v>2.3913043478260869</v>
      </c>
      <c r="D461">
        <f ca="1">_xlfn.VAR.P($B$2:B461)</f>
        <v>7.564272211720227</v>
      </c>
      <c r="E461">
        <f t="shared" ca="1" si="51"/>
        <v>0.35762505646097464</v>
      </c>
      <c r="F461">
        <f t="shared" ca="1" si="52"/>
        <v>1</v>
      </c>
      <c r="G461">
        <f t="shared" ca="1" si="53"/>
        <v>1</v>
      </c>
      <c r="H461">
        <f ca="1">AVERAGE($G$2:G461)</f>
        <v>0.33043478260869563</v>
      </c>
      <c r="I461">
        <f ca="1">_xlfn.VAR.P($G$2:G461)</f>
        <v>15.442986767485822</v>
      </c>
      <c r="AE461">
        <f t="shared" si="55"/>
        <v>459</v>
      </c>
      <c r="AF461" s="66">
        <f t="shared" si="54"/>
        <v>1</v>
      </c>
    </row>
    <row r="462" spans="1:32" x14ac:dyDescent="0.3">
      <c r="A462">
        <f t="shared" ca="1" si="49"/>
        <v>6.3089051388764195E-2</v>
      </c>
      <c r="B462">
        <f t="shared" ca="1" si="50"/>
        <v>0</v>
      </c>
      <c r="C462">
        <f ca="1">AVERAGE($B$2:B462)</f>
        <v>2.3861171366594358</v>
      </c>
      <c r="D462">
        <f ca="1">_xlfn.VAR.P($B$2:B462)</f>
        <v>7.5602411055848595</v>
      </c>
      <c r="E462">
        <f t="shared" ca="1" si="51"/>
        <v>0.33883273567261274</v>
      </c>
      <c r="F462">
        <f t="shared" ca="1" si="52"/>
        <v>1</v>
      </c>
      <c r="G462">
        <f t="shared" ca="1" si="53"/>
        <v>-1</v>
      </c>
      <c r="H462">
        <f ca="1">AVERAGE($G$2:G462)</f>
        <v>0.32754880694143168</v>
      </c>
      <c r="I462">
        <f ca="1">_xlfn.VAR.P($G$2:G462)</f>
        <v>15.413319154342394</v>
      </c>
      <c r="AE462">
        <f t="shared" si="55"/>
        <v>460</v>
      </c>
      <c r="AF462" s="66">
        <f t="shared" si="54"/>
        <v>1</v>
      </c>
    </row>
    <row r="463" spans="1:32" x14ac:dyDescent="0.3">
      <c r="A463">
        <f t="shared" ca="1" si="49"/>
        <v>0.10334413341467963</v>
      </c>
      <c r="B463">
        <f t="shared" ca="1" si="50"/>
        <v>0</v>
      </c>
      <c r="C463">
        <f ca="1">AVERAGE($B$2:B463)</f>
        <v>2.3809523809523809</v>
      </c>
      <c r="D463">
        <f ca="1">_xlfn.VAR.P($B$2:B463)</f>
        <v>7.5561739847454135</v>
      </c>
      <c r="E463">
        <f t="shared" ca="1" si="51"/>
        <v>0.96263496440960694</v>
      </c>
      <c r="F463">
        <f t="shared" ca="1" si="52"/>
        <v>9</v>
      </c>
      <c r="G463">
        <f t="shared" ca="1" si="53"/>
        <v>-9</v>
      </c>
      <c r="H463">
        <f ca="1">AVERAGE($G$2:G463)</f>
        <v>0.30735930735930733</v>
      </c>
      <c r="I463">
        <f ca="1">_xlfn.VAR.P($G$2:G463)</f>
        <v>15.567867918517269</v>
      </c>
      <c r="AE463">
        <f t="shared" si="55"/>
        <v>461</v>
      </c>
      <c r="AF463" s="66">
        <f t="shared" si="54"/>
        <v>1</v>
      </c>
    </row>
    <row r="464" spans="1:32" x14ac:dyDescent="0.3">
      <c r="A464">
        <f t="shared" ca="1" si="49"/>
        <v>0.2372058015089874</v>
      </c>
      <c r="B464">
        <f t="shared" ca="1" si="50"/>
        <v>0</v>
      </c>
      <c r="C464">
        <f ca="1">AVERAGE($B$2:B464)</f>
        <v>2.3758099352051838</v>
      </c>
      <c r="D464">
        <f ca="1">_xlfn.VAR.P($B$2:B464)</f>
        <v>7.5520714282382251</v>
      </c>
      <c r="E464">
        <f t="shared" ca="1" si="51"/>
        <v>0.35649498037171312</v>
      </c>
      <c r="F464">
        <f t="shared" ca="1" si="52"/>
        <v>1</v>
      </c>
      <c r="G464">
        <f t="shared" ca="1" si="53"/>
        <v>-1</v>
      </c>
      <c r="H464">
        <f ca="1">AVERAGE($G$2:G464)</f>
        <v>0.30453563714902809</v>
      </c>
      <c r="I464">
        <f ca="1">_xlfn.VAR.P($G$2:G464)</f>
        <v>15.53792759214252</v>
      </c>
      <c r="AE464">
        <f t="shared" si="55"/>
        <v>462</v>
      </c>
      <c r="AF464" s="66">
        <f t="shared" si="54"/>
        <v>1</v>
      </c>
    </row>
    <row r="465" spans="1:32" x14ac:dyDescent="0.3">
      <c r="A465">
        <f t="shared" ca="1" si="49"/>
        <v>0.50063200038206268</v>
      </c>
      <c r="B465">
        <f t="shared" ca="1" si="50"/>
        <v>1</v>
      </c>
      <c r="C465">
        <f ca="1">AVERAGE($B$2:B465)</f>
        <v>2.3728448275862069</v>
      </c>
      <c r="D465">
        <f ca="1">_xlfn.VAR.P($B$2:B465)</f>
        <v>7.5398660448870389</v>
      </c>
      <c r="E465">
        <f t="shared" ca="1" si="51"/>
        <v>0.7157214447489767</v>
      </c>
      <c r="F465">
        <f t="shared" ca="1" si="52"/>
        <v>3</v>
      </c>
      <c r="G465">
        <f t="shared" ca="1" si="53"/>
        <v>-2</v>
      </c>
      <c r="H465">
        <f ca="1">AVERAGE($G$2:G465)</f>
        <v>0.29956896551724138</v>
      </c>
      <c r="I465">
        <f ca="1">_xlfn.VAR.P($G$2:G465)</f>
        <v>15.515861883174791</v>
      </c>
      <c r="AE465">
        <f t="shared" si="55"/>
        <v>463</v>
      </c>
      <c r="AF465" s="66">
        <f t="shared" si="54"/>
        <v>1</v>
      </c>
    </row>
    <row r="466" spans="1:32" x14ac:dyDescent="0.3">
      <c r="A466">
        <f t="shared" ca="1" si="49"/>
        <v>0.366577394139187</v>
      </c>
      <c r="B466">
        <f t="shared" ca="1" si="50"/>
        <v>1</v>
      </c>
      <c r="C466">
        <f ca="1">AVERAGE($B$2:B466)</f>
        <v>2.3698924731182798</v>
      </c>
      <c r="D466">
        <f ca="1">_xlfn.VAR.P($B$2:B466)</f>
        <v>7.5276956873627006</v>
      </c>
      <c r="E466">
        <f t="shared" ca="1" si="51"/>
        <v>0.75116821614916585</v>
      </c>
      <c r="F466">
        <f t="shared" ca="1" si="52"/>
        <v>3</v>
      </c>
      <c r="G466">
        <f t="shared" ca="1" si="53"/>
        <v>-2</v>
      </c>
      <c r="H466">
        <f ca="1">AVERAGE($G$2:G466)</f>
        <v>0.29462365591397849</v>
      </c>
      <c r="I466">
        <f ca="1">_xlfn.VAR.P($G$2:G466)</f>
        <v>15.493842062666204</v>
      </c>
      <c r="AE466">
        <f t="shared" si="55"/>
        <v>464</v>
      </c>
      <c r="AF466" s="66">
        <f t="shared" si="54"/>
        <v>1</v>
      </c>
    </row>
    <row r="467" spans="1:32" x14ac:dyDescent="0.3">
      <c r="A467">
        <f t="shared" ca="1" si="49"/>
        <v>0.83320223065464949</v>
      </c>
      <c r="B467">
        <f t="shared" ca="1" si="50"/>
        <v>5</v>
      </c>
      <c r="C467">
        <f ca="1">AVERAGE($B$2:B467)</f>
        <v>2.3755364806866952</v>
      </c>
      <c r="D467">
        <f ca="1">_xlfn.VAR.P($B$2:B467)</f>
        <v>7.5263543259223784</v>
      </c>
      <c r="E467">
        <f t="shared" ca="1" si="51"/>
        <v>0.72180293365204429</v>
      </c>
      <c r="F467">
        <f t="shared" ca="1" si="52"/>
        <v>3</v>
      </c>
      <c r="G467">
        <f t="shared" ca="1" si="53"/>
        <v>2</v>
      </c>
      <c r="H467">
        <f ca="1">AVERAGE($G$2:G467)</f>
        <v>0.29828326180257508</v>
      </c>
      <c r="I467">
        <f ca="1">_xlfn.VAR.P($G$2:G467)</f>
        <v>15.466821087144725</v>
      </c>
      <c r="AE467">
        <f t="shared" si="55"/>
        <v>465</v>
      </c>
      <c r="AF467" s="66">
        <f t="shared" si="54"/>
        <v>1</v>
      </c>
    </row>
    <row r="468" spans="1:32" x14ac:dyDescent="0.3">
      <c r="A468">
        <f t="shared" ca="1" si="49"/>
        <v>0.66155314880144445</v>
      </c>
      <c r="B468">
        <f t="shared" ca="1" si="50"/>
        <v>3</v>
      </c>
      <c r="C468">
        <f ca="1">AVERAGE($B$2:B468)</f>
        <v>2.3768736616702357</v>
      </c>
      <c r="D468">
        <f ca="1">_xlfn.VAR.P($B$2:B468)</f>
        <v>7.5110711681928022</v>
      </c>
      <c r="E468">
        <f t="shared" ca="1" si="51"/>
        <v>0.50050738499684921</v>
      </c>
      <c r="F468">
        <f t="shared" ca="1" si="52"/>
        <v>1</v>
      </c>
      <c r="G468">
        <f t="shared" ca="1" si="53"/>
        <v>2</v>
      </c>
      <c r="H468">
        <f ca="1">AVERAGE($G$2:G468)</f>
        <v>0.30192719486081371</v>
      </c>
      <c r="I468">
        <f ca="1">_xlfn.VAR.P($G$2:G468)</f>
        <v>15.439889219538813</v>
      </c>
      <c r="AE468">
        <f t="shared" si="55"/>
        <v>466</v>
      </c>
      <c r="AF468" s="66">
        <f t="shared" si="54"/>
        <v>1</v>
      </c>
    </row>
    <row r="469" spans="1:32" x14ac:dyDescent="0.3">
      <c r="A469">
        <f t="shared" ca="1" si="49"/>
        <v>0.68423589830304343</v>
      </c>
      <c r="B469">
        <f t="shared" ca="1" si="50"/>
        <v>3</v>
      </c>
      <c r="C469">
        <f ca="1">AVERAGE($B$2:B469)</f>
        <v>2.3782051282051282</v>
      </c>
      <c r="D469">
        <f ca="1">_xlfn.VAR.P($B$2:B469)</f>
        <v>7.4958497698882312</v>
      </c>
      <c r="E469">
        <f t="shared" ca="1" si="51"/>
        <v>0.12963927897183347</v>
      </c>
      <c r="F469">
        <f t="shared" ca="1" si="52"/>
        <v>0</v>
      </c>
      <c r="G469">
        <f t="shared" ca="1" si="53"/>
        <v>3</v>
      </c>
      <c r="H469">
        <f ca="1">AVERAGE($G$2:G469)</f>
        <v>0.30769230769230771</v>
      </c>
      <c r="I469">
        <f ca="1">_xlfn.VAR.P($G$2:G469)</f>
        <v>15.422419460880999</v>
      </c>
      <c r="AE469">
        <f t="shared" si="55"/>
        <v>467</v>
      </c>
      <c r="AF469" s="66">
        <f t="shared" si="54"/>
        <v>1</v>
      </c>
    </row>
    <row r="470" spans="1:32" x14ac:dyDescent="0.3">
      <c r="A470">
        <f t="shared" ca="1" si="49"/>
        <v>0.45419607299423059</v>
      </c>
      <c r="B470">
        <f t="shared" ca="1" si="50"/>
        <v>1</v>
      </c>
      <c r="C470">
        <f ca="1">AVERAGE($B$2:B470)</f>
        <v>2.375266524520256</v>
      </c>
      <c r="D470">
        <f ca="1">_xlfn.VAR.P($B$2:B470)</f>
        <v>7.4839085110542323</v>
      </c>
      <c r="E470">
        <f t="shared" ca="1" si="51"/>
        <v>0.49905550033614099</v>
      </c>
      <c r="F470">
        <f t="shared" ca="1" si="52"/>
        <v>1</v>
      </c>
      <c r="G470">
        <f t="shared" ca="1" si="53"/>
        <v>0</v>
      </c>
      <c r="H470">
        <f ca="1">AVERAGE($G$2:G470)</f>
        <v>0.30703624733475482</v>
      </c>
      <c r="I470">
        <f ca="1">_xlfn.VAR.P($G$2:G470)</f>
        <v>15.38973727160724</v>
      </c>
      <c r="AE470">
        <f t="shared" si="55"/>
        <v>468</v>
      </c>
      <c r="AF470" s="66">
        <f t="shared" si="54"/>
        <v>1</v>
      </c>
    </row>
    <row r="471" spans="1:32" x14ac:dyDescent="0.3">
      <c r="A471">
        <f t="shared" ca="1" si="49"/>
        <v>0.73595765056613638</v>
      </c>
      <c r="B471">
        <f t="shared" ca="1" si="50"/>
        <v>3</v>
      </c>
      <c r="C471">
        <f ca="1">AVERAGE($B$2:B471)</f>
        <v>2.3765957446808512</v>
      </c>
      <c r="D471">
        <f ca="1">_xlfn.VAR.P($B$2:B471)</f>
        <v>7.4688139429606153</v>
      </c>
      <c r="E471">
        <f t="shared" ca="1" si="51"/>
        <v>0.607854248875767</v>
      </c>
      <c r="F471">
        <f t="shared" ca="1" si="52"/>
        <v>2</v>
      </c>
      <c r="G471">
        <f t="shared" ca="1" si="53"/>
        <v>1</v>
      </c>
      <c r="H471">
        <f ca="1">AVERAGE($G$2:G471)</f>
        <v>0.30851063829787234</v>
      </c>
      <c r="I471">
        <f ca="1">_xlfn.VAR.P($G$2:G471)</f>
        <v>15.358012675418742</v>
      </c>
      <c r="AE471">
        <f t="shared" si="55"/>
        <v>469</v>
      </c>
      <c r="AF471" s="66">
        <f t="shared" si="54"/>
        <v>1</v>
      </c>
    </row>
    <row r="472" spans="1:32" x14ac:dyDescent="0.3">
      <c r="A472">
        <f t="shared" ca="1" si="49"/>
        <v>0.69958313957701501</v>
      </c>
      <c r="B472">
        <f t="shared" ca="1" si="50"/>
        <v>3</v>
      </c>
      <c r="C472">
        <f ca="1">AVERAGE($B$2:B472)</f>
        <v>2.3779193205944797</v>
      </c>
      <c r="D472">
        <f ca="1">_xlfn.VAR.P($B$2:B472)</f>
        <v>7.4537799595205572</v>
      </c>
      <c r="E472">
        <f t="shared" ca="1" si="51"/>
        <v>0.67747393964213209</v>
      </c>
      <c r="F472">
        <f t="shared" ca="1" si="52"/>
        <v>3</v>
      </c>
      <c r="G472">
        <f t="shared" ca="1" si="53"/>
        <v>0</v>
      </c>
      <c r="H472">
        <f ca="1">AVERAGE($G$2:G472)</f>
        <v>0.30785562632696389</v>
      </c>
      <c r="I472">
        <f ca="1">_xlfn.VAR.P($G$2:G472)</f>
        <v>15.325607078943928</v>
      </c>
      <c r="AE472">
        <f t="shared" si="55"/>
        <v>470</v>
      </c>
      <c r="AF472" s="66">
        <f t="shared" si="54"/>
        <v>1</v>
      </c>
    </row>
    <row r="473" spans="1:32" x14ac:dyDescent="0.3">
      <c r="A473">
        <f t="shared" ca="1" si="49"/>
        <v>0.52603673400725515</v>
      </c>
      <c r="B473">
        <f t="shared" ca="1" si="50"/>
        <v>2</v>
      </c>
      <c r="C473">
        <f ca="1">AVERAGE($B$2:B473)</f>
        <v>2.3771186440677967</v>
      </c>
      <c r="D473">
        <f ca="1">_xlfn.VAR.P($B$2:B473)</f>
        <v>7.4382900028727379</v>
      </c>
      <c r="E473">
        <f t="shared" ca="1" si="51"/>
        <v>0.46483847668940126</v>
      </c>
      <c r="F473">
        <f t="shared" ca="1" si="52"/>
        <v>1</v>
      </c>
      <c r="G473">
        <f t="shared" ca="1" si="53"/>
        <v>1</v>
      </c>
      <c r="H473">
        <f ca="1">AVERAGE($G$2:G473)</f>
        <v>0.30932203389830509</v>
      </c>
      <c r="I473">
        <f ca="1">_xlfn.VAR.P($G$2:G473)</f>
        <v>15.294150387819592</v>
      </c>
      <c r="AE473">
        <f t="shared" si="55"/>
        <v>471</v>
      </c>
      <c r="AF473" s="66">
        <f t="shared" si="54"/>
        <v>1</v>
      </c>
    </row>
    <row r="474" spans="1:32" x14ac:dyDescent="0.3">
      <c r="A474">
        <f t="shared" ca="1" si="49"/>
        <v>0.22200075691634902</v>
      </c>
      <c r="B474">
        <f t="shared" ca="1" si="50"/>
        <v>0</v>
      </c>
      <c r="C474">
        <f ca="1">AVERAGE($B$2:B474)</f>
        <v>2.3720930232558142</v>
      </c>
      <c r="D474">
        <f ca="1">_xlfn.VAR.P($B$2:B474)</f>
        <v>7.4344854712621071</v>
      </c>
      <c r="E474">
        <f t="shared" ca="1" si="51"/>
        <v>0.36642055979487975</v>
      </c>
      <c r="F474">
        <f t="shared" ca="1" si="52"/>
        <v>1</v>
      </c>
      <c r="G474">
        <f t="shared" ca="1" si="53"/>
        <v>-1</v>
      </c>
      <c r="H474">
        <f ca="1">AVERAGE($G$2:G474)</f>
        <v>0.30655391120507397</v>
      </c>
      <c r="I474">
        <f ca="1">_xlfn.VAR.P($G$2:G474)</f>
        <v>15.26543273335151</v>
      </c>
      <c r="AE474">
        <f t="shared" si="55"/>
        <v>472</v>
      </c>
      <c r="AF474" s="66">
        <f t="shared" si="54"/>
        <v>1</v>
      </c>
    </row>
    <row r="475" spans="1:32" x14ac:dyDescent="0.3">
      <c r="A475">
        <f t="shared" ca="1" si="49"/>
        <v>0.19225147156306344</v>
      </c>
      <c r="B475">
        <f t="shared" ca="1" si="50"/>
        <v>0</v>
      </c>
      <c r="C475">
        <f ca="1">AVERAGE($B$2:B475)</f>
        <v>2.3670886075949369</v>
      </c>
      <c r="D475">
        <f ca="1">_xlfn.VAR.P($B$2:B475)</f>
        <v>7.430646798055867</v>
      </c>
      <c r="E475">
        <f t="shared" ca="1" si="51"/>
        <v>0.92114588056899716</v>
      </c>
      <c r="F475">
        <f t="shared" ca="1" si="52"/>
        <v>7</v>
      </c>
      <c r="G475">
        <f t="shared" ca="1" si="53"/>
        <v>-7</v>
      </c>
      <c r="H475">
        <f ca="1">AVERAGE($G$2:G475)</f>
        <v>0.29113924050632911</v>
      </c>
      <c r="I475">
        <f ca="1">_xlfn.VAR.P($G$2:G475)</f>
        <v>15.34561768947284</v>
      </c>
      <c r="AE475">
        <f t="shared" si="55"/>
        <v>473</v>
      </c>
      <c r="AF475" s="66">
        <f t="shared" si="54"/>
        <v>1</v>
      </c>
    </row>
    <row r="476" spans="1:32" x14ac:dyDescent="0.3">
      <c r="A476">
        <f t="shared" ca="1" si="49"/>
        <v>0.88576641378622722</v>
      </c>
      <c r="B476">
        <f t="shared" ca="1" si="50"/>
        <v>6</v>
      </c>
      <c r="C476">
        <f ca="1">AVERAGE($B$2:B476)</f>
        <v>2.3747368421052633</v>
      </c>
      <c r="D476">
        <f ca="1">_xlfn.VAR.P($B$2:B476)</f>
        <v>7.4427301939058168</v>
      </c>
      <c r="E476">
        <f t="shared" ca="1" si="51"/>
        <v>0.43128020193512573</v>
      </c>
      <c r="F476">
        <f t="shared" ca="1" si="52"/>
        <v>1</v>
      </c>
      <c r="G476">
        <f t="shared" ca="1" si="53"/>
        <v>5</v>
      </c>
      <c r="H476">
        <f ca="1">AVERAGE($G$2:G476)</f>
        <v>0.30105263157894735</v>
      </c>
      <c r="I476">
        <f ca="1">_xlfn.VAR.P($G$2:G476)</f>
        <v>15.359893628808864</v>
      </c>
      <c r="AE476">
        <f t="shared" si="55"/>
        <v>474</v>
      </c>
      <c r="AF476" s="66">
        <f t="shared" si="54"/>
        <v>1</v>
      </c>
    </row>
    <row r="477" spans="1:32" x14ac:dyDescent="0.3">
      <c r="A477">
        <f t="shared" ca="1" si="49"/>
        <v>0.23131947503808004</v>
      </c>
      <c r="B477">
        <f t="shared" ca="1" si="50"/>
        <v>0</v>
      </c>
      <c r="C477">
        <f ca="1">AVERAGE($B$2:B477)</f>
        <v>2.3697478991596639</v>
      </c>
      <c r="D477">
        <f ca="1">_xlfn.VAR.P($B$2:B477)</f>
        <v>7.4389167431678551</v>
      </c>
      <c r="E477">
        <f t="shared" ca="1" si="51"/>
        <v>0.80099746439742037</v>
      </c>
      <c r="F477">
        <f t="shared" ca="1" si="52"/>
        <v>4</v>
      </c>
      <c r="G477">
        <f t="shared" ca="1" si="53"/>
        <v>-4</v>
      </c>
      <c r="H477">
        <f ca="1">AVERAGE($G$2:G477)</f>
        <v>0.29201680672268909</v>
      </c>
      <c r="I477">
        <f ca="1">_xlfn.VAR.P($G$2:G477)</f>
        <v>15.366406856860392</v>
      </c>
      <c r="AE477">
        <f t="shared" si="55"/>
        <v>475</v>
      </c>
      <c r="AF477" s="66">
        <f t="shared" si="54"/>
        <v>1</v>
      </c>
    </row>
    <row r="478" spans="1:32" x14ac:dyDescent="0.3">
      <c r="A478">
        <f t="shared" ca="1" si="49"/>
        <v>0.62450278405288751</v>
      </c>
      <c r="B478">
        <f t="shared" ca="1" si="50"/>
        <v>2</v>
      </c>
      <c r="C478">
        <f ca="1">AVERAGE($B$2:B478)</f>
        <v>2.3689727463312371</v>
      </c>
      <c r="D478">
        <f ca="1">_xlfn.VAR.P($B$2:B478)</f>
        <v>7.4236075401377404</v>
      </c>
      <c r="E478">
        <f t="shared" ca="1" si="51"/>
        <v>0.71782659011316519</v>
      </c>
      <c r="F478">
        <f t="shared" ca="1" si="52"/>
        <v>3</v>
      </c>
      <c r="G478">
        <f t="shared" ca="1" si="53"/>
        <v>-1</v>
      </c>
      <c r="H478">
        <f ca="1">AVERAGE($G$2:G478)</f>
        <v>0.28930817610062892</v>
      </c>
      <c r="I478">
        <f ca="1">_xlfn.VAR.P($G$2:G478)</f>
        <v>15.33768442704007</v>
      </c>
      <c r="AE478">
        <f t="shared" si="55"/>
        <v>476</v>
      </c>
      <c r="AF478" s="66">
        <f t="shared" si="54"/>
        <v>1</v>
      </c>
    </row>
    <row r="479" spans="1:32" x14ac:dyDescent="0.3">
      <c r="A479">
        <f t="shared" ca="1" si="49"/>
        <v>0.93018767995078322</v>
      </c>
      <c r="B479">
        <f t="shared" ca="1" si="50"/>
        <v>7</v>
      </c>
      <c r="C479">
        <f ca="1">AVERAGE($B$2:B479)</f>
        <v>2.3786610878661087</v>
      </c>
      <c r="D479">
        <f ca="1">_xlfn.VAR.P($B$2:B479)</f>
        <v>7.4528500901594859</v>
      </c>
      <c r="E479">
        <f t="shared" ca="1" si="51"/>
        <v>0.60232419603896981</v>
      </c>
      <c r="F479">
        <f t="shared" ca="1" si="52"/>
        <v>2</v>
      </c>
      <c r="G479">
        <f t="shared" ca="1" si="53"/>
        <v>5</v>
      </c>
      <c r="H479">
        <f ca="1">AVERAGE($G$2:G479)</f>
        <v>0.29916317991631797</v>
      </c>
      <c r="I479">
        <f ca="1">_xlfn.VAR.P($G$2:G479)</f>
        <v>15.351923985924616</v>
      </c>
      <c r="AE479">
        <f t="shared" si="55"/>
        <v>477</v>
      </c>
      <c r="AF479" s="66">
        <f t="shared" si="54"/>
        <v>1</v>
      </c>
    </row>
    <row r="480" spans="1:32" x14ac:dyDescent="0.3">
      <c r="A480">
        <f t="shared" ca="1" si="49"/>
        <v>0.15157689944267083</v>
      </c>
      <c r="B480">
        <f t="shared" ca="1" si="50"/>
        <v>0</v>
      </c>
      <c r="C480">
        <f ca="1">AVERAGE($B$2:B480)</f>
        <v>2.373695198329854</v>
      </c>
      <c r="D480">
        <f ca="1">_xlfn.VAR.P($B$2:B480)</f>
        <v>7.4490784123151483</v>
      </c>
      <c r="E480">
        <f t="shared" ca="1" si="51"/>
        <v>0.87465776161918107</v>
      </c>
      <c r="F480">
        <f t="shared" ca="1" si="52"/>
        <v>5</v>
      </c>
      <c r="G480">
        <f t="shared" ca="1" si="53"/>
        <v>-5</v>
      </c>
      <c r="H480">
        <f ca="1">AVERAGE($G$2:G480)</f>
        <v>0.2881002087682672</v>
      </c>
      <c r="I480">
        <f ca="1">_xlfn.VAR.P($G$2:G480)</f>
        <v>15.378376140271355</v>
      </c>
      <c r="AE480">
        <f t="shared" si="55"/>
        <v>478</v>
      </c>
      <c r="AF480" s="66">
        <f t="shared" si="54"/>
        <v>1</v>
      </c>
    </row>
    <row r="481" spans="1:32" x14ac:dyDescent="0.3">
      <c r="A481">
        <f t="shared" ca="1" si="49"/>
        <v>0.86272980844899017</v>
      </c>
      <c r="B481">
        <f t="shared" ca="1" si="50"/>
        <v>5</v>
      </c>
      <c r="C481">
        <f ca="1">AVERAGE($B$2:B481)</f>
        <v>2.3791666666666669</v>
      </c>
      <c r="D481">
        <f ca="1">_xlfn.VAR.P($B$2:B481)</f>
        <v>7.4478993055555556</v>
      </c>
      <c r="E481">
        <f t="shared" ca="1" si="51"/>
        <v>0.3485740655886197</v>
      </c>
      <c r="F481">
        <f t="shared" ca="1" si="52"/>
        <v>1</v>
      </c>
      <c r="G481">
        <f t="shared" ca="1" si="53"/>
        <v>4</v>
      </c>
      <c r="H481">
        <f ca="1">AVERAGE($G$2:G481)</f>
        <v>0.29583333333333334</v>
      </c>
      <c r="I481">
        <f ca="1">_xlfn.VAR.P($G$2:G481)</f>
        <v>15.374982638888889</v>
      </c>
      <c r="AE481">
        <f t="shared" si="55"/>
        <v>479</v>
      </c>
      <c r="AF481" s="66">
        <f t="shared" si="54"/>
        <v>1</v>
      </c>
    </row>
    <row r="482" spans="1:32" x14ac:dyDescent="0.3">
      <c r="A482">
        <f t="shared" ca="1" si="49"/>
        <v>0.313991133636916</v>
      </c>
      <c r="B482">
        <f t="shared" ca="1" si="50"/>
        <v>1</v>
      </c>
      <c r="C482">
        <f ca="1">AVERAGE($B$2:B482)</f>
        <v>2.3762993762993765</v>
      </c>
      <c r="D482">
        <f ca="1">_xlfn.VAR.P($B$2:B482)</f>
        <v>7.4363613573592779</v>
      </c>
      <c r="E482">
        <f t="shared" ca="1" si="51"/>
        <v>0.48818943772436096</v>
      </c>
      <c r="F482">
        <f t="shared" ca="1" si="52"/>
        <v>1</v>
      </c>
      <c r="G482">
        <f t="shared" ca="1" si="53"/>
        <v>0</v>
      </c>
      <c r="H482">
        <f ca="1">AVERAGE($G$2:G482)</f>
        <v>0.29521829521829523</v>
      </c>
      <c r="I482">
        <f ca="1">_xlfn.VAR.P($G$2:G482)</f>
        <v>15.343199588521834</v>
      </c>
      <c r="AE482">
        <f t="shared" si="55"/>
        <v>480</v>
      </c>
      <c r="AF482" s="66">
        <f t="shared" si="54"/>
        <v>1</v>
      </c>
    </row>
    <row r="483" spans="1:32" x14ac:dyDescent="0.3">
      <c r="A483">
        <f t="shared" ca="1" si="49"/>
        <v>0.74690871395455827</v>
      </c>
      <c r="B483">
        <f t="shared" ca="1" si="50"/>
        <v>3</v>
      </c>
      <c r="C483">
        <f ca="1">AVERAGE($B$2:B483)</f>
        <v>2.3775933609958506</v>
      </c>
      <c r="D483">
        <f ca="1">_xlfn.VAR.P($B$2:B483)</f>
        <v>7.4217386064289528</v>
      </c>
      <c r="E483">
        <f t="shared" ca="1" si="51"/>
        <v>0.16334868933189739</v>
      </c>
      <c r="F483">
        <f t="shared" ca="1" si="52"/>
        <v>0</v>
      </c>
      <c r="G483">
        <f t="shared" ca="1" si="53"/>
        <v>3</v>
      </c>
      <c r="H483">
        <f ca="1">AVERAGE($G$2:G483)</f>
        <v>0.30082987551867219</v>
      </c>
      <c r="I483">
        <f ca="1">_xlfn.VAR.P($G$2:G483)</f>
        <v>15.3265138341282</v>
      </c>
      <c r="AE483">
        <f t="shared" si="55"/>
        <v>481</v>
      </c>
      <c r="AF483" s="66">
        <f t="shared" si="54"/>
        <v>1</v>
      </c>
    </row>
    <row r="484" spans="1:32" x14ac:dyDescent="0.3">
      <c r="A484">
        <f t="shared" ca="1" si="49"/>
        <v>0.77368408558971546</v>
      </c>
      <c r="B484">
        <f t="shared" ca="1" si="50"/>
        <v>4</v>
      </c>
      <c r="C484">
        <f ca="1">AVERAGE($B$2:B484)</f>
        <v>2.3809523809523809</v>
      </c>
      <c r="D484">
        <f ca="1">_xlfn.VAR.P($B$2:B484)</f>
        <v>7.4118111012520949</v>
      </c>
      <c r="E484">
        <f t="shared" ca="1" si="51"/>
        <v>0.68941658175701093</v>
      </c>
      <c r="F484">
        <f t="shared" ca="1" si="52"/>
        <v>3</v>
      </c>
      <c r="G484">
        <f t="shared" ca="1" si="53"/>
        <v>1</v>
      </c>
      <c r="H484">
        <f ca="1">AVERAGE($G$2:G484)</f>
        <v>0.3022774327122153</v>
      </c>
      <c r="I484">
        <f ca="1">_xlfn.VAR.P($G$2:G484)</f>
        <v>15.295791914749516</v>
      </c>
      <c r="AE484">
        <f t="shared" si="55"/>
        <v>482</v>
      </c>
      <c r="AF484" s="66">
        <f t="shared" si="54"/>
        <v>1</v>
      </c>
    </row>
    <row r="485" spans="1:32" x14ac:dyDescent="0.3">
      <c r="A485">
        <f t="shared" ca="1" si="49"/>
        <v>0.4543716054051532</v>
      </c>
      <c r="B485">
        <f t="shared" ca="1" si="50"/>
        <v>1</v>
      </c>
      <c r="C485">
        <f ca="1">AVERAGE($B$2:B485)</f>
        <v>2.3780991735537191</v>
      </c>
      <c r="D485">
        <f ca="1">_xlfn.VAR.P($B$2:B485)</f>
        <v>7.4004294447100607</v>
      </c>
      <c r="E485">
        <f t="shared" ca="1" si="51"/>
        <v>0.11641176144169796</v>
      </c>
      <c r="F485">
        <f t="shared" ca="1" si="52"/>
        <v>0</v>
      </c>
      <c r="G485">
        <f t="shared" ca="1" si="53"/>
        <v>1</v>
      </c>
      <c r="H485">
        <f ca="1">AVERAGE($G$2:G485)</f>
        <v>0.3037190082644628</v>
      </c>
      <c r="I485">
        <f ca="1">_xlfn.VAR.P($G$2:G485)</f>
        <v>15.265192780547777</v>
      </c>
      <c r="AE485">
        <f t="shared" si="55"/>
        <v>483</v>
      </c>
      <c r="AF485" s="66">
        <f t="shared" si="54"/>
        <v>1</v>
      </c>
    </row>
    <row r="486" spans="1:32" x14ac:dyDescent="0.3">
      <c r="A486">
        <f t="shared" ca="1" si="49"/>
        <v>0.33622556054193886</v>
      </c>
      <c r="B486">
        <f t="shared" ca="1" si="50"/>
        <v>1</v>
      </c>
      <c r="C486">
        <f ca="1">AVERAGE($B$2:B486)</f>
        <v>2.3752577319587629</v>
      </c>
      <c r="D486">
        <f ca="1">_xlfn.VAR.P($B$2:B486)</f>
        <v>7.38907854182166</v>
      </c>
      <c r="E486">
        <f t="shared" ca="1" si="51"/>
        <v>0.94191904508276314</v>
      </c>
      <c r="F486">
        <f t="shared" ca="1" si="52"/>
        <v>7</v>
      </c>
      <c r="G486">
        <f t="shared" ca="1" si="53"/>
        <v>-6</v>
      </c>
      <c r="H486">
        <f ca="1">AVERAGE($G$2:G486)</f>
        <v>0.2907216494845361</v>
      </c>
      <c r="I486">
        <f ca="1">_xlfn.VAR.P($G$2:G486)</f>
        <v>15.31548092252099</v>
      </c>
      <c r="AE486">
        <f t="shared" si="55"/>
        <v>484</v>
      </c>
      <c r="AF486" s="66">
        <f t="shared" si="54"/>
        <v>1</v>
      </c>
    </row>
    <row r="487" spans="1:32" x14ac:dyDescent="0.3">
      <c r="A487">
        <f t="shared" ca="1" si="49"/>
        <v>0.42740782412957612</v>
      </c>
      <c r="B487">
        <f t="shared" ca="1" si="50"/>
        <v>1</v>
      </c>
      <c r="C487">
        <f ca="1">AVERAGE($B$2:B487)</f>
        <v>2.3724279835390947</v>
      </c>
      <c r="D487">
        <f ca="1">_xlfn.VAR.P($B$2:B487)</f>
        <v>7.3777583024267983</v>
      </c>
      <c r="E487">
        <f t="shared" ca="1" si="51"/>
        <v>7.2922893491893959E-2</v>
      </c>
      <c r="F487">
        <f t="shared" ca="1" si="52"/>
        <v>0</v>
      </c>
      <c r="G487">
        <f t="shared" ca="1" si="53"/>
        <v>1</v>
      </c>
      <c r="H487">
        <f ca="1">AVERAGE($G$2:G487)</f>
        <v>0.29218106995884774</v>
      </c>
      <c r="I487">
        <f ca="1">_xlfn.VAR.P($G$2:G487)</f>
        <v>15.285000592728073</v>
      </c>
      <c r="AE487">
        <f t="shared" si="55"/>
        <v>485</v>
      </c>
      <c r="AF487" s="66">
        <f t="shared" si="54"/>
        <v>1</v>
      </c>
    </row>
    <row r="488" spans="1:32" x14ac:dyDescent="0.3">
      <c r="A488">
        <f t="shared" ca="1" si="49"/>
        <v>0.42713541718408565</v>
      </c>
      <c r="B488">
        <f t="shared" ca="1" si="50"/>
        <v>1</v>
      </c>
      <c r="C488">
        <f ca="1">AVERAGE($B$2:B488)</f>
        <v>2.3696098562628336</v>
      </c>
      <c r="D488">
        <f ca="1">_xlfn.VAR.P($B$2:B488)</f>
        <v>7.3664686362888911</v>
      </c>
      <c r="E488">
        <f t="shared" ca="1" si="51"/>
        <v>0.86536280629742601</v>
      </c>
      <c r="F488">
        <f t="shared" ca="1" si="52"/>
        <v>5</v>
      </c>
      <c r="G488">
        <f t="shared" ca="1" si="53"/>
        <v>-4</v>
      </c>
      <c r="H488">
        <f ca="1">AVERAGE($G$2:G488)</f>
        <v>0.28336755646817247</v>
      </c>
      <c r="I488">
        <f ca="1">_xlfn.VAR.P($G$2:G488)</f>
        <v>15.291366072294441</v>
      </c>
      <c r="AE488">
        <f t="shared" si="55"/>
        <v>486</v>
      </c>
      <c r="AF488" s="66">
        <f t="shared" si="54"/>
        <v>1</v>
      </c>
    </row>
    <row r="489" spans="1:32" x14ac:dyDescent="0.3">
      <c r="A489">
        <f t="shared" ca="1" si="49"/>
        <v>0.43305798140211316</v>
      </c>
      <c r="B489">
        <f t="shared" ca="1" si="50"/>
        <v>1</v>
      </c>
      <c r="C489">
        <f ca="1">AVERAGE($B$2:B489)</f>
        <v>2.3668032786885247</v>
      </c>
      <c r="D489">
        <f ca="1">_xlfn.VAR.P($B$2:B489)</f>
        <v>7.3552094531040044</v>
      </c>
      <c r="E489">
        <f t="shared" ca="1" si="51"/>
        <v>0.54074879059601555</v>
      </c>
      <c r="F489">
        <f t="shared" ca="1" si="52"/>
        <v>2</v>
      </c>
      <c r="G489">
        <f t="shared" ca="1" si="53"/>
        <v>-1</v>
      </c>
      <c r="H489">
        <f ca="1">AVERAGE($G$2:G489)</f>
        <v>0.28073770491803279</v>
      </c>
      <c r="I489">
        <f ca="1">_xlfn.VAR.P($G$2:G489)</f>
        <v>15.263399455791454</v>
      </c>
      <c r="AE489">
        <f t="shared" si="55"/>
        <v>487</v>
      </c>
      <c r="AF489" s="66">
        <f t="shared" si="54"/>
        <v>1</v>
      </c>
    </row>
    <row r="490" spans="1:32" x14ac:dyDescent="0.3">
      <c r="A490">
        <f t="shared" ca="1" si="49"/>
        <v>0.78402169437445712</v>
      </c>
      <c r="B490">
        <f t="shared" ca="1" si="50"/>
        <v>4</v>
      </c>
      <c r="C490">
        <f ca="1">AVERAGE($B$2:B490)</f>
        <v>2.3701431492842535</v>
      </c>
      <c r="D490">
        <f ca="1">_xlfn.VAR.P($B$2:B490)</f>
        <v>7.3456116359500001</v>
      </c>
      <c r="E490">
        <f t="shared" ca="1" si="51"/>
        <v>0.85739229122917271</v>
      </c>
      <c r="F490">
        <f t="shared" ca="1" si="52"/>
        <v>5</v>
      </c>
      <c r="G490">
        <f t="shared" ca="1" si="53"/>
        <v>-1</v>
      </c>
      <c r="H490">
        <f ca="1">AVERAGE($G$2:G490)</f>
        <v>0.27811860940695299</v>
      </c>
      <c r="I490">
        <f ca="1">_xlfn.VAR.P($G$2:G490)</f>
        <v>15.235533474684365</v>
      </c>
      <c r="AE490">
        <f t="shared" si="55"/>
        <v>488</v>
      </c>
      <c r="AF490" s="66">
        <f t="shared" si="54"/>
        <v>1</v>
      </c>
    </row>
    <row r="491" spans="1:32" x14ac:dyDescent="0.3">
      <c r="A491">
        <f t="shared" ca="1" si="49"/>
        <v>0.54627253117045382</v>
      </c>
      <c r="B491">
        <f t="shared" ca="1" si="50"/>
        <v>2</v>
      </c>
      <c r="C491">
        <f ca="1">AVERAGE($B$2:B491)</f>
        <v>2.369387755102041</v>
      </c>
      <c r="D491">
        <f ca="1">_xlfn.VAR.P($B$2:B491)</f>
        <v>7.3308996251561851</v>
      </c>
      <c r="E491">
        <f t="shared" ca="1" si="51"/>
        <v>0.89462403913128286</v>
      </c>
      <c r="F491">
        <f t="shared" ca="1" si="52"/>
        <v>6</v>
      </c>
      <c r="G491">
        <f t="shared" ca="1" si="53"/>
        <v>-4</v>
      </c>
      <c r="H491">
        <f ca="1">AVERAGE($G$2:G491)</f>
        <v>0.26938775510204083</v>
      </c>
      <c r="I491">
        <f ca="1">_xlfn.VAR.P($G$2:G491)</f>
        <v>15.241715951686798</v>
      </c>
      <c r="AE491">
        <f t="shared" si="55"/>
        <v>489</v>
      </c>
      <c r="AF491" s="66">
        <f t="shared" si="54"/>
        <v>1</v>
      </c>
    </row>
    <row r="492" spans="1:32" x14ac:dyDescent="0.3">
      <c r="A492">
        <f t="shared" ca="1" si="49"/>
        <v>0.45892886675133338</v>
      </c>
      <c r="B492">
        <f t="shared" ca="1" si="50"/>
        <v>1</v>
      </c>
      <c r="C492">
        <f ca="1">AVERAGE($B$2:B492)</f>
        <v>2.3665987780040734</v>
      </c>
      <c r="D492">
        <f ca="1">_xlfn.VAR.P($B$2:B492)</f>
        <v>7.319780488715411</v>
      </c>
      <c r="E492">
        <f t="shared" ca="1" si="51"/>
        <v>0.10498682249842806</v>
      </c>
      <c r="F492">
        <f t="shared" ca="1" si="52"/>
        <v>0</v>
      </c>
      <c r="G492">
        <f t="shared" ca="1" si="53"/>
        <v>1</v>
      </c>
      <c r="H492">
        <f ca="1">AVERAGE($G$2:G492)</f>
        <v>0.2708757637474542</v>
      </c>
      <c r="I492">
        <f ca="1">_xlfn.VAR.P($G$2:G492)</f>
        <v>15.211758703506291</v>
      </c>
      <c r="AE492">
        <f t="shared" si="55"/>
        <v>490</v>
      </c>
      <c r="AF492" s="66">
        <f t="shared" si="54"/>
        <v>1</v>
      </c>
    </row>
    <row r="493" spans="1:32" x14ac:dyDescent="0.3">
      <c r="A493">
        <f t="shared" ca="1" si="49"/>
        <v>0.67500723968663612</v>
      </c>
      <c r="B493">
        <f t="shared" ca="1" si="50"/>
        <v>3</v>
      </c>
      <c r="C493">
        <f ca="1">AVERAGE($B$2:B493)</f>
        <v>2.3678861788617884</v>
      </c>
      <c r="D493">
        <f ca="1">_xlfn.VAR.P($B$2:B493)</f>
        <v>7.3057166699715781</v>
      </c>
      <c r="E493">
        <f t="shared" ca="1" si="51"/>
        <v>0.35120426023493179</v>
      </c>
      <c r="F493">
        <f t="shared" ca="1" si="52"/>
        <v>1</v>
      </c>
      <c r="G493">
        <f t="shared" ca="1" si="53"/>
        <v>2</v>
      </c>
      <c r="H493">
        <f ca="1">AVERAGE($G$2:G493)</f>
        <v>0.27439024390243905</v>
      </c>
      <c r="I493">
        <f ca="1">_xlfn.VAR.P($G$2:G493)</f>
        <v>15.186905116002379</v>
      </c>
      <c r="AE493">
        <f t="shared" si="55"/>
        <v>491</v>
      </c>
      <c r="AF493" s="66">
        <f t="shared" si="54"/>
        <v>1</v>
      </c>
    </row>
    <row r="494" spans="1:32" x14ac:dyDescent="0.3">
      <c r="A494">
        <f t="shared" ca="1" si="49"/>
        <v>0.79939383552467647</v>
      </c>
      <c r="B494">
        <f t="shared" ca="1" si="50"/>
        <v>4</v>
      </c>
      <c r="C494">
        <f ca="1">AVERAGE($B$2:B494)</f>
        <v>2.3711967545638943</v>
      </c>
      <c r="D494">
        <f ca="1">_xlfn.VAR.P($B$2:B494)</f>
        <v>7.2962900485087365</v>
      </c>
      <c r="E494">
        <f t="shared" ca="1" si="51"/>
        <v>0.63352024856957079</v>
      </c>
      <c r="F494">
        <f t="shared" ca="1" si="52"/>
        <v>2</v>
      </c>
      <c r="G494">
        <f t="shared" ca="1" si="53"/>
        <v>2</v>
      </c>
      <c r="H494">
        <f ca="1">AVERAGE($G$2:G494)</f>
        <v>0.27789046653144017</v>
      </c>
      <c r="I494">
        <f ca="1">_xlfn.VAR.P($G$2:G494)</f>
        <v>15.162127801389843</v>
      </c>
      <c r="AE494">
        <f t="shared" si="55"/>
        <v>492</v>
      </c>
      <c r="AF494" s="66">
        <f t="shared" si="54"/>
        <v>1</v>
      </c>
    </row>
    <row r="495" spans="1:32" x14ac:dyDescent="0.3">
      <c r="A495">
        <f t="shared" ca="1" si="49"/>
        <v>0.31475038862939353</v>
      </c>
      <c r="B495">
        <f t="shared" ca="1" si="50"/>
        <v>1</v>
      </c>
      <c r="C495">
        <f ca="1">AVERAGE($B$2:B495)</f>
        <v>2.3684210526315788</v>
      </c>
      <c r="D495">
        <f ca="1">_xlfn.VAR.P($B$2:B495)</f>
        <v>7.2853185595567869</v>
      </c>
      <c r="E495">
        <f t="shared" ca="1" si="51"/>
        <v>0.67540731802127185</v>
      </c>
      <c r="F495">
        <f t="shared" ca="1" si="52"/>
        <v>3</v>
      </c>
      <c r="G495">
        <f t="shared" ca="1" si="53"/>
        <v>-2</v>
      </c>
      <c r="H495">
        <f ca="1">AVERAGE($G$2:G495)</f>
        <v>0.27327935222672067</v>
      </c>
      <c r="I495">
        <f ca="1">_xlfn.VAR.P($G$2:G495)</f>
        <v>15.141917585929944</v>
      </c>
      <c r="AE495">
        <f t="shared" si="55"/>
        <v>493</v>
      </c>
      <c r="AF495" s="66">
        <f t="shared" si="54"/>
        <v>1</v>
      </c>
    </row>
    <row r="496" spans="1:32" x14ac:dyDescent="0.3">
      <c r="A496">
        <f t="shared" ca="1" si="49"/>
        <v>0.10025419774646194</v>
      </c>
      <c r="B496">
        <f t="shared" ca="1" si="50"/>
        <v>0</v>
      </c>
      <c r="C496">
        <f ca="1">AVERAGE($B$2:B496)</f>
        <v>2.3636363636363638</v>
      </c>
      <c r="D496">
        <f ca="1">_xlfn.VAR.P($B$2:B496)</f>
        <v>7.2819100091827362</v>
      </c>
      <c r="E496">
        <f t="shared" ca="1" si="51"/>
        <v>0.62647555025426904</v>
      </c>
      <c r="F496">
        <f t="shared" ca="1" si="52"/>
        <v>2</v>
      </c>
      <c r="G496">
        <f t="shared" ca="1" si="53"/>
        <v>-2</v>
      </c>
      <c r="H496">
        <f ca="1">AVERAGE($G$2:G496)</f>
        <v>0.2686868686868687</v>
      </c>
      <c r="I496">
        <f ca="1">_xlfn.VAR.P($G$2:G496)</f>
        <v>15.12174676053464</v>
      </c>
      <c r="AE496">
        <f t="shared" si="55"/>
        <v>494</v>
      </c>
      <c r="AF496" s="66">
        <f t="shared" si="54"/>
        <v>1</v>
      </c>
    </row>
    <row r="497" spans="1:32" x14ac:dyDescent="0.3">
      <c r="A497">
        <f t="shared" ca="1" si="49"/>
        <v>0.60374588275251961</v>
      </c>
      <c r="B497">
        <f t="shared" ca="1" si="50"/>
        <v>2</v>
      </c>
      <c r="C497">
        <f ca="1">AVERAGE($B$2:B497)</f>
        <v>2.3629032258064515</v>
      </c>
      <c r="D497">
        <f ca="1">_xlfn.VAR.P($B$2:B497)</f>
        <v>7.2674947970863686</v>
      </c>
      <c r="E497">
        <f t="shared" ca="1" si="51"/>
        <v>0.37002771267951284</v>
      </c>
      <c r="F497">
        <f t="shared" ca="1" si="52"/>
        <v>1</v>
      </c>
      <c r="G497">
        <f t="shared" ca="1" si="53"/>
        <v>1</v>
      </c>
      <c r="H497">
        <f ca="1">AVERAGE($G$2:G497)</f>
        <v>0.27016129032258063</v>
      </c>
      <c r="I497">
        <f ca="1">_xlfn.VAR.P($G$2:G497)</f>
        <v>15.0923354578564</v>
      </c>
      <c r="AE497">
        <f t="shared" si="55"/>
        <v>495</v>
      </c>
      <c r="AF497" s="66">
        <f t="shared" si="54"/>
        <v>1</v>
      </c>
    </row>
    <row r="498" spans="1:32" x14ac:dyDescent="0.3">
      <c r="A498">
        <f t="shared" ca="1" si="49"/>
        <v>0.76809057433778083</v>
      </c>
      <c r="B498">
        <f t="shared" ca="1" si="50"/>
        <v>4</v>
      </c>
      <c r="C498">
        <f ca="1">AVERAGE($B$2:B498)</f>
        <v>2.3661971830985915</v>
      </c>
      <c r="D498">
        <f ca="1">_xlfn.VAR.P($B$2:B498)</f>
        <v>7.2582537478391478</v>
      </c>
      <c r="E498">
        <f t="shared" ca="1" si="51"/>
        <v>0.2765502152389987</v>
      </c>
      <c r="F498">
        <f t="shared" ca="1" si="52"/>
        <v>0</v>
      </c>
      <c r="G498">
        <f t="shared" ca="1" si="53"/>
        <v>4</v>
      </c>
      <c r="H498">
        <f ca="1">AVERAGE($G$2:G498)</f>
        <v>0.27766599597585512</v>
      </c>
      <c r="I498">
        <f ca="1">_xlfn.VAR.P($G$2:G498)</f>
        <v>15.089903606751172</v>
      </c>
      <c r="AE498">
        <f t="shared" si="55"/>
        <v>496</v>
      </c>
      <c r="AF498" s="66">
        <f t="shared" si="54"/>
        <v>1</v>
      </c>
    </row>
    <row r="499" spans="1:32" x14ac:dyDescent="0.3">
      <c r="A499">
        <f t="shared" ca="1" si="49"/>
        <v>0.45298672782462346</v>
      </c>
      <c r="B499">
        <f t="shared" ca="1" si="50"/>
        <v>1</v>
      </c>
      <c r="C499">
        <f ca="1">AVERAGE($B$2:B499)</f>
        <v>2.3634538152610443</v>
      </c>
      <c r="D499">
        <f ca="1">_xlfn.VAR.P($B$2:B499)</f>
        <v>7.2474193964613471</v>
      </c>
      <c r="E499">
        <f t="shared" ca="1" si="51"/>
        <v>0.10338081913453001</v>
      </c>
      <c r="F499">
        <f t="shared" ca="1" si="52"/>
        <v>0</v>
      </c>
      <c r="G499">
        <f t="shared" ca="1" si="53"/>
        <v>1</v>
      </c>
      <c r="H499">
        <f ca="1">AVERAGE($G$2:G499)</f>
        <v>0.27911646586345379</v>
      </c>
      <c r="I499">
        <f ca="1">_xlfn.VAR.P($G$2:G499)</f>
        <v>15.060648215351366</v>
      </c>
      <c r="AE499">
        <f t="shared" si="55"/>
        <v>497</v>
      </c>
      <c r="AF499" s="66">
        <f t="shared" si="54"/>
        <v>1</v>
      </c>
    </row>
    <row r="500" spans="1:32" x14ac:dyDescent="0.3">
      <c r="A500">
        <f t="shared" ca="1" si="49"/>
        <v>0.81719510971512921</v>
      </c>
      <c r="B500">
        <f t="shared" ca="1" si="50"/>
        <v>4</v>
      </c>
      <c r="C500">
        <f ca="1">AVERAGE($B$2:B500)</f>
        <v>2.3667334669338675</v>
      </c>
      <c r="D500">
        <f ca="1">_xlfn.VAR.P($B$2:B500)</f>
        <v>7.2382520552126293</v>
      </c>
      <c r="E500">
        <f t="shared" ca="1" si="51"/>
        <v>0.90421272013514253</v>
      </c>
      <c r="F500">
        <f t="shared" ca="1" si="52"/>
        <v>6</v>
      </c>
      <c r="G500">
        <f t="shared" ca="1" si="53"/>
        <v>-2</v>
      </c>
      <c r="H500">
        <f ca="1">AVERAGE($G$2:G500)</f>
        <v>0.27454909819639278</v>
      </c>
      <c r="I500">
        <f ca="1">_xlfn.VAR.P($G$2:G500)</f>
        <v>15.040855257609406</v>
      </c>
      <c r="AE500">
        <f t="shared" si="55"/>
        <v>498</v>
      </c>
      <c r="AF500" s="66">
        <f t="shared" si="54"/>
        <v>1</v>
      </c>
    </row>
    <row r="501" spans="1:32" x14ac:dyDescent="0.3">
      <c r="A501">
        <f t="shared" ca="1" si="49"/>
        <v>0.34327012361175491</v>
      </c>
      <c r="B501">
        <f t="shared" ca="1" si="50"/>
        <v>1</v>
      </c>
      <c r="C501">
        <f ca="1">AVERAGE($B$2:B501)</f>
        <v>2.3639999999999999</v>
      </c>
      <c r="D501">
        <f ca="1">_xlfn.VAR.P($B$2:B501)</f>
        <v>7.2275039999999997</v>
      </c>
      <c r="E501">
        <f t="shared" ca="1" si="51"/>
        <v>0.49831042731733965</v>
      </c>
      <c r="F501">
        <f t="shared" ca="1" si="52"/>
        <v>1</v>
      </c>
      <c r="G501">
        <f t="shared" ca="1" si="53"/>
        <v>0</v>
      </c>
      <c r="H501">
        <f ca="1">AVERAGE($G$2:G501)</f>
        <v>0.27400000000000002</v>
      </c>
      <c r="I501">
        <f ca="1">_xlfn.VAR.P($G$2:G501)</f>
        <v>15.010923999999999</v>
      </c>
      <c r="AE501">
        <f t="shared" si="55"/>
        <v>499</v>
      </c>
      <c r="AF501" s="66">
        <f t="shared" si="54"/>
        <v>1</v>
      </c>
    </row>
    <row r="502" spans="1:32" x14ac:dyDescent="0.3">
      <c r="A502">
        <f t="shared" ca="1" si="49"/>
        <v>0.31026253692892636</v>
      </c>
      <c r="B502">
        <f t="shared" ca="1" si="50"/>
        <v>1</v>
      </c>
      <c r="C502">
        <f ca="1">AVERAGE($B$2:B502)</f>
        <v>2.3612774451097804</v>
      </c>
      <c r="D502">
        <f ca="1">_xlfn.VAR.P($B$2:B502)</f>
        <v>7.2167839968765062</v>
      </c>
      <c r="E502">
        <f t="shared" ca="1" si="51"/>
        <v>0.4007502904650897</v>
      </c>
      <c r="F502">
        <f t="shared" ca="1" si="52"/>
        <v>1</v>
      </c>
      <c r="G502">
        <f t="shared" ca="1" si="53"/>
        <v>0</v>
      </c>
      <c r="H502">
        <f ca="1">AVERAGE($G$2:G502)</f>
        <v>0.27345309381237526</v>
      </c>
      <c r="I502">
        <f ca="1">_xlfn.VAR.P($G$2:G502)</f>
        <v>14.981111629037335</v>
      </c>
      <c r="AE502">
        <f t="shared" si="55"/>
        <v>500</v>
      </c>
      <c r="AF502" s="66">
        <f t="shared" si="54"/>
        <v>1</v>
      </c>
    </row>
    <row r="503" spans="1:32" x14ac:dyDescent="0.3">
      <c r="A503">
        <f t="shared" ca="1" si="49"/>
        <v>0.73535184284573274</v>
      </c>
      <c r="B503">
        <f t="shared" ca="1" si="50"/>
        <v>3</v>
      </c>
      <c r="C503">
        <f ca="1">AVERAGE($B$2:B503)</f>
        <v>2.3625498007968129</v>
      </c>
      <c r="D503">
        <f ca="1">_xlfn.VAR.P($B$2:B503)</f>
        <v>7.2032189965238649</v>
      </c>
      <c r="E503">
        <f t="shared" ca="1" si="51"/>
        <v>0.26250643745032587</v>
      </c>
      <c r="F503">
        <f t="shared" ca="1" si="52"/>
        <v>0</v>
      </c>
      <c r="G503">
        <f t="shared" ca="1" si="53"/>
        <v>3</v>
      </c>
      <c r="H503">
        <f ca="1">AVERAGE($G$2:G503)</f>
        <v>0.2788844621513944</v>
      </c>
      <c r="I503">
        <f ca="1">_xlfn.VAR.P($G$2:G503)</f>
        <v>14.966048157965746</v>
      </c>
      <c r="AE503">
        <f t="shared" si="55"/>
        <v>501</v>
      </c>
      <c r="AF503" s="66">
        <f t="shared" si="54"/>
        <v>1</v>
      </c>
    </row>
    <row r="504" spans="1:32" x14ac:dyDescent="0.3">
      <c r="A504">
        <f t="shared" ca="1" si="49"/>
        <v>3.0011945570375564E-2</v>
      </c>
      <c r="B504">
        <f t="shared" ca="1" si="50"/>
        <v>0</v>
      </c>
      <c r="C504">
        <f ca="1">AVERAGE($B$2:B504)</f>
        <v>2.3578528827037775</v>
      </c>
      <c r="D504">
        <f ca="1">_xlfn.VAR.P($B$2:B504)</f>
        <v>7.1999731234857256</v>
      </c>
      <c r="E504">
        <f t="shared" ca="1" si="51"/>
        <v>0.53828728525253722</v>
      </c>
      <c r="F504">
        <f t="shared" ca="1" si="52"/>
        <v>2</v>
      </c>
      <c r="G504">
        <f t="shared" ca="1" si="53"/>
        <v>-2</v>
      </c>
      <c r="H504">
        <f ca="1">AVERAGE($G$2:G504)</f>
        <v>0.27435387673956263</v>
      </c>
      <c r="I504">
        <f ca="1">_xlfn.VAR.P($G$2:G504)</f>
        <v>14.946598737594314</v>
      </c>
      <c r="AE504">
        <f t="shared" si="55"/>
        <v>502</v>
      </c>
      <c r="AF504" s="66">
        <f t="shared" si="54"/>
        <v>1</v>
      </c>
    </row>
    <row r="505" spans="1:32" x14ac:dyDescent="0.3">
      <c r="A505">
        <f t="shared" ca="1" si="49"/>
        <v>0.57766270414876975</v>
      </c>
      <c r="B505">
        <f t="shared" ca="1" si="50"/>
        <v>2</v>
      </c>
      <c r="C505">
        <f ca="1">AVERAGE($B$2:B505)</f>
        <v>2.3571428571428572</v>
      </c>
      <c r="D505">
        <f ca="1">_xlfn.VAR.P($B$2:B505)</f>
        <v>7.1859410430839006</v>
      </c>
      <c r="E505">
        <f t="shared" ca="1" si="51"/>
        <v>0.85482547387476726</v>
      </c>
      <c r="F505">
        <f t="shared" ca="1" si="52"/>
        <v>5</v>
      </c>
      <c r="G505">
        <f t="shared" ca="1" si="53"/>
        <v>-3</v>
      </c>
      <c r="H505">
        <f ca="1">AVERAGE($G$2:G505)</f>
        <v>0.26785714285714285</v>
      </c>
      <c r="I505">
        <f ca="1">_xlfn.VAR.P($G$2:G505)</f>
        <v>14.938173185941043</v>
      </c>
      <c r="AE505">
        <f t="shared" si="55"/>
        <v>503</v>
      </c>
      <c r="AF505" s="66">
        <f t="shared" si="54"/>
        <v>1</v>
      </c>
    </row>
    <row r="506" spans="1:32" x14ac:dyDescent="0.3">
      <c r="A506">
        <f t="shared" ca="1" si="49"/>
        <v>0.29185728487663098</v>
      </c>
      <c r="B506">
        <f t="shared" ca="1" si="50"/>
        <v>0</v>
      </c>
      <c r="C506">
        <f ca="1">AVERAGE($B$2:B506)</f>
        <v>2.3524752475247523</v>
      </c>
      <c r="D506">
        <f ca="1">_xlfn.VAR.P($B$2:B506)</f>
        <v>7.182691892951671</v>
      </c>
      <c r="E506">
        <f t="shared" ca="1" si="51"/>
        <v>0.17941243243548788</v>
      </c>
      <c r="F506">
        <f t="shared" ca="1" si="52"/>
        <v>0</v>
      </c>
      <c r="G506">
        <f t="shared" ca="1" si="53"/>
        <v>0</v>
      </c>
      <c r="H506">
        <f ca="1">AVERAGE($G$2:G506)</f>
        <v>0.26732673267326734</v>
      </c>
      <c r="I506">
        <f ca="1">_xlfn.VAR.P($G$2:G506)</f>
        <v>14.908734437800216</v>
      </c>
      <c r="AE506">
        <f t="shared" si="55"/>
        <v>504</v>
      </c>
      <c r="AF506" s="66">
        <f t="shared" si="54"/>
        <v>1</v>
      </c>
    </row>
    <row r="507" spans="1:32" x14ac:dyDescent="0.3">
      <c r="A507">
        <f t="shared" ca="1" si="49"/>
        <v>0.65196379705763974</v>
      </c>
      <c r="B507">
        <f t="shared" ca="1" si="50"/>
        <v>2</v>
      </c>
      <c r="C507">
        <f ca="1">AVERAGE($B$2:B507)</f>
        <v>2.3517786561264824</v>
      </c>
      <c r="D507">
        <f ca="1">_xlfn.VAR.P($B$2:B507)</f>
        <v>7.1687418956709212</v>
      </c>
      <c r="E507">
        <f t="shared" ca="1" si="51"/>
        <v>0.90731141662000603</v>
      </c>
      <c r="F507">
        <f t="shared" ca="1" si="52"/>
        <v>6</v>
      </c>
      <c r="G507">
        <f t="shared" ca="1" si="53"/>
        <v>-4</v>
      </c>
      <c r="H507">
        <f ca="1">AVERAGE($G$2:G507)</f>
        <v>0.25889328063241107</v>
      </c>
      <c r="I507">
        <f ca="1">_xlfn.VAR.P($G$2:G507)</f>
        <v>14.915187707978566</v>
      </c>
      <c r="AE507">
        <f t="shared" si="55"/>
        <v>505</v>
      </c>
      <c r="AF507" s="66">
        <f t="shared" si="54"/>
        <v>1</v>
      </c>
    </row>
    <row r="508" spans="1:32" x14ac:dyDescent="0.3">
      <c r="A508">
        <f t="shared" ca="1" si="49"/>
        <v>0.65062184974927606</v>
      </c>
      <c r="B508">
        <f t="shared" ca="1" si="50"/>
        <v>2</v>
      </c>
      <c r="C508">
        <f ca="1">AVERAGE($B$2:B508)</f>
        <v>2.3510848126232742</v>
      </c>
      <c r="D508">
        <f ca="1">_xlfn.VAR.P($B$2:B508)</f>
        <v>7.1548459632210202</v>
      </c>
      <c r="E508">
        <f t="shared" ca="1" si="51"/>
        <v>0.88388535357738518</v>
      </c>
      <c r="F508">
        <f t="shared" ca="1" si="52"/>
        <v>6</v>
      </c>
      <c r="G508">
        <f t="shared" ca="1" si="53"/>
        <v>-4</v>
      </c>
      <c r="H508">
        <f ca="1">AVERAGE($G$2:G508)</f>
        <v>0.2504930966469428</v>
      </c>
      <c r="I508">
        <f ca="1">_xlfn.VAR.P($G$2:G508)</f>
        <v>14.921474115830057</v>
      </c>
      <c r="AE508">
        <f t="shared" si="55"/>
        <v>506</v>
      </c>
      <c r="AF508" s="66">
        <f t="shared" si="54"/>
        <v>1</v>
      </c>
    </row>
    <row r="509" spans="1:32" x14ac:dyDescent="0.3">
      <c r="A509">
        <f t="shared" ca="1" si="49"/>
        <v>0.67925775824083334</v>
      </c>
      <c r="B509">
        <f t="shared" ca="1" si="50"/>
        <v>3</v>
      </c>
      <c r="C509">
        <f ca="1">AVERAGE($B$2:B509)</f>
        <v>2.3523622047244093</v>
      </c>
      <c r="D509">
        <f ca="1">_xlfn.VAR.P($B$2:B509)</f>
        <v>7.1415889081778161</v>
      </c>
      <c r="E509">
        <f t="shared" ca="1" si="51"/>
        <v>0.73207244740618038</v>
      </c>
      <c r="F509">
        <f t="shared" ca="1" si="52"/>
        <v>3</v>
      </c>
      <c r="G509">
        <f t="shared" ca="1" si="53"/>
        <v>0</v>
      </c>
      <c r="H509">
        <f ca="1">AVERAGE($G$2:G509)</f>
        <v>0.25</v>
      </c>
      <c r="I509">
        <f ca="1">_xlfn.VAR.P($G$2:G509)</f>
        <v>14.892224409448819</v>
      </c>
      <c r="AE509">
        <f t="shared" si="55"/>
        <v>507</v>
      </c>
      <c r="AF509" s="66">
        <f t="shared" si="54"/>
        <v>1</v>
      </c>
    </row>
    <row r="510" spans="1:32" x14ac:dyDescent="0.3">
      <c r="A510">
        <f t="shared" ca="1" si="49"/>
        <v>0.69492054112333301</v>
      </c>
      <c r="B510">
        <f t="shared" ca="1" si="50"/>
        <v>3</v>
      </c>
      <c r="C510">
        <f ca="1">AVERAGE($B$2:B510)</f>
        <v>2.3536345776031435</v>
      </c>
      <c r="D510">
        <f ca="1">_xlfn.VAR.P($B$2:B510)</f>
        <v>7.1283806994723662</v>
      </c>
      <c r="E510">
        <f t="shared" ca="1" si="51"/>
        <v>0.73329861092488213</v>
      </c>
      <c r="F510">
        <f t="shared" ca="1" si="52"/>
        <v>3</v>
      </c>
      <c r="G510">
        <f t="shared" ca="1" si="53"/>
        <v>0</v>
      </c>
      <c r="H510">
        <f ca="1">AVERAGE($G$2:G510)</f>
        <v>0.24950884086444008</v>
      </c>
      <c r="I510">
        <f ca="1">_xlfn.VAR.P($G$2:G510)</f>
        <v>14.863089149725376</v>
      </c>
      <c r="AE510">
        <f t="shared" si="55"/>
        <v>508</v>
      </c>
      <c r="AF510" s="66">
        <f t="shared" si="54"/>
        <v>1</v>
      </c>
    </row>
    <row r="511" spans="1:32" x14ac:dyDescent="0.3">
      <c r="A511">
        <f t="shared" ca="1" si="49"/>
        <v>0.44429187108674761</v>
      </c>
      <c r="B511">
        <f t="shared" ca="1" si="50"/>
        <v>1</v>
      </c>
      <c r="C511">
        <f ca="1">AVERAGE($B$2:B511)</f>
        <v>2.3509803921568628</v>
      </c>
      <c r="D511">
        <f ca="1">_xlfn.VAR.P($B$2:B511)</f>
        <v>7.1179892349096505</v>
      </c>
      <c r="E511">
        <f t="shared" ca="1" si="51"/>
        <v>0.97370190094459419</v>
      </c>
      <c r="F511">
        <f t="shared" ca="1" si="52"/>
        <v>10</v>
      </c>
      <c r="G511">
        <f t="shared" ca="1" si="53"/>
        <v>-9</v>
      </c>
      <c r="H511">
        <f ca="1">AVERAGE($G$2:G511)</f>
        <v>0.23137254901960785</v>
      </c>
      <c r="I511">
        <f ca="1">_xlfn.VAR.P($G$2:G511)</f>
        <v>15.001368704344483</v>
      </c>
      <c r="AE511">
        <f t="shared" si="55"/>
        <v>509</v>
      </c>
      <c r="AF511" s="66">
        <f t="shared" si="54"/>
        <v>1</v>
      </c>
    </row>
    <row r="512" spans="1:32" x14ac:dyDescent="0.3">
      <c r="A512">
        <f t="shared" ca="1" si="49"/>
        <v>5.273923768282418E-2</v>
      </c>
      <c r="B512">
        <f t="shared" ca="1" si="50"/>
        <v>0</v>
      </c>
      <c r="C512">
        <f ca="1">AVERAGE($B$2:B512)</f>
        <v>2.3463796477495107</v>
      </c>
      <c r="D512">
        <f ca="1">_xlfn.VAR.P($B$2:B512)</f>
        <v>7.1148547991161184</v>
      </c>
      <c r="E512">
        <f t="shared" ca="1" si="51"/>
        <v>2.2993064486788506E-2</v>
      </c>
      <c r="F512">
        <f t="shared" ca="1" si="52"/>
        <v>0</v>
      </c>
      <c r="G512">
        <f t="shared" ca="1" si="53"/>
        <v>0</v>
      </c>
      <c r="H512">
        <f ca="1">AVERAGE($G$2:G512)</f>
        <v>0.2309197651663405</v>
      </c>
      <c r="I512">
        <f ca="1">_xlfn.VAR.P($G$2:G512)</f>
        <v>14.972116375167069</v>
      </c>
      <c r="AE512">
        <f t="shared" si="55"/>
        <v>510</v>
      </c>
      <c r="AF512" s="66">
        <f t="shared" si="54"/>
        <v>1</v>
      </c>
    </row>
    <row r="513" spans="1:32" x14ac:dyDescent="0.3">
      <c r="A513">
        <f t="shared" ca="1" si="49"/>
        <v>0.73724629730399072</v>
      </c>
      <c r="B513">
        <f t="shared" ca="1" si="50"/>
        <v>3</v>
      </c>
      <c r="C513">
        <f ca="1">AVERAGE($B$2:B513)</f>
        <v>2.34765625</v>
      </c>
      <c r="D513">
        <f ca="1">_xlfn.VAR.P($B$2:B513)</f>
        <v>7.1017913818359375</v>
      </c>
      <c r="E513">
        <f t="shared" ca="1" si="51"/>
        <v>5.6676914809502543E-2</v>
      </c>
      <c r="F513">
        <f t="shared" ca="1" si="52"/>
        <v>0</v>
      </c>
      <c r="G513">
        <f t="shared" ca="1" si="53"/>
        <v>3</v>
      </c>
      <c r="H513">
        <f ca="1">AVERAGE($G$2:G513)</f>
        <v>0.236328125</v>
      </c>
      <c r="I513">
        <f ca="1">_xlfn.VAR.P($G$2:G513)</f>
        <v>14.957820892333984</v>
      </c>
      <c r="AE513">
        <f t="shared" si="55"/>
        <v>511</v>
      </c>
      <c r="AF513" s="66">
        <f t="shared" si="54"/>
        <v>1</v>
      </c>
    </row>
    <row r="514" spans="1:32" x14ac:dyDescent="0.3">
      <c r="A514">
        <f t="shared" ca="1" si="49"/>
        <v>0.79531091631146122</v>
      </c>
      <c r="B514">
        <f t="shared" ca="1" si="50"/>
        <v>4</v>
      </c>
      <c r="C514">
        <f ca="1">AVERAGE($B$2:B514)</f>
        <v>2.3508771929824563</v>
      </c>
      <c r="D514">
        <f ca="1">_xlfn.VAR.P($B$2:B514)</f>
        <v>7.0932594644506004</v>
      </c>
      <c r="E514">
        <f t="shared" ca="1" si="51"/>
        <v>0.94986314530941696</v>
      </c>
      <c r="F514">
        <f t="shared" ca="1" si="52"/>
        <v>8</v>
      </c>
      <c r="G514">
        <f t="shared" ca="1" si="53"/>
        <v>-4</v>
      </c>
      <c r="H514">
        <f ca="1">AVERAGE($G$2:G514)</f>
        <v>0.22807017543859648</v>
      </c>
      <c r="I514">
        <f ca="1">_xlfn.VAR.P($G$2:G514)</f>
        <v>14.963578536985739</v>
      </c>
      <c r="AE514">
        <f t="shared" si="55"/>
        <v>512</v>
      </c>
      <c r="AF514" s="66">
        <f t="shared" si="54"/>
        <v>1</v>
      </c>
    </row>
    <row r="515" spans="1:32" x14ac:dyDescent="0.3">
      <c r="A515">
        <f t="shared" ref="A515:A578" ca="1" si="56">RAND()</f>
        <v>0.37760902186624323</v>
      </c>
      <c r="B515">
        <f t="shared" ref="B515:B578" ca="1" si="57">LOOKUP(A515,$AF$2:$AF$1002,$AE$2:$AE$1002)</f>
        <v>1</v>
      </c>
      <c r="C515">
        <f ca="1">AVERAGE($B$2:B515)</f>
        <v>2.3482490272373542</v>
      </c>
      <c r="D515">
        <f ca="1">_xlfn.VAR.P($B$2:B515)</f>
        <v>7.0830027706702596</v>
      </c>
      <c r="E515">
        <f t="shared" ref="E515:E578" ca="1" si="58">RAND()</f>
        <v>8.0626692066557371E-2</v>
      </c>
      <c r="F515">
        <f t="shared" ref="F515:F578" ca="1" si="59">LOOKUP(E515,$AF$2:$AF$1002,$AE$2:$AE$1002)</f>
        <v>0</v>
      </c>
      <c r="G515">
        <f t="shared" ref="G515:G578" ca="1" si="60">B515-F515</f>
        <v>1</v>
      </c>
      <c r="H515">
        <f ca="1">AVERAGE($G$2:G515)</f>
        <v>0.22957198443579765</v>
      </c>
      <c r="I515">
        <f ca="1">_xlfn.VAR.P($G$2:G515)</f>
        <v>14.935623552211236</v>
      </c>
      <c r="AE515">
        <f t="shared" si="55"/>
        <v>513</v>
      </c>
      <c r="AF515" s="66">
        <f t="shared" ref="AF515:AF578" si="61">_xlfn.NEGBINOM.DIST(AE515-1,1,$K$1,TRUE)</f>
        <v>1</v>
      </c>
    </row>
    <row r="516" spans="1:32" x14ac:dyDescent="0.3">
      <c r="A516">
        <f t="shared" ca="1" si="56"/>
        <v>0.87782130871626185</v>
      </c>
      <c r="B516">
        <f t="shared" ca="1" si="57"/>
        <v>5</v>
      </c>
      <c r="C516">
        <f ca="1">AVERAGE($B$2:B516)</f>
        <v>2.3533980582524272</v>
      </c>
      <c r="D516">
        <f ca="1">_xlfn.VAR.P($B$2:B516)</f>
        <v>7.0828768027146758</v>
      </c>
      <c r="E516">
        <f t="shared" ca="1" si="58"/>
        <v>0.60635662743294039</v>
      </c>
      <c r="F516">
        <f t="shared" ca="1" si="59"/>
        <v>2</v>
      </c>
      <c r="G516">
        <f t="shared" ca="1" si="60"/>
        <v>3</v>
      </c>
      <c r="H516">
        <f ca="1">AVERAGE($G$2:G516)</f>
        <v>0.23495145631067962</v>
      </c>
      <c r="I516">
        <f ca="1">_xlfn.VAR.P($G$2:G516)</f>
        <v>14.921496842303704</v>
      </c>
      <c r="AE516">
        <f t="shared" si="55"/>
        <v>514</v>
      </c>
      <c r="AF516" s="66">
        <f t="shared" si="61"/>
        <v>1</v>
      </c>
    </row>
    <row r="517" spans="1:32" x14ac:dyDescent="0.3">
      <c r="A517">
        <f t="shared" ca="1" si="56"/>
        <v>0.20173267851109467</v>
      </c>
      <c r="B517">
        <f t="shared" ca="1" si="57"/>
        <v>0</v>
      </c>
      <c r="C517">
        <f ca="1">AVERAGE($B$2:B517)</f>
        <v>2.3488372093023258</v>
      </c>
      <c r="D517">
        <f ca="1">_xlfn.VAR.P($B$2:B517)</f>
        <v>7.0798629890030647</v>
      </c>
      <c r="E517">
        <f t="shared" ca="1" si="58"/>
        <v>0.8873597608649979</v>
      </c>
      <c r="F517">
        <f t="shared" ca="1" si="59"/>
        <v>6</v>
      </c>
      <c r="G517">
        <f t="shared" ca="1" si="60"/>
        <v>-6</v>
      </c>
      <c r="H517">
        <f ca="1">AVERAGE($G$2:G517)</f>
        <v>0.22286821705426357</v>
      </c>
      <c r="I517">
        <f ca="1">_xlfn.VAR.P($G$2:G517)</f>
        <v>14.96777161829217</v>
      </c>
      <c r="AE517">
        <f t="shared" ref="AE517:AE580" si="62">AE516+1</f>
        <v>515</v>
      </c>
      <c r="AF517" s="66">
        <f t="shared" si="61"/>
        <v>1</v>
      </c>
    </row>
    <row r="518" spans="1:32" x14ac:dyDescent="0.3">
      <c r="A518">
        <f t="shared" ca="1" si="56"/>
        <v>9.4116413905295904E-2</v>
      </c>
      <c r="B518">
        <f t="shared" ca="1" si="57"/>
        <v>0</v>
      </c>
      <c r="C518">
        <f ca="1">AVERAGE($B$2:B518)</f>
        <v>2.3442940038684719</v>
      </c>
      <c r="D518">
        <f ca="1">_xlfn.VAR.P($B$2:B518)</f>
        <v>7.0768194725559228</v>
      </c>
      <c r="E518">
        <f t="shared" ca="1" si="58"/>
        <v>0.31361614710189978</v>
      </c>
      <c r="F518">
        <f t="shared" ca="1" si="59"/>
        <v>1</v>
      </c>
      <c r="G518">
        <f t="shared" ca="1" si="60"/>
        <v>-1</v>
      </c>
      <c r="H518">
        <f ca="1">AVERAGE($G$2:G518)</f>
        <v>0.22050290135396519</v>
      </c>
      <c r="I518">
        <f ca="1">_xlfn.VAR.P($G$2:G518)</f>
        <v>14.941707290610537</v>
      </c>
      <c r="AE518">
        <f t="shared" si="62"/>
        <v>516</v>
      </c>
      <c r="AF518" s="66">
        <f t="shared" si="61"/>
        <v>1</v>
      </c>
    </row>
    <row r="519" spans="1:32" x14ac:dyDescent="0.3">
      <c r="A519">
        <f t="shared" ca="1" si="56"/>
        <v>0.62281352221692821</v>
      </c>
      <c r="B519">
        <f t="shared" ca="1" si="57"/>
        <v>2</v>
      </c>
      <c r="C519">
        <f ca="1">AVERAGE($B$2:B519)</f>
        <v>2.3436293436293436</v>
      </c>
      <c r="D519">
        <f ca="1">_xlfn.VAR.P($B$2:B519)</f>
        <v>7.063386055664048</v>
      </c>
      <c r="E519">
        <f t="shared" ca="1" si="58"/>
        <v>0.10482040900731782</v>
      </c>
      <c r="F519">
        <f t="shared" ca="1" si="59"/>
        <v>0</v>
      </c>
      <c r="G519">
        <f t="shared" ca="1" si="60"/>
        <v>2</v>
      </c>
      <c r="H519">
        <f ca="1">AVERAGE($G$2:G519)</f>
        <v>0.22393822393822393</v>
      </c>
      <c r="I519">
        <f ca="1">_xlfn.VAR.P($G$2:G519)</f>
        <v>14.918963640971363</v>
      </c>
      <c r="AE519">
        <f t="shared" si="62"/>
        <v>517</v>
      </c>
      <c r="AF519" s="66">
        <f t="shared" si="61"/>
        <v>1</v>
      </c>
    </row>
    <row r="520" spans="1:32" x14ac:dyDescent="0.3">
      <c r="A520">
        <f t="shared" ca="1" si="56"/>
        <v>0.4728379708331556</v>
      </c>
      <c r="B520">
        <f t="shared" ca="1" si="57"/>
        <v>1</v>
      </c>
      <c r="C520">
        <f ca="1">AVERAGE($B$2:B520)</f>
        <v>2.3410404624277459</v>
      </c>
      <c r="D520">
        <f ca="1">_xlfn.VAR.P($B$2:B520)</f>
        <v>7.0532482430641403</v>
      </c>
      <c r="E520">
        <f t="shared" ca="1" si="58"/>
        <v>0.29081945075894766</v>
      </c>
      <c r="F520">
        <f t="shared" ca="1" si="59"/>
        <v>0</v>
      </c>
      <c r="G520">
        <f t="shared" ca="1" si="60"/>
        <v>1</v>
      </c>
      <c r="H520">
        <f ca="1">AVERAGE($G$2:G520)</f>
        <v>0.22543352601156069</v>
      </c>
      <c r="I520">
        <f ca="1">_xlfn.VAR.P($G$2:G520)</f>
        <v>14.891376257141902</v>
      </c>
      <c r="AE520">
        <f t="shared" si="62"/>
        <v>518</v>
      </c>
      <c r="AF520" s="66">
        <f t="shared" si="61"/>
        <v>1</v>
      </c>
    </row>
    <row r="521" spans="1:32" x14ac:dyDescent="0.3">
      <c r="A521">
        <f t="shared" ca="1" si="56"/>
        <v>0.46207843798742909</v>
      </c>
      <c r="B521">
        <f t="shared" ca="1" si="57"/>
        <v>1</v>
      </c>
      <c r="C521">
        <f ca="1">AVERAGE($B$2:B521)</f>
        <v>2.3384615384615386</v>
      </c>
      <c r="D521">
        <f ca="1">_xlfn.VAR.P($B$2:B521)</f>
        <v>7.0431360946745558</v>
      </c>
      <c r="E521">
        <f t="shared" ca="1" si="58"/>
        <v>0.19379603580852844</v>
      </c>
      <c r="F521">
        <f t="shared" ca="1" si="59"/>
        <v>0</v>
      </c>
      <c r="G521">
        <f t="shared" ca="1" si="60"/>
        <v>1</v>
      </c>
      <c r="H521">
        <f ca="1">AVERAGE($G$2:G521)</f>
        <v>0.22692307692307692</v>
      </c>
      <c r="I521">
        <f ca="1">_xlfn.VAR.P($G$2:G521)</f>
        <v>14.863890532544378</v>
      </c>
      <c r="AE521">
        <f t="shared" si="62"/>
        <v>519</v>
      </c>
      <c r="AF521" s="66">
        <f t="shared" si="61"/>
        <v>1</v>
      </c>
    </row>
    <row r="522" spans="1:32" x14ac:dyDescent="0.3">
      <c r="A522">
        <f t="shared" ca="1" si="56"/>
        <v>0.98649000571410939</v>
      </c>
      <c r="B522">
        <f t="shared" ca="1" si="57"/>
        <v>12</v>
      </c>
      <c r="C522">
        <f ca="1">AVERAGE($B$2:B522)</f>
        <v>2.3570057581573898</v>
      </c>
      <c r="D522">
        <f ca="1">_xlfn.VAR.P($B$2:B522)</f>
        <v>7.2084394030378611</v>
      </c>
      <c r="E522">
        <f t="shared" ca="1" si="58"/>
        <v>0.16188882392208026</v>
      </c>
      <c r="F522">
        <f t="shared" ca="1" si="59"/>
        <v>0</v>
      </c>
      <c r="G522">
        <f t="shared" ca="1" si="60"/>
        <v>12</v>
      </c>
      <c r="H522">
        <f ca="1">AVERAGE($G$2:G522)</f>
        <v>0.24952015355086371</v>
      </c>
      <c r="I522">
        <f ca="1">_xlfn.VAR.P($G$2:G522)</f>
        <v>15.100887485678287</v>
      </c>
      <c r="AE522">
        <f t="shared" si="62"/>
        <v>520</v>
      </c>
      <c r="AF522" s="66">
        <f t="shared" si="61"/>
        <v>1</v>
      </c>
    </row>
    <row r="523" spans="1:32" x14ac:dyDescent="0.3">
      <c r="A523">
        <f t="shared" ca="1" si="56"/>
        <v>0.45865674595509431</v>
      </c>
      <c r="B523">
        <f t="shared" ca="1" si="57"/>
        <v>1</v>
      </c>
      <c r="C523">
        <f ca="1">AVERAGE($B$2:B523)</f>
        <v>2.3544061302681993</v>
      </c>
      <c r="D523">
        <f ca="1">_xlfn.VAR.P($B$2:B523)</f>
        <v>7.1981510841003509</v>
      </c>
      <c r="E523">
        <f t="shared" ca="1" si="58"/>
        <v>0.53643615434920311</v>
      </c>
      <c r="F523">
        <f t="shared" ca="1" si="59"/>
        <v>2</v>
      </c>
      <c r="G523">
        <f t="shared" ca="1" si="60"/>
        <v>-1</v>
      </c>
      <c r="H523">
        <f ca="1">AVERAGE($G$2:G523)</f>
        <v>0.2471264367816092</v>
      </c>
      <c r="I523">
        <f ca="1">_xlfn.VAR.P($G$2:G523)</f>
        <v>15.074943849914124</v>
      </c>
      <c r="AE523">
        <f t="shared" si="62"/>
        <v>521</v>
      </c>
      <c r="AF523" s="66">
        <f t="shared" si="61"/>
        <v>1</v>
      </c>
    </row>
    <row r="524" spans="1:32" x14ac:dyDescent="0.3">
      <c r="A524">
        <f t="shared" ca="1" si="56"/>
        <v>0.63187839461408835</v>
      </c>
      <c r="B524">
        <f t="shared" ca="1" si="57"/>
        <v>2</v>
      </c>
      <c r="C524">
        <f ca="1">AVERAGE($B$2:B524)</f>
        <v>2.3537284894837476</v>
      </c>
      <c r="D524">
        <f ca="1">_xlfn.VAR.P($B$2:B524)</f>
        <v>7.1846275897619627</v>
      </c>
      <c r="E524">
        <f t="shared" ca="1" si="58"/>
        <v>0.15288585040097125</v>
      </c>
      <c r="F524">
        <f t="shared" ca="1" si="59"/>
        <v>0</v>
      </c>
      <c r="G524">
        <f t="shared" ca="1" si="60"/>
        <v>2</v>
      </c>
      <c r="H524">
        <f ca="1">AVERAGE($G$2:G524)</f>
        <v>0.25047801147227533</v>
      </c>
      <c r="I524">
        <f ca="1">_xlfn.VAR.P($G$2:G524)</f>
        <v>15.051983519114975</v>
      </c>
      <c r="AE524">
        <f t="shared" si="62"/>
        <v>522</v>
      </c>
      <c r="AF524" s="66">
        <f t="shared" si="61"/>
        <v>1</v>
      </c>
    </row>
    <row r="525" spans="1:32" x14ac:dyDescent="0.3">
      <c r="A525">
        <f t="shared" ca="1" si="56"/>
        <v>0.11186910516155402</v>
      </c>
      <c r="B525">
        <f t="shared" ca="1" si="57"/>
        <v>0</v>
      </c>
      <c r="C525">
        <f ca="1">AVERAGE($B$2:B525)</f>
        <v>2.3492366412213741</v>
      </c>
      <c r="D525">
        <f ca="1">_xlfn.VAR.P($B$2:B525)</f>
        <v>7.1814688829322302</v>
      </c>
      <c r="E525">
        <f t="shared" ca="1" si="58"/>
        <v>0.76604166123212736</v>
      </c>
      <c r="F525">
        <f t="shared" ca="1" si="59"/>
        <v>4</v>
      </c>
      <c r="G525">
        <f t="shared" ca="1" si="60"/>
        <v>-4</v>
      </c>
      <c r="H525">
        <f ca="1">AVERAGE($G$2:G525)</f>
        <v>0.24236641221374045</v>
      </c>
      <c r="I525">
        <f ca="1">_xlfn.VAR.P($G$2:G525)</f>
        <v>15.057670735971097</v>
      </c>
      <c r="AE525">
        <f t="shared" si="62"/>
        <v>523</v>
      </c>
      <c r="AF525" s="66">
        <f t="shared" si="61"/>
        <v>1</v>
      </c>
    </row>
    <row r="526" spans="1:32" x14ac:dyDescent="0.3">
      <c r="A526">
        <f t="shared" ca="1" si="56"/>
        <v>0.11544037984744537</v>
      </c>
      <c r="B526">
        <f t="shared" ca="1" si="57"/>
        <v>0</v>
      </c>
      <c r="C526">
        <f ca="1">AVERAGE($B$2:B526)</f>
        <v>2.3447619047619046</v>
      </c>
      <c r="D526">
        <f ca="1">_xlfn.VAR.P($B$2:B526)</f>
        <v>7.1782820861678003</v>
      </c>
      <c r="E526">
        <f t="shared" ca="1" si="58"/>
        <v>0.37053881769680841</v>
      </c>
      <c r="F526">
        <f t="shared" ca="1" si="59"/>
        <v>1</v>
      </c>
      <c r="G526">
        <f t="shared" ca="1" si="60"/>
        <v>-1</v>
      </c>
      <c r="H526">
        <f ca="1">AVERAGE($G$2:G526)</f>
        <v>0.24</v>
      </c>
      <c r="I526">
        <f ca="1">_xlfn.VAR.P($G$2:G526)</f>
        <v>15.031923809523809</v>
      </c>
      <c r="AE526">
        <f t="shared" si="62"/>
        <v>524</v>
      </c>
      <c r="AF526" s="66">
        <f t="shared" si="61"/>
        <v>1</v>
      </c>
    </row>
    <row r="527" spans="1:32" x14ac:dyDescent="0.3">
      <c r="A527">
        <f t="shared" ca="1" si="56"/>
        <v>0.88014782077487286</v>
      </c>
      <c r="B527">
        <f t="shared" ca="1" si="57"/>
        <v>5</v>
      </c>
      <c r="C527">
        <f ca="1">AVERAGE($B$2:B527)</f>
        <v>2.3498098859315588</v>
      </c>
      <c r="D527">
        <f ca="1">_xlfn.VAR.P($B$2:B527)</f>
        <v>7.178013271841432</v>
      </c>
      <c r="E527">
        <f t="shared" ca="1" si="58"/>
        <v>0.21479335144917644</v>
      </c>
      <c r="F527">
        <f t="shared" ca="1" si="59"/>
        <v>0</v>
      </c>
      <c r="G527">
        <f t="shared" ca="1" si="60"/>
        <v>5</v>
      </c>
      <c r="H527">
        <f ca="1">AVERAGE($G$2:G527)</f>
        <v>0.24904942965779467</v>
      </c>
      <c r="I527">
        <f ca="1">_xlfn.VAR.P($G$2:G527)</f>
        <v>15.046339400598534</v>
      </c>
      <c r="AE527">
        <f t="shared" si="62"/>
        <v>525</v>
      </c>
      <c r="AF527" s="66">
        <f t="shared" si="61"/>
        <v>1</v>
      </c>
    </row>
    <row r="528" spans="1:32" x14ac:dyDescent="0.3">
      <c r="A528">
        <f t="shared" ca="1" si="56"/>
        <v>0.32022059705055705</v>
      </c>
      <c r="B528">
        <f t="shared" ca="1" si="57"/>
        <v>1</v>
      </c>
      <c r="C528">
        <f ca="1">AVERAGE($B$2:B528)</f>
        <v>2.3472485768500948</v>
      </c>
      <c r="D528">
        <f ca="1">_xlfn.VAR.P($B$2:B528)</f>
        <v>7.1678434733139138</v>
      </c>
      <c r="E528">
        <f t="shared" ca="1" si="58"/>
        <v>2.6336224521598228E-2</v>
      </c>
      <c r="F528">
        <f t="shared" ca="1" si="59"/>
        <v>0</v>
      </c>
      <c r="G528">
        <f t="shared" ca="1" si="60"/>
        <v>1</v>
      </c>
      <c r="H528">
        <f ca="1">AVERAGE($G$2:G528)</f>
        <v>0.25047438330170779</v>
      </c>
      <c r="I528">
        <f ca="1">_xlfn.VAR.P($G$2:G528)</f>
        <v>15.018856511203367</v>
      </c>
      <c r="AE528">
        <f t="shared" si="62"/>
        <v>526</v>
      </c>
      <c r="AF528" s="66">
        <f t="shared" si="61"/>
        <v>1</v>
      </c>
    </row>
    <row r="529" spans="1:32" x14ac:dyDescent="0.3">
      <c r="A529">
        <f t="shared" ca="1" si="56"/>
        <v>0.75207678460928573</v>
      </c>
      <c r="B529">
        <f t="shared" ca="1" si="57"/>
        <v>3</v>
      </c>
      <c r="C529">
        <f ca="1">AVERAGE($B$2:B529)</f>
        <v>2.3484848484848486</v>
      </c>
      <c r="D529">
        <f ca="1">_xlfn.VAR.P($B$2:B529)</f>
        <v>7.1550734618916438</v>
      </c>
      <c r="E529">
        <f t="shared" ca="1" si="58"/>
        <v>0.31080676090976311</v>
      </c>
      <c r="F529">
        <f t="shared" ca="1" si="59"/>
        <v>1</v>
      </c>
      <c r="G529">
        <f t="shared" ca="1" si="60"/>
        <v>2</v>
      </c>
      <c r="H529">
        <f ca="1">AVERAGE($G$2:G529)</f>
        <v>0.25378787878787878</v>
      </c>
      <c r="I529">
        <f ca="1">_xlfn.VAR.P($G$2:G529)</f>
        <v>14.99619777318641</v>
      </c>
      <c r="AE529">
        <f t="shared" si="62"/>
        <v>527</v>
      </c>
      <c r="AF529" s="66">
        <f t="shared" si="61"/>
        <v>1</v>
      </c>
    </row>
    <row r="530" spans="1:32" x14ac:dyDescent="0.3">
      <c r="A530">
        <f t="shared" ca="1" si="56"/>
        <v>0.90434557180326802</v>
      </c>
      <c r="B530">
        <f t="shared" ca="1" si="57"/>
        <v>6</v>
      </c>
      <c r="C530">
        <f ca="1">AVERAGE($B$2:B530)</f>
        <v>2.3553875236294894</v>
      </c>
      <c r="D530">
        <f ca="1">_xlfn.VAR.P($B$2:B530)</f>
        <v>7.1667053791260038</v>
      </c>
      <c r="E530">
        <f t="shared" ca="1" si="58"/>
        <v>0.92081662331876091</v>
      </c>
      <c r="F530">
        <f t="shared" ca="1" si="59"/>
        <v>7</v>
      </c>
      <c r="G530">
        <f t="shared" ca="1" si="60"/>
        <v>-1</v>
      </c>
      <c r="H530">
        <f ca="1">AVERAGE($G$2:G530)</f>
        <v>0.25141776937618149</v>
      </c>
      <c r="I530">
        <f ca="1">_xlfn.VAR.P($G$2:G530)</f>
        <v>14.970815570270261</v>
      </c>
      <c r="AE530">
        <f t="shared" si="62"/>
        <v>528</v>
      </c>
      <c r="AF530" s="66">
        <f t="shared" si="61"/>
        <v>1</v>
      </c>
    </row>
    <row r="531" spans="1:32" x14ac:dyDescent="0.3">
      <c r="A531">
        <f t="shared" ca="1" si="56"/>
        <v>0.67372393589520285</v>
      </c>
      <c r="B531">
        <f t="shared" ca="1" si="57"/>
        <v>3</v>
      </c>
      <c r="C531">
        <f ca="1">AVERAGE($B$2:B531)</f>
        <v>2.3566037735849057</v>
      </c>
      <c r="D531">
        <f ca="1">_xlfn.VAR.P($B$2:B531)</f>
        <v>7.1539658241367032</v>
      </c>
      <c r="E531">
        <f t="shared" ca="1" si="58"/>
        <v>0.59448876524768501</v>
      </c>
      <c r="F531">
        <f t="shared" ca="1" si="59"/>
        <v>2</v>
      </c>
      <c r="G531">
        <f t="shared" ca="1" si="60"/>
        <v>1</v>
      </c>
      <c r="H531">
        <f ca="1">AVERAGE($G$2:G531)</f>
        <v>0.25283018867924528</v>
      </c>
      <c r="I531">
        <f ca="1">_xlfn.VAR.P($G$2:G531)</f>
        <v>14.943624065503737</v>
      </c>
      <c r="AE531">
        <f t="shared" si="62"/>
        <v>529</v>
      </c>
      <c r="AF531" s="66">
        <f t="shared" si="61"/>
        <v>1</v>
      </c>
    </row>
    <row r="532" spans="1:32" x14ac:dyDescent="0.3">
      <c r="A532">
        <f t="shared" ca="1" si="56"/>
        <v>0.58255244072353285</v>
      </c>
      <c r="B532">
        <f t="shared" ca="1" si="57"/>
        <v>2</v>
      </c>
      <c r="C532">
        <f ca="1">AVERAGE($B$2:B532)</f>
        <v>2.3559322033898304</v>
      </c>
      <c r="D532">
        <f ca="1">_xlfn.VAR.P($B$2:B532)</f>
        <v>7.1407322289252768</v>
      </c>
      <c r="E532">
        <f t="shared" ca="1" si="58"/>
        <v>0.49384508431926111</v>
      </c>
      <c r="F532">
        <f t="shared" ca="1" si="59"/>
        <v>1</v>
      </c>
      <c r="G532">
        <f t="shared" ca="1" si="60"/>
        <v>1</v>
      </c>
      <c r="H532">
        <f ca="1">AVERAGE($G$2:G532)</f>
        <v>0.25423728813559321</v>
      </c>
      <c r="I532">
        <f ca="1">_xlfn.VAR.P($G$2:G532)</f>
        <v>14.916531009607711</v>
      </c>
      <c r="AE532">
        <f t="shared" si="62"/>
        <v>530</v>
      </c>
      <c r="AF532" s="66">
        <f t="shared" si="61"/>
        <v>1</v>
      </c>
    </row>
    <row r="533" spans="1:32" x14ac:dyDescent="0.3">
      <c r="A533">
        <f t="shared" ca="1" si="56"/>
        <v>0.52568187663452637</v>
      </c>
      <c r="B533">
        <f t="shared" ca="1" si="57"/>
        <v>2</v>
      </c>
      <c r="C533">
        <f ca="1">AVERAGE($B$2:B533)</f>
        <v>2.3552631578947367</v>
      </c>
      <c r="D533">
        <f ca="1">_xlfn.VAR.P($B$2:B533)</f>
        <v>7.1275474871388997</v>
      </c>
      <c r="E533">
        <f t="shared" ca="1" si="58"/>
        <v>2.1428371859359641E-2</v>
      </c>
      <c r="F533">
        <f t="shared" ca="1" si="59"/>
        <v>0</v>
      </c>
      <c r="G533">
        <f t="shared" ca="1" si="60"/>
        <v>2</v>
      </c>
      <c r="H533">
        <f ca="1">AVERAGE($G$2:G533)</f>
        <v>0.2575187969924812</v>
      </c>
      <c r="I533">
        <f ca="1">_xlfn.VAR.P($G$2:G533)</f>
        <v>14.894210384985019</v>
      </c>
      <c r="AE533">
        <f t="shared" si="62"/>
        <v>531</v>
      </c>
      <c r="AF533" s="66">
        <f t="shared" si="61"/>
        <v>1</v>
      </c>
    </row>
    <row r="534" spans="1:32" x14ac:dyDescent="0.3">
      <c r="A534">
        <f t="shared" ca="1" si="56"/>
        <v>0.70335717177102364</v>
      </c>
      <c r="B534">
        <f t="shared" ca="1" si="57"/>
        <v>3</v>
      </c>
      <c r="C534">
        <f ca="1">AVERAGE($B$2:B534)</f>
        <v>2.3564727954971856</v>
      </c>
      <c r="D534">
        <f ca="1">_xlfn.VAR.P($B$2:B534)</f>
        <v>7.1149534124869316</v>
      </c>
      <c r="E534">
        <f t="shared" ca="1" si="58"/>
        <v>4.7757789157120256E-2</v>
      </c>
      <c r="F534">
        <f t="shared" ca="1" si="59"/>
        <v>0</v>
      </c>
      <c r="G534">
        <f t="shared" ca="1" si="60"/>
        <v>3</v>
      </c>
      <c r="H534">
        <f ca="1">AVERAGE($G$2:G534)</f>
        <v>0.26266416510318952</v>
      </c>
      <c r="I534">
        <f ca="1">_xlfn.VAR.P($G$2:G534)</f>
        <v>14.880350875957886</v>
      </c>
      <c r="AE534">
        <f t="shared" si="62"/>
        <v>532</v>
      </c>
      <c r="AF534" s="66">
        <f t="shared" si="61"/>
        <v>1</v>
      </c>
    </row>
    <row r="535" spans="1:32" x14ac:dyDescent="0.3">
      <c r="A535">
        <f t="shared" ca="1" si="56"/>
        <v>0.23284224044419521</v>
      </c>
      <c r="B535">
        <f t="shared" ca="1" si="57"/>
        <v>0</v>
      </c>
      <c r="C535">
        <f ca="1">AVERAGE($B$2:B535)</f>
        <v>2.3520599250936329</v>
      </c>
      <c r="D535">
        <f ca="1">_xlfn.VAR.P($B$2:B535)</f>
        <v>7.1120088653228413</v>
      </c>
      <c r="E535">
        <f t="shared" ca="1" si="58"/>
        <v>0.38756791978250604</v>
      </c>
      <c r="F535">
        <f t="shared" ca="1" si="59"/>
        <v>1</v>
      </c>
      <c r="G535">
        <f t="shared" ca="1" si="60"/>
        <v>-1</v>
      </c>
      <c r="H535">
        <f ca="1">AVERAGE($G$2:G535)</f>
        <v>0.26029962546816482</v>
      </c>
      <c r="I535">
        <f ca="1">_xlfn.VAR.P($G$2:G535)</f>
        <v>14.855465078763904</v>
      </c>
      <c r="AE535">
        <f t="shared" si="62"/>
        <v>533</v>
      </c>
      <c r="AF535" s="66">
        <f t="shared" si="61"/>
        <v>1</v>
      </c>
    </row>
    <row r="536" spans="1:32" x14ac:dyDescent="0.3">
      <c r="A536">
        <f t="shared" ca="1" si="56"/>
        <v>0.93610637227879501</v>
      </c>
      <c r="B536">
        <f t="shared" ca="1" si="57"/>
        <v>7</v>
      </c>
      <c r="C536">
        <f ca="1">AVERAGE($B$2:B536)</f>
        <v>2.3607476635514018</v>
      </c>
      <c r="D536">
        <f ca="1">_xlfn.VAR.P($B$2:B536)</f>
        <v>7.1390200017468777</v>
      </c>
      <c r="E536">
        <f t="shared" ca="1" si="58"/>
        <v>0.71972100335781231</v>
      </c>
      <c r="F536">
        <f t="shared" ca="1" si="59"/>
        <v>3</v>
      </c>
      <c r="G536">
        <f t="shared" ca="1" si="60"/>
        <v>4</v>
      </c>
      <c r="H536">
        <f ca="1">AVERAGE($G$2:G536)</f>
        <v>0.26728971962616821</v>
      </c>
      <c r="I536">
        <f ca="1">_xlfn.VAR.P($G$2:G536)</f>
        <v>14.853789850641977</v>
      </c>
      <c r="AE536">
        <f t="shared" si="62"/>
        <v>534</v>
      </c>
      <c r="AF536" s="66">
        <f t="shared" si="61"/>
        <v>1</v>
      </c>
    </row>
    <row r="537" spans="1:32" x14ac:dyDescent="0.3">
      <c r="A537">
        <f t="shared" ca="1" si="56"/>
        <v>0.84021484308690153</v>
      </c>
      <c r="B537">
        <f t="shared" ca="1" si="57"/>
        <v>5</v>
      </c>
      <c r="C537">
        <f ca="1">AVERAGE($B$2:B537)</f>
        <v>2.3656716417910446</v>
      </c>
      <c r="D537">
        <f ca="1">_xlfn.VAR.P($B$2:B537)</f>
        <v>7.1386723100913345</v>
      </c>
      <c r="E537">
        <f t="shared" ca="1" si="58"/>
        <v>0.86092207343702298</v>
      </c>
      <c r="F537">
        <f t="shared" ca="1" si="59"/>
        <v>5</v>
      </c>
      <c r="G537">
        <f t="shared" ca="1" si="60"/>
        <v>0</v>
      </c>
      <c r="H537">
        <f ca="1">AVERAGE($G$2:G537)</f>
        <v>0.26679104477611942</v>
      </c>
      <c r="I537">
        <f ca="1">_xlfn.VAR.P($G$2:G537)</f>
        <v>14.826210598128759</v>
      </c>
      <c r="AE537">
        <f t="shared" si="62"/>
        <v>535</v>
      </c>
      <c r="AF537" s="66">
        <f t="shared" si="61"/>
        <v>1</v>
      </c>
    </row>
    <row r="538" spans="1:32" x14ac:dyDescent="0.3">
      <c r="A538">
        <f t="shared" ca="1" si="56"/>
        <v>0.62017477346639871</v>
      </c>
      <c r="B538">
        <f t="shared" ca="1" si="57"/>
        <v>2</v>
      </c>
      <c r="C538">
        <f ca="1">AVERAGE($B$2:B538)</f>
        <v>2.3649906890130352</v>
      </c>
      <c r="D538">
        <f ca="1">_xlfn.VAR.P($B$2:B538)</f>
        <v>7.1256272345501772</v>
      </c>
      <c r="E538">
        <f t="shared" ca="1" si="58"/>
        <v>0.39025661772763864</v>
      </c>
      <c r="F538">
        <f t="shared" ca="1" si="59"/>
        <v>1</v>
      </c>
      <c r="G538">
        <f t="shared" ca="1" si="60"/>
        <v>1</v>
      </c>
      <c r="H538">
        <f ca="1">AVERAGE($G$2:G538)</f>
        <v>0.26815642458100558</v>
      </c>
      <c r="I538">
        <f ca="1">_xlfn.VAR.P($G$2:G538)</f>
        <v>14.799600511844199</v>
      </c>
      <c r="AE538">
        <f t="shared" si="62"/>
        <v>536</v>
      </c>
      <c r="AF538" s="66">
        <f t="shared" si="61"/>
        <v>1</v>
      </c>
    </row>
    <row r="539" spans="1:32" x14ac:dyDescent="0.3">
      <c r="A539">
        <f t="shared" ca="1" si="56"/>
        <v>5.8694020623168752E-2</v>
      </c>
      <c r="B539">
        <f t="shared" ca="1" si="57"/>
        <v>0</v>
      </c>
      <c r="C539">
        <f ca="1">AVERAGE($B$2:B539)</f>
        <v>2.3605947955390336</v>
      </c>
      <c r="D539">
        <f ca="1">_xlfn.VAR.P($B$2:B539)</f>
        <v>7.1227594975193824</v>
      </c>
      <c r="E539">
        <f t="shared" ca="1" si="58"/>
        <v>0.71792112349309589</v>
      </c>
      <c r="F539">
        <f t="shared" ca="1" si="59"/>
        <v>3</v>
      </c>
      <c r="G539">
        <f t="shared" ca="1" si="60"/>
        <v>-3</v>
      </c>
      <c r="H539">
        <f ca="1">AVERAGE($G$2:G539)</f>
        <v>0.26208178438661711</v>
      </c>
      <c r="I539">
        <f ca="1">_xlfn.VAR.P($G$2:G539)</f>
        <v>14.791907933831761</v>
      </c>
      <c r="AE539">
        <f t="shared" si="62"/>
        <v>537</v>
      </c>
      <c r="AF539" s="66">
        <f t="shared" si="61"/>
        <v>1</v>
      </c>
    </row>
    <row r="540" spans="1:32" x14ac:dyDescent="0.3">
      <c r="A540">
        <f t="shared" ca="1" si="56"/>
        <v>0.93824249486986966</v>
      </c>
      <c r="B540">
        <f t="shared" ca="1" si="57"/>
        <v>7</v>
      </c>
      <c r="C540">
        <f ca="1">AVERAGE($B$2:B540)</f>
        <v>2.3692022263450836</v>
      </c>
      <c r="D540">
        <f ca="1">_xlfn.VAR.P($B$2:B540)</f>
        <v>7.1494040017761193</v>
      </c>
      <c r="E540">
        <f t="shared" ca="1" si="58"/>
        <v>0.11406184379458884</v>
      </c>
      <c r="F540">
        <f t="shared" ca="1" si="59"/>
        <v>0</v>
      </c>
      <c r="G540">
        <f t="shared" ca="1" si="60"/>
        <v>7</v>
      </c>
      <c r="H540">
        <f ca="1">AVERAGE($G$2:G540)</f>
        <v>0.27458256029684602</v>
      </c>
      <c r="I540">
        <f ca="1">_xlfn.VAR.P($G$2:G540)</f>
        <v>14.848537627228325</v>
      </c>
      <c r="AE540">
        <f t="shared" si="62"/>
        <v>538</v>
      </c>
      <c r="AF540" s="66">
        <f t="shared" si="61"/>
        <v>1</v>
      </c>
    </row>
    <row r="541" spans="1:32" x14ac:dyDescent="0.3">
      <c r="A541">
        <f t="shared" ca="1" si="56"/>
        <v>0.88369176387515191</v>
      </c>
      <c r="B541">
        <f t="shared" ca="1" si="57"/>
        <v>6</v>
      </c>
      <c r="C541">
        <f ca="1">AVERAGE($B$2:B541)</f>
        <v>2.3759259259259258</v>
      </c>
      <c r="D541">
        <f ca="1">_xlfn.VAR.P($B$2:B541)</f>
        <v>7.1605315500685869</v>
      </c>
      <c r="E541">
        <f t="shared" ca="1" si="58"/>
        <v>0.88311427831480449</v>
      </c>
      <c r="F541">
        <f t="shared" ca="1" si="59"/>
        <v>6</v>
      </c>
      <c r="G541">
        <f t="shared" ca="1" si="60"/>
        <v>0</v>
      </c>
      <c r="H541">
        <f ca="1">AVERAGE($G$2:G541)</f>
        <v>0.27407407407407408</v>
      </c>
      <c r="I541">
        <f ca="1">_xlfn.VAR.P($G$2:G541)</f>
        <v>14.821179698216735</v>
      </c>
      <c r="AE541">
        <f t="shared" si="62"/>
        <v>539</v>
      </c>
      <c r="AF541" s="66">
        <f t="shared" si="61"/>
        <v>1</v>
      </c>
    </row>
    <row r="542" spans="1:32" x14ac:dyDescent="0.3">
      <c r="A542">
        <f t="shared" ca="1" si="56"/>
        <v>0.56952469498918867</v>
      </c>
      <c r="B542">
        <f t="shared" ca="1" si="57"/>
        <v>2</v>
      </c>
      <c r="C542">
        <f ca="1">AVERAGE($B$2:B542)</f>
        <v>2.3752310536044363</v>
      </c>
      <c r="D542">
        <f ca="1">_xlfn.VAR.P($B$2:B542)</f>
        <v>7.147556554747319</v>
      </c>
      <c r="E542">
        <f t="shared" ca="1" si="58"/>
        <v>0.62594569656598265</v>
      </c>
      <c r="F542">
        <f t="shared" ca="1" si="59"/>
        <v>2</v>
      </c>
      <c r="G542">
        <f t="shared" ca="1" si="60"/>
        <v>0</v>
      </c>
      <c r="H542">
        <f ca="1">AVERAGE($G$2:G542)</f>
        <v>0.2735674676524954</v>
      </c>
      <c r="I542">
        <f ca="1">_xlfn.VAR.P($G$2:G542)</f>
        <v>14.793922393322422</v>
      </c>
      <c r="AE542">
        <f t="shared" si="62"/>
        <v>540</v>
      </c>
      <c r="AF542" s="66">
        <f t="shared" si="61"/>
        <v>1</v>
      </c>
    </row>
    <row r="543" spans="1:32" x14ac:dyDescent="0.3">
      <c r="A543">
        <f t="shared" ca="1" si="56"/>
        <v>0.80595997563388322</v>
      </c>
      <c r="B543">
        <f t="shared" ca="1" si="57"/>
        <v>4</v>
      </c>
      <c r="C543">
        <f ca="1">AVERAGE($B$2:B543)</f>
        <v>2.378228782287823</v>
      </c>
      <c r="D543">
        <f ca="1">_xlfn.VAR.P($B$2:B543)</f>
        <v>7.1392308111272991</v>
      </c>
      <c r="E543">
        <f t="shared" ca="1" si="58"/>
        <v>0.88171458117114199</v>
      </c>
      <c r="F543">
        <f t="shared" ca="1" si="59"/>
        <v>5</v>
      </c>
      <c r="G543">
        <f t="shared" ca="1" si="60"/>
        <v>-1</v>
      </c>
      <c r="H543">
        <f ca="1">AVERAGE($G$2:G543)</f>
        <v>0.27121771217712176</v>
      </c>
      <c r="I543">
        <f ca="1">_xlfn.VAR.P($G$2:G543)</f>
        <v>14.769614384335725</v>
      </c>
      <c r="AE543">
        <f t="shared" si="62"/>
        <v>541</v>
      </c>
      <c r="AF543" s="66">
        <f t="shared" si="61"/>
        <v>1</v>
      </c>
    </row>
    <row r="544" spans="1:32" x14ac:dyDescent="0.3">
      <c r="A544">
        <f t="shared" ca="1" si="56"/>
        <v>0.27079804534566376</v>
      </c>
      <c r="B544">
        <f t="shared" ca="1" si="57"/>
        <v>0</v>
      </c>
      <c r="C544">
        <f ca="1">AVERAGE($B$2:B544)</f>
        <v>2.3738489871086554</v>
      </c>
      <c r="D544">
        <f ca="1">_xlfn.VAR.P($B$2:B544)</f>
        <v>7.1364800287604844</v>
      </c>
      <c r="E544">
        <f t="shared" ca="1" si="58"/>
        <v>0.8338838533538917</v>
      </c>
      <c r="F544">
        <f t="shared" ca="1" si="59"/>
        <v>5</v>
      </c>
      <c r="G544">
        <f t="shared" ca="1" si="60"/>
        <v>-5</v>
      </c>
      <c r="H544">
        <f ca="1">AVERAGE($G$2:G544)</f>
        <v>0.26151012891344383</v>
      </c>
      <c r="I544">
        <f ca="1">_xlfn.VAR.P($G$2:G544)</f>
        <v>14.793490905514348</v>
      </c>
      <c r="AE544">
        <f t="shared" si="62"/>
        <v>542</v>
      </c>
      <c r="AF544" s="66">
        <f t="shared" si="61"/>
        <v>1</v>
      </c>
    </row>
    <row r="545" spans="1:32" x14ac:dyDescent="0.3">
      <c r="A545">
        <f t="shared" ca="1" si="56"/>
        <v>9.1120738250693778E-2</v>
      </c>
      <c r="B545">
        <f t="shared" ca="1" si="57"/>
        <v>0</v>
      </c>
      <c r="C545">
        <f ca="1">AVERAGE($B$2:B545)</f>
        <v>2.3694852941176472</v>
      </c>
      <c r="D545">
        <f ca="1">_xlfn.VAR.P($B$2:B545)</f>
        <v>7.1337012056660898</v>
      </c>
      <c r="E545">
        <f t="shared" ca="1" si="58"/>
        <v>0.9706968890198634</v>
      </c>
      <c r="F545">
        <f t="shared" ca="1" si="59"/>
        <v>9</v>
      </c>
      <c r="G545">
        <f t="shared" ca="1" si="60"/>
        <v>-9</v>
      </c>
      <c r="H545">
        <f ca="1">AVERAGE($G$2:G545)</f>
        <v>0.24448529411764705</v>
      </c>
      <c r="I545">
        <f ca="1">_xlfn.VAR.P($G$2:G545)</f>
        <v>14.923682823313149</v>
      </c>
      <c r="AE545">
        <f t="shared" si="62"/>
        <v>543</v>
      </c>
      <c r="AF545" s="66">
        <f t="shared" si="61"/>
        <v>1</v>
      </c>
    </row>
    <row r="546" spans="1:32" x14ac:dyDescent="0.3">
      <c r="A546">
        <f t="shared" ca="1" si="56"/>
        <v>0.36545533582158729</v>
      </c>
      <c r="B546">
        <f t="shared" ca="1" si="57"/>
        <v>1</v>
      </c>
      <c r="C546">
        <f ca="1">AVERAGE($B$2:B546)</f>
        <v>2.3669724770642202</v>
      </c>
      <c r="D546">
        <f ca="1">_xlfn.VAR.P($B$2:B546)</f>
        <v>7.124046797407626</v>
      </c>
      <c r="E546">
        <f t="shared" ca="1" si="58"/>
        <v>0.80912265068907097</v>
      </c>
      <c r="F546">
        <f t="shared" ca="1" si="59"/>
        <v>4</v>
      </c>
      <c r="G546">
        <f t="shared" ca="1" si="60"/>
        <v>-3</v>
      </c>
      <c r="H546">
        <f ca="1">AVERAGE($G$2:G546)</f>
        <v>0.23853211009174313</v>
      </c>
      <c r="I546">
        <f ca="1">_xlfn.VAR.P($G$2:G546)</f>
        <v>14.915579496675363</v>
      </c>
      <c r="AE546">
        <f t="shared" si="62"/>
        <v>544</v>
      </c>
      <c r="AF546" s="66">
        <f t="shared" si="61"/>
        <v>1</v>
      </c>
    </row>
    <row r="547" spans="1:32" x14ac:dyDescent="0.3">
      <c r="A547">
        <f t="shared" ca="1" si="56"/>
        <v>0.89378769140625325</v>
      </c>
      <c r="B547">
        <f t="shared" ca="1" si="57"/>
        <v>6</v>
      </c>
      <c r="C547">
        <f ca="1">AVERAGE($B$2:B547)</f>
        <v>2.3736263736263736</v>
      </c>
      <c r="D547">
        <f ca="1">_xlfn.VAR.P($B$2:B547)</f>
        <v>7.13512860765608</v>
      </c>
      <c r="E547">
        <f t="shared" ca="1" si="58"/>
        <v>5.4888162158812426E-2</v>
      </c>
      <c r="F547">
        <f t="shared" ca="1" si="59"/>
        <v>0</v>
      </c>
      <c r="G547">
        <f t="shared" ca="1" si="60"/>
        <v>6</v>
      </c>
      <c r="H547">
        <f ca="1">AVERAGE($G$2:G547)</f>
        <v>0.24908424908424909</v>
      </c>
      <c r="I547">
        <f ca="1">_xlfn.VAR.P($G$2:G547)</f>
        <v>14.948946047847146</v>
      </c>
      <c r="AE547">
        <f t="shared" si="62"/>
        <v>545</v>
      </c>
      <c r="AF547" s="66">
        <f t="shared" si="61"/>
        <v>1</v>
      </c>
    </row>
    <row r="548" spans="1:32" x14ac:dyDescent="0.3">
      <c r="A548">
        <f t="shared" ca="1" si="56"/>
        <v>0.2206059508980498</v>
      </c>
      <c r="B548">
        <f t="shared" ca="1" si="57"/>
        <v>0</v>
      </c>
      <c r="C548">
        <f ca="1">AVERAGE($B$2:B548)</f>
        <v>2.3692870201096894</v>
      </c>
      <c r="D548">
        <f ca="1">_xlfn.VAR.P($B$2:B548)</f>
        <v>7.1323656708187251</v>
      </c>
      <c r="E548">
        <f t="shared" ca="1" si="58"/>
        <v>7.1150387946066429E-2</v>
      </c>
      <c r="F548">
        <f t="shared" ca="1" si="59"/>
        <v>0</v>
      </c>
      <c r="G548">
        <f t="shared" ca="1" si="60"/>
        <v>0</v>
      </c>
      <c r="H548">
        <f ca="1">AVERAGE($G$2:G548)</f>
        <v>0.24862888482632542</v>
      </c>
      <c r="I548">
        <f ca="1">_xlfn.VAR.P($G$2:G548)</f>
        <v>14.921730295545922</v>
      </c>
      <c r="AE548">
        <f t="shared" si="62"/>
        <v>546</v>
      </c>
      <c r="AF548" s="66">
        <f t="shared" si="61"/>
        <v>1</v>
      </c>
    </row>
    <row r="549" spans="1:32" x14ac:dyDescent="0.3">
      <c r="A549">
        <f t="shared" ca="1" si="56"/>
        <v>0.1843928480827921</v>
      </c>
      <c r="B549">
        <f t="shared" ca="1" si="57"/>
        <v>0</v>
      </c>
      <c r="C549">
        <f ca="1">AVERAGE($B$2:B549)</f>
        <v>2.3649635036496353</v>
      </c>
      <c r="D549">
        <f ca="1">_xlfn.VAR.P($B$2:B549)</f>
        <v>7.1295753636315204</v>
      </c>
      <c r="E549">
        <f t="shared" ca="1" si="58"/>
        <v>0.68911528659582055</v>
      </c>
      <c r="F549">
        <f t="shared" ca="1" si="59"/>
        <v>3</v>
      </c>
      <c r="G549">
        <f t="shared" ca="1" si="60"/>
        <v>-3</v>
      </c>
      <c r="H549">
        <f ca="1">AVERAGE($G$2:G549)</f>
        <v>0.24270072992700731</v>
      </c>
      <c r="I549">
        <f ca="1">_xlfn.VAR.P($G$2:G549)</f>
        <v>14.913724092919175</v>
      </c>
      <c r="AE549">
        <f t="shared" si="62"/>
        <v>547</v>
      </c>
      <c r="AF549" s="66">
        <f t="shared" si="61"/>
        <v>1</v>
      </c>
    </row>
    <row r="550" spans="1:32" x14ac:dyDescent="0.3">
      <c r="A550">
        <f t="shared" ca="1" si="56"/>
        <v>0.35723232317810516</v>
      </c>
      <c r="B550">
        <f t="shared" ca="1" si="57"/>
        <v>1</v>
      </c>
      <c r="C550">
        <f ca="1">AVERAGE($B$2:B550)</f>
        <v>2.3624772313296902</v>
      </c>
      <c r="D550">
        <f ca="1">_xlfn.VAR.P($B$2:B550)</f>
        <v>7.1199763769861413</v>
      </c>
      <c r="E550">
        <f t="shared" ca="1" si="58"/>
        <v>0.21136291012580555</v>
      </c>
      <c r="F550">
        <f t="shared" ca="1" si="59"/>
        <v>0</v>
      </c>
      <c r="G550">
        <f t="shared" ca="1" si="60"/>
        <v>1</v>
      </c>
      <c r="H550">
        <f ca="1">AVERAGE($G$2:G550)</f>
        <v>0.24408014571948999</v>
      </c>
      <c r="I550">
        <f ca="1">_xlfn.VAR.P($G$2:G550)</f>
        <v>14.887601567347156</v>
      </c>
      <c r="AE550">
        <f t="shared" si="62"/>
        <v>548</v>
      </c>
      <c r="AF550" s="66">
        <f t="shared" si="61"/>
        <v>1</v>
      </c>
    </row>
    <row r="551" spans="1:32" x14ac:dyDescent="0.3">
      <c r="A551">
        <f t="shared" ca="1" si="56"/>
        <v>0.77435666767440192</v>
      </c>
      <c r="B551">
        <f t="shared" ca="1" si="57"/>
        <v>4</v>
      </c>
      <c r="C551">
        <f ca="1">AVERAGE($B$2:B551)</f>
        <v>2.3654545454545453</v>
      </c>
      <c r="D551">
        <f ca="1">_xlfn.VAR.P($B$2:B551)</f>
        <v>7.1118975206611568</v>
      </c>
      <c r="E551">
        <f t="shared" ca="1" si="58"/>
        <v>8.2679259234713309E-2</v>
      </c>
      <c r="F551">
        <f t="shared" ca="1" si="59"/>
        <v>0</v>
      </c>
      <c r="G551">
        <f t="shared" ca="1" si="60"/>
        <v>4</v>
      </c>
      <c r="H551">
        <f ca="1">AVERAGE($G$2:G551)</f>
        <v>0.25090909090909091</v>
      </c>
      <c r="I551">
        <f ca="1">_xlfn.VAR.P($G$2:G551)</f>
        <v>14.886135537190082</v>
      </c>
      <c r="AE551">
        <f t="shared" si="62"/>
        <v>549</v>
      </c>
      <c r="AF551" s="66">
        <f t="shared" si="61"/>
        <v>1</v>
      </c>
    </row>
    <row r="552" spans="1:32" x14ac:dyDescent="0.3">
      <c r="A552">
        <f t="shared" ca="1" si="56"/>
        <v>0.43942584139525986</v>
      </c>
      <c r="B552">
        <f t="shared" ca="1" si="57"/>
        <v>1</v>
      </c>
      <c r="C552">
        <f ca="1">AVERAGE($B$2:B552)</f>
        <v>2.3629764065335754</v>
      </c>
      <c r="D552">
        <f ca="1">_xlfn.VAR.P($B$2:B552)</f>
        <v>7.1023679105141291</v>
      </c>
      <c r="E552">
        <f t="shared" ca="1" si="58"/>
        <v>0.7631979592643835</v>
      </c>
      <c r="F552">
        <f t="shared" ca="1" si="59"/>
        <v>4</v>
      </c>
      <c r="G552">
        <f t="shared" ca="1" si="60"/>
        <v>-3</v>
      </c>
      <c r="H552">
        <f ca="1">AVERAGE($G$2:G552)</f>
        <v>0.24500907441016334</v>
      </c>
      <c r="I552">
        <f ca="1">_xlfn.VAR.P($G$2:G552)</f>
        <v>14.878264564345967</v>
      </c>
      <c r="AE552">
        <f t="shared" si="62"/>
        <v>550</v>
      </c>
      <c r="AF552" s="66">
        <f t="shared" si="61"/>
        <v>1</v>
      </c>
    </row>
    <row r="553" spans="1:32" x14ac:dyDescent="0.3">
      <c r="A553">
        <f t="shared" ca="1" si="56"/>
        <v>0.23164608191762059</v>
      </c>
      <c r="B553">
        <f t="shared" ca="1" si="57"/>
        <v>0</v>
      </c>
      <c r="C553">
        <f ca="1">AVERAGE($B$2:B553)</f>
        <v>2.3586956521739131</v>
      </c>
      <c r="D553">
        <f ca="1">_xlfn.VAR.P($B$2:B553)</f>
        <v>7.0995982986767485</v>
      </c>
      <c r="E553">
        <f t="shared" ca="1" si="58"/>
        <v>0.93555069012387482</v>
      </c>
      <c r="F553">
        <f t="shared" ca="1" si="59"/>
        <v>7</v>
      </c>
      <c r="G553">
        <f t="shared" ca="1" si="60"/>
        <v>-7</v>
      </c>
      <c r="H553">
        <f ca="1">AVERAGE($G$2:G553)</f>
        <v>0.2318840579710145</v>
      </c>
      <c r="I553">
        <f ca="1">_xlfn.VAR.P($G$2:G553)</f>
        <v>14.946229783658895</v>
      </c>
      <c r="AE553">
        <f t="shared" si="62"/>
        <v>551</v>
      </c>
      <c r="AF553" s="66">
        <f t="shared" si="61"/>
        <v>1</v>
      </c>
    </row>
    <row r="554" spans="1:32" x14ac:dyDescent="0.3">
      <c r="A554">
        <f t="shared" ca="1" si="56"/>
        <v>0.22023592845959861</v>
      </c>
      <c r="B554">
        <f t="shared" ca="1" si="57"/>
        <v>0</v>
      </c>
      <c r="C554">
        <f ca="1">AVERAGE($B$2:B554)</f>
        <v>2.3544303797468356</v>
      </c>
      <c r="D554">
        <f ca="1">_xlfn.VAR.P($B$2:B554)</f>
        <v>7.0968022523862935</v>
      </c>
      <c r="E554">
        <f t="shared" ca="1" si="58"/>
        <v>0.6547995840722024</v>
      </c>
      <c r="F554">
        <f t="shared" ca="1" si="59"/>
        <v>2</v>
      </c>
      <c r="G554">
        <f t="shared" ca="1" si="60"/>
        <v>-2</v>
      </c>
      <c r="H554">
        <f ca="1">AVERAGE($G$2:G554)</f>
        <v>0.22784810126582278</v>
      </c>
      <c r="I554">
        <f ca="1">_xlfn.VAR.P($G$2:G554)</f>
        <v>14.9281937418454</v>
      </c>
      <c r="AE554">
        <f t="shared" si="62"/>
        <v>552</v>
      </c>
      <c r="AF554" s="66">
        <f t="shared" si="61"/>
        <v>1</v>
      </c>
    </row>
    <row r="555" spans="1:32" x14ac:dyDescent="0.3">
      <c r="A555">
        <f t="shared" ca="1" si="56"/>
        <v>0.32383325287855225</v>
      </c>
      <c r="B555">
        <f t="shared" ca="1" si="57"/>
        <v>1</v>
      </c>
      <c r="C555">
        <f ca="1">AVERAGE($B$2:B555)</f>
        <v>2.3519855595667871</v>
      </c>
      <c r="D555">
        <f ca="1">_xlfn.VAR.P($B$2:B555)</f>
        <v>7.0872975015965283</v>
      </c>
      <c r="E555">
        <f t="shared" ca="1" si="58"/>
        <v>0.29489939012129185</v>
      </c>
      <c r="F555">
        <f t="shared" ca="1" si="59"/>
        <v>0</v>
      </c>
      <c r="G555">
        <f t="shared" ca="1" si="60"/>
        <v>1</v>
      </c>
      <c r="H555">
        <f ca="1">AVERAGE($G$2:G555)</f>
        <v>0.2292418772563177</v>
      </c>
      <c r="I555">
        <f ca="1">_xlfn.VAR.P($G$2:G555)</f>
        <v>14.902321807921385</v>
      </c>
      <c r="AE555">
        <f t="shared" si="62"/>
        <v>553</v>
      </c>
      <c r="AF555" s="66">
        <f t="shared" si="61"/>
        <v>1</v>
      </c>
    </row>
    <row r="556" spans="1:32" x14ac:dyDescent="0.3">
      <c r="A556">
        <f t="shared" ca="1" si="56"/>
        <v>0.91137851957065308</v>
      </c>
      <c r="B556">
        <f t="shared" ca="1" si="57"/>
        <v>6</v>
      </c>
      <c r="C556">
        <f ca="1">AVERAGE($B$2:B556)</f>
        <v>2.3585585585585584</v>
      </c>
      <c r="D556">
        <f ca="1">_xlfn.VAR.P($B$2:B556)</f>
        <v>7.0984627871114361</v>
      </c>
      <c r="E556">
        <f t="shared" ca="1" si="58"/>
        <v>0.23435122972581823</v>
      </c>
      <c r="F556">
        <f t="shared" ca="1" si="59"/>
        <v>0</v>
      </c>
      <c r="G556">
        <f t="shared" ca="1" si="60"/>
        <v>6</v>
      </c>
      <c r="H556">
        <f ca="1">AVERAGE($G$2:G556)</f>
        <v>0.23963963963963963</v>
      </c>
      <c r="I556">
        <f ca="1">_xlfn.VAR.P($G$2:G556)</f>
        <v>14.935365635906177</v>
      </c>
      <c r="AE556">
        <f t="shared" si="62"/>
        <v>554</v>
      </c>
      <c r="AF556" s="66">
        <f t="shared" si="61"/>
        <v>1</v>
      </c>
    </row>
    <row r="557" spans="1:32" x14ac:dyDescent="0.3">
      <c r="A557">
        <f t="shared" ca="1" si="56"/>
        <v>0.29289206113820976</v>
      </c>
      <c r="B557">
        <f t="shared" ca="1" si="57"/>
        <v>0</v>
      </c>
      <c r="C557">
        <f ca="1">AVERAGE($B$2:B557)</f>
        <v>2.3543165467625897</v>
      </c>
      <c r="D557">
        <f ca="1">_xlfn.VAR.P($B$2:B557)</f>
        <v>7.0956828062729675</v>
      </c>
      <c r="E557">
        <f t="shared" ca="1" si="58"/>
        <v>0.7599496885252488</v>
      </c>
      <c r="F557">
        <f t="shared" ca="1" si="59"/>
        <v>4</v>
      </c>
      <c r="G557">
        <f t="shared" ca="1" si="60"/>
        <v>-4</v>
      </c>
      <c r="H557">
        <f ca="1">AVERAGE($G$2:G557)</f>
        <v>0.23201438848920863</v>
      </c>
      <c r="I557">
        <f ca="1">_xlfn.VAR.P($G$2:G557)</f>
        <v>14.94077364008074</v>
      </c>
      <c r="AE557">
        <f t="shared" si="62"/>
        <v>555</v>
      </c>
      <c r="AF557" s="66">
        <f t="shared" si="61"/>
        <v>1</v>
      </c>
    </row>
    <row r="558" spans="1:32" x14ac:dyDescent="0.3">
      <c r="A558">
        <f t="shared" ca="1" si="56"/>
        <v>0.43496296810854185</v>
      </c>
      <c r="B558">
        <f t="shared" ca="1" si="57"/>
        <v>1</v>
      </c>
      <c r="C558">
        <f ca="1">AVERAGE($B$2:B558)</f>
        <v>2.3518850987432676</v>
      </c>
      <c r="D558">
        <f ca="1">_xlfn.VAR.P($B$2:B558)</f>
        <v>7.0862307372465345</v>
      </c>
      <c r="E558">
        <f t="shared" ca="1" si="58"/>
        <v>0.55751768882778552</v>
      </c>
      <c r="F558">
        <f t="shared" ca="1" si="59"/>
        <v>2</v>
      </c>
      <c r="G558">
        <f t="shared" ca="1" si="60"/>
        <v>-1</v>
      </c>
      <c r="H558">
        <f ca="1">AVERAGE($G$2:G558)</f>
        <v>0.22980251346499103</v>
      </c>
      <c r="I558">
        <f ca="1">_xlfn.VAR.P($G$2:G558)</f>
        <v>14.916670158485603</v>
      </c>
      <c r="AE558">
        <f t="shared" si="62"/>
        <v>556</v>
      </c>
      <c r="AF558" s="66">
        <f t="shared" si="61"/>
        <v>1</v>
      </c>
    </row>
    <row r="559" spans="1:32" x14ac:dyDescent="0.3">
      <c r="A559">
        <f t="shared" ca="1" si="56"/>
        <v>0.8512745011429379</v>
      </c>
      <c r="B559">
        <f t="shared" ca="1" si="57"/>
        <v>5</v>
      </c>
      <c r="C559">
        <f ca="1">AVERAGE($B$2:B559)</f>
        <v>2.3566308243727598</v>
      </c>
      <c r="D559">
        <f ca="1">_xlfn.VAR.P($B$2:B559)</f>
        <v>7.0860761038527258</v>
      </c>
      <c r="E559">
        <f t="shared" ca="1" si="58"/>
        <v>0.49096259937400477</v>
      </c>
      <c r="F559">
        <f t="shared" ca="1" si="59"/>
        <v>1</v>
      </c>
      <c r="G559">
        <f t="shared" ca="1" si="60"/>
        <v>4</v>
      </c>
      <c r="H559">
        <f ca="1">AVERAGE($G$2:G559)</f>
        <v>0.23655913978494625</v>
      </c>
      <c r="I559">
        <f ca="1">_xlfn.VAR.P($G$2:G559)</f>
        <v>14.915365938258759</v>
      </c>
      <c r="AE559">
        <f t="shared" si="62"/>
        <v>557</v>
      </c>
      <c r="AF559" s="66">
        <f t="shared" si="61"/>
        <v>1</v>
      </c>
    </row>
    <row r="560" spans="1:32" x14ac:dyDescent="0.3">
      <c r="A560">
        <f t="shared" ca="1" si="56"/>
        <v>0.84663026169373368</v>
      </c>
      <c r="B560">
        <f t="shared" ca="1" si="57"/>
        <v>5</v>
      </c>
      <c r="C560">
        <f ca="1">AVERAGE($B$2:B560)</f>
        <v>2.3613595706618962</v>
      </c>
      <c r="D560">
        <f ca="1">_xlfn.VAR.P($B$2:B560)</f>
        <v>7.0858772213350569</v>
      </c>
      <c r="E560">
        <f t="shared" ca="1" si="58"/>
        <v>0.1645484869165913</v>
      </c>
      <c r="F560">
        <f t="shared" ca="1" si="59"/>
        <v>0</v>
      </c>
      <c r="G560">
        <f t="shared" ca="1" si="60"/>
        <v>5</v>
      </c>
      <c r="H560">
        <f ca="1">AVERAGE($G$2:G560)</f>
        <v>0.24508050089445438</v>
      </c>
      <c r="I560">
        <f ca="1">_xlfn.VAR.P($G$2:G560)</f>
        <v>14.929202095487407</v>
      </c>
      <c r="AE560">
        <f t="shared" si="62"/>
        <v>558</v>
      </c>
      <c r="AF560" s="66">
        <f t="shared" si="61"/>
        <v>1</v>
      </c>
    </row>
    <row r="561" spans="1:32" x14ac:dyDescent="0.3">
      <c r="A561">
        <f t="shared" ca="1" si="56"/>
        <v>0.91431668275477074</v>
      </c>
      <c r="B561">
        <f t="shared" ca="1" si="57"/>
        <v>6</v>
      </c>
      <c r="C561">
        <f ca="1">AVERAGE($B$2:B561)</f>
        <v>2.3678571428571429</v>
      </c>
      <c r="D561">
        <f ca="1">_xlfn.VAR.P($B$2:B561)</f>
        <v>7.0968239795918366</v>
      </c>
      <c r="E561">
        <f t="shared" ca="1" si="58"/>
        <v>0.95812790407008697</v>
      </c>
      <c r="F561">
        <f t="shared" ca="1" si="59"/>
        <v>8</v>
      </c>
      <c r="G561">
        <f t="shared" ca="1" si="60"/>
        <v>-2</v>
      </c>
      <c r="H561">
        <f ca="1">AVERAGE($G$2:G561)</f>
        <v>0.24107142857142858</v>
      </c>
      <c r="I561">
        <f ca="1">_xlfn.VAR.P($G$2:G561)</f>
        <v>14.911527423469387</v>
      </c>
      <c r="AE561">
        <f t="shared" si="62"/>
        <v>559</v>
      </c>
      <c r="AF561" s="66">
        <f t="shared" si="61"/>
        <v>1</v>
      </c>
    </row>
    <row r="562" spans="1:32" x14ac:dyDescent="0.3">
      <c r="A562">
        <f t="shared" ca="1" si="56"/>
        <v>0.6458041857419452</v>
      </c>
      <c r="B562">
        <f t="shared" ca="1" si="57"/>
        <v>2</v>
      </c>
      <c r="C562">
        <f ca="1">AVERAGE($B$2:B562)</f>
        <v>2.3672014260249554</v>
      </c>
      <c r="D562">
        <f ca="1">_xlfn.VAR.P($B$2:B562)</f>
        <v>7.084414449623635</v>
      </c>
      <c r="E562">
        <f t="shared" ca="1" si="58"/>
        <v>0.77655092833656769</v>
      </c>
      <c r="F562">
        <f t="shared" ca="1" si="59"/>
        <v>4</v>
      </c>
      <c r="G562">
        <f t="shared" ca="1" si="60"/>
        <v>-2</v>
      </c>
      <c r="H562">
        <f ca="1">AVERAGE($G$2:G562)</f>
        <v>0.23707664884135474</v>
      </c>
      <c r="I562">
        <f ca="1">_xlfn.VAR.P($G$2:G562)</f>
        <v>14.893883789133868</v>
      </c>
      <c r="AE562">
        <f t="shared" si="62"/>
        <v>560</v>
      </c>
      <c r="AF562" s="66">
        <f t="shared" si="61"/>
        <v>1</v>
      </c>
    </row>
    <row r="563" spans="1:32" x14ac:dyDescent="0.3">
      <c r="A563">
        <f t="shared" ca="1" si="56"/>
        <v>0.44648899444588896</v>
      </c>
      <c r="B563">
        <f t="shared" ca="1" si="57"/>
        <v>1</v>
      </c>
      <c r="C563">
        <f ca="1">AVERAGE($B$2:B563)</f>
        <v>2.3647686832740216</v>
      </c>
      <c r="D563">
        <f ca="1">_xlfn.VAR.P($B$2:B563)</f>
        <v>7.0751288610833196</v>
      </c>
      <c r="E563">
        <f t="shared" ca="1" si="58"/>
        <v>0.91288365588445342</v>
      </c>
      <c r="F563">
        <f t="shared" ca="1" si="59"/>
        <v>6</v>
      </c>
      <c r="G563">
        <f t="shared" ca="1" si="60"/>
        <v>-5</v>
      </c>
      <c r="H563">
        <f ca="1">AVERAGE($G$2:G563)</f>
        <v>0.22775800711743771</v>
      </c>
      <c r="I563">
        <f ca="1">_xlfn.VAR.P($G$2:G563)</f>
        <v>14.916097820443003</v>
      </c>
      <c r="AE563">
        <f t="shared" si="62"/>
        <v>561</v>
      </c>
      <c r="AF563" s="66">
        <f t="shared" si="61"/>
        <v>1</v>
      </c>
    </row>
    <row r="564" spans="1:32" x14ac:dyDescent="0.3">
      <c r="A564">
        <f t="shared" ca="1" si="56"/>
        <v>0.38862861877421173</v>
      </c>
      <c r="B564">
        <f t="shared" ca="1" si="57"/>
        <v>1</v>
      </c>
      <c r="C564">
        <f ca="1">AVERAGE($B$2:B564)</f>
        <v>2.3623445825932503</v>
      </c>
      <c r="D564">
        <f ca="1">_xlfn.VAR.P($B$2:B564)</f>
        <v>7.0658644851704739</v>
      </c>
      <c r="E564">
        <f t="shared" ca="1" si="58"/>
        <v>0.3413905357035113</v>
      </c>
      <c r="F564">
        <f t="shared" ca="1" si="59"/>
        <v>1</v>
      </c>
      <c r="G564">
        <f t="shared" ca="1" si="60"/>
        <v>0</v>
      </c>
      <c r="H564">
        <f ca="1">AVERAGE($G$2:G564)</f>
        <v>0.22735346358792186</v>
      </c>
      <c r="I564">
        <f ca="1">_xlfn.VAR.P($G$2:G564)</f>
        <v>14.889695837763314</v>
      </c>
      <c r="AE564">
        <f t="shared" si="62"/>
        <v>562</v>
      </c>
      <c r="AF564" s="66">
        <f t="shared" si="61"/>
        <v>1</v>
      </c>
    </row>
    <row r="565" spans="1:32" x14ac:dyDescent="0.3">
      <c r="A565">
        <f t="shared" ca="1" si="56"/>
        <v>0.5533682462152959</v>
      </c>
      <c r="B565">
        <f t="shared" ca="1" si="57"/>
        <v>2</v>
      </c>
      <c r="C565">
        <f ca="1">AVERAGE($B$2:B565)</f>
        <v>2.3617021276595747</v>
      </c>
      <c r="D565">
        <f ca="1">_xlfn.VAR.P($B$2:B565)</f>
        <v>7.0535687339671043</v>
      </c>
      <c r="E565">
        <f t="shared" ca="1" si="58"/>
        <v>0.93451211794019595</v>
      </c>
      <c r="F565">
        <f t="shared" ca="1" si="59"/>
        <v>7</v>
      </c>
      <c r="G565">
        <f t="shared" ca="1" si="60"/>
        <v>-5</v>
      </c>
      <c r="H565">
        <f ca="1">AVERAGE($G$2:G565)</f>
        <v>0.21808510638297873</v>
      </c>
      <c r="I565">
        <f ca="1">_xlfn.VAR.P($G$2:G565)</f>
        <v>14.911658744529953</v>
      </c>
      <c r="AE565">
        <f t="shared" si="62"/>
        <v>563</v>
      </c>
      <c r="AF565" s="66">
        <f t="shared" si="61"/>
        <v>1</v>
      </c>
    </row>
    <row r="566" spans="1:32" x14ac:dyDescent="0.3">
      <c r="A566">
        <f t="shared" ca="1" si="56"/>
        <v>0.39117864522608548</v>
      </c>
      <c r="B566">
        <f t="shared" ca="1" si="57"/>
        <v>1</v>
      </c>
      <c r="C566">
        <f ca="1">AVERAGE($B$2:B566)</f>
        <v>2.3592920353982301</v>
      </c>
      <c r="D566">
        <f ca="1">_xlfn.VAR.P($B$2:B566)</f>
        <v>7.0443605607330255</v>
      </c>
      <c r="E566">
        <f t="shared" ca="1" si="58"/>
        <v>0.66098563151190848</v>
      </c>
      <c r="F566">
        <f t="shared" ca="1" si="59"/>
        <v>3</v>
      </c>
      <c r="G566">
        <f t="shared" ca="1" si="60"/>
        <v>-2</v>
      </c>
      <c r="H566">
        <f ca="1">AVERAGE($G$2:G566)</f>
        <v>0.21415929203539824</v>
      </c>
      <c r="I566">
        <f ca="1">_xlfn.VAR.P($G$2:G566)</f>
        <v>14.893958806484454</v>
      </c>
      <c r="AE566">
        <f t="shared" si="62"/>
        <v>564</v>
      </c>
      <c r="AF566" s="66">
        <f t="shared" si="61"/>
        <v>1</v>
      </c>
    </row>
    <row r="567" spans="1:32" x14ac:dyDescent="0.3">
      <c r="A567">
        <f t="shared" ca="1" si="56"/>
        <v>0.8609962859153012</v>
      </c>
      <c r="B567">
        <f t="shared" ca="1" si="57"/>
        <v>5</v>
      </c>
      <c r="C567">
        <f ca="1">AVERAGE($B$2:B567)</f>
        <v>2.3639575971731448</v>
      </c>
      <c r="D567">
        <f ca="1">_xlfn.VAR.P($B$2:B567)</f>
        <v>7.0442133126896325</v>
      </c>
      <c r="E567">
        <f t="shared" ca="1" si="58"/>
        <v>0.34431197471384001</v>
      </c>
      <c r="F567">
        <f t="shared" ca="1" si="59"/>
        <v>1</v>
      </c>
      <c r="G567">
        <f t="shared" ca="1" si="60"/>
        <v>4</v>
      </c>
      <c r="H567">
        <f ca="1">AVERAGE($G$2:G567)</f>
        <v>0.22084805653710246</v>
      </c>
      <c r="I567">
        <f ca="1">_xlfn.VAR.P($G$2:G567)</f>
        <v>14.892922248997989</v>
      </c>
      <c r="AE567">
        <f t="shared" si="62"/>
        <v>565</v>
      </c>
      <c r="AF567" s="66">
        <f t="shared" si="61"/>
        <v>1</v>
      </c>
    </row>
    <row r="568" spans="1:32" x14ac:dyDescent="0.3">
      <c r="A568">
        <f t="shared" ca="1" si="56"/>
        <v>0.78396404267486663</v>
      </c>
      <c r="B568">
        <f t="shared" ca="1" si="57"/>
        <v>4</v>
      </c>
      <c r="C568">
        <f ca="1">AVERAGE($B$2:B568)</f>
        <v>2.3668430335097002</v>
      </c>
      <c r="D568">
        <f ca="1">_xlfn.VAR.P($B$2:B568)</f>
        <v>7.0365020265079057</v>
      </c>
      <c r="E568">
        <f t="shared" ca="1" si="58"/>
        <v>0.90365702231081602</v>
      </c>
      <c r="F568">
        <f t="shared" ca="1" si="59"/>
        <v>6</v>
      </c>
      <c r="G568">
        <f t="shared" ca="1" si="60"/>
        <v>-2</v>
      </c>
      <c r="H568">
        <f ca="1">AVERAGE($G$2:G568)</f>
        <v>0.21693121693121692</v>
      </c>
      <c r="I568">
        <f ca="1">_xlfn.VAR.P($G$2:G568)</f>
        <v>14.875339436185998</v>
      </c>
      <c r="AE568">
        <f t="shared" si="62"/>
        <v>566</v>
      </c>
      <c r="AF568" s="66">
        <f t="shared" si="61"/>
        <v>1</v>
      </c>
    </row>
    <row r="569" spans="1:32" x14ac:dyDescent="0.3">
      <c r="A569">
        <f t="shared" ca="1" si="56"/>
        <v>0.90931344510628964</v>
      </c>
      <c r="B569">
        <f t="shared" ca="1" si="57"/>
        <v>6</v>
      </c>
      <c r="C569">
        <f ca="1">AVERAGE($B$2:B569)</f>
        <v>2.3732394366197185</v>
      </c>
      <c r="D569">
        <f ca="1">_xlfn.VAR.P($B$2:B569)</f>
        <v>7.0473120412616543</v>
      </c>
      <c r="E569">
        <f t="shared" ca="1" si="58"/>
        <v>0.29164340512773446</v>
      </c>
      <c r="F569">
        <f t="shared" ca="1" si="59"/>
        <v>0</v>
      </c>
      <c r="G569">
        <f t="shared" ca="1" si="60"/>
        <v>6</v>
      </c>
      <c r="H569">
        <f ca="1">AVERAGE($G$2:G569)</f>
        <v>0.22711267605633803</v>
      </c>
      <c r="I569">
        <f ca="1">_xlfn.VAR.P($G$2:G569)</f>
        <v>14.90792687462805</v>
      </c>
      <c r="AE569">
        <f t="shared" si="62"/>
        <v>567</v>
      </c>
      <c r="AF569" s="66">
        <f t="shared" si="61"/>
        <v>1</v>
      </c>
    </row>
    <row r="570" spans="1:32" x14ac:dyDescent="0.3">
      <c r="A570">
        <f t="shared" ca="1" si="56"/>
        <v>0.63305295726934041</v>
      </c>
      <c r="B570">
        <f t="shared" ca="1" si="57"/>
        <v>2</v>
      </c>
      <c r="C570">
        <f ca="1">AVERAGE($B$2:B570)</f>
        <v>2.3725834797891037</v>
      </c>
      <c r="D570">
        <f ca="1">_xlfn.VAR.P($B$2:B570)</f>
        <v>7.035171005772777</v>
      </c>
      <c r="E570">
        <f t="shared" ca="1" si="58"/>
        <v>0.7971805868338514</v>
      </c>
      <c r="F570">
        <f t="shared" ca="1" si="59"/>
        <v>4</v>
      </c>
      <c r="G570">
        <f t="shared" ca="1" si="60"/>
        <v>-2</v>
      </c>
      <c r="H570">
        <f ca="1">AVERAGE($G$2:G570)</f>
        <v>0.22319859402460457</v>
      </c>
      <c r="I570">
        <f ca="1">_xlfn.VAR.P($G$2:G570)</f>
        <v>14.89042843331964</v>
      </c>
      <c r="AE570">
        <f t="shared" si="62"/>
        <v>568</v>
      </c>
      <c r="AF570" s="66">
        <f t="shared" si="61"/>
        <v>1</v>
      </c>
    </row>
    <row r="571" spans="1:32" x14ac:dyDescent="0.3">
      <c r="A571">
        <f t="shared" ca="1" si="56"/>
        <v>0.50808298415432329</v>
      </c>
      <c r="B571">
        <f t="shared" ca="1" si="57"/>
        <v>1</v>
      </c>
      <c r="C571">
        <f ca="1">AVERAGE($B$2:B571)</f>
        <v>2.3701754385964913</v>
      </c>
      <c r="D571">
        <f ca="1">_xlfn.VAR.P($B$2:B571)</f>
        <v>7.0261280393967374</v>
      </c>
      <c r="E571">
        <f t="shared" ca="1" si="58"/>
        <v>0.89500717095917492</v>
      </c>
      <c r="F571">
        <f t="shared" ca="1" si="59"/>
        <v>6</v>
      </c>
      <c r="G571">
        <f t="shared" ca="1" si="60"/>
        <v>-5</v>
      </c>
      <c r="H571">
        <f ca="1">AVERAGE($G$2:G571)</f>
        <v>0.21403508771929824</v>
      </c>
      <c r="I571">
        <f ca="1">_xlfn.VAR.P($G$2:G571)</f>
        <v>14.912083718067098</v>
      </c>
      <c r="AE571">
        <f t="shared" si="62"/>
        <v>569</v>
      </c>
      <c r="AF571" s="66">
        <f t="shared" si="61"/>
        <v>1</v>
      </c>
    </row>
    <row r="572" spans="1:32" x14ac:dyDescent="0.3">
      <c r="A572">
        <f t="shared" ca="1" si="56"/>
        <v>0.22239873937432975</v>
      </c>
      <c r="B572">
        <f t="shared" ca="1" si="57"/>
        <v>0</v>
      </c>
      <c r="C572">
        <f ca="1">AVERAGE($B$2:B572)</f>
        <v>2.3660245183887918</v>
      </c>
      <c r="D572">
        <f ca="1">_xlfn.VAR.P($B$2:B572)</f>
        <v>7.0236442655984987</v>
      </c>
      <c r="E572">
        <f t="shared" ca="1" si="58"/>
        <v>0.98829862110980204</v>
      </c>
      <c r="F572">
        <f t="shared" ca="1" si="59"/>
        <v>12</v>
      </c>
      <c r="G572">
        <f t="shared" ca="1" si="60"/>
        <v>-12</v>
      </c>
      <c r="H572">
        <f ca="1">AVERAGE($G$2:G572)</f>
        <v>0.19264448336252188</v>
      </c>
      <c r="I572">
        <f ca="1">_xlfn.VAR.P($G$2:G572)</f>
        <v>15.146776018966939</v>
      </c>
      <c r="AE572">
        <f t="shared" si="62"/>
        <v>570</v>
      </c>
      <c r="AF572" s="66">
        <f t="shared" si="61"/>
        <v>1</v>
      </c>
    </row>
    <row r="573" spans="1:32" x14ac:dyDescent="0.3">
      <c r="A573">
        <f t="shared" ca="1" si="56"/>
        <v>0.14866310604935473</v>
      </c>
      <c r="B573">
        <f t="shared" ca="1" si="57"/>
        <v>0</v>
      </c>
      <c r="C573">
        <f ca="1">AVERAGE($B$2:B573)</f>
        <v>2.3618881118881121</v>
      </c>
      <c r="D573">
        <f ca="1">_xlfn.VAR.P($B$2:B573)</f>
        <v>7.0211348965719598</v>
      </c>
      <c r="E573">
        <f t="shared" ca="1" si="58"/>
        <v>0.55610256019434279</v>
      </c>
      <c r="F573">
        <f t="shared" ca="1" si="59"/>
        <v>2</v>
      </c>
      <c r="G573">
        <f t="shared" ca="1" si="60"/>
        <v>-2</v>
      </c>
      <c r="H573">
        <f ca="1">AVERAGE($G$2:G573)</f>
        <v>0.1888111888111888</v>
      </c>
      <c r="I573">
        <f ca="1">_xlfn.VAR.P($G$2:G573)</f>
        <v>15.128685999315369</v>
      </c>
      <c r="AE573">
        <f t="shared" si="62"/>
        <v>571</v>
      </c>
      <c r="AF573" s="66">
        <f t="shared" si="61"/>
        <v>1</v>
      </c>
    </row>
    <row r="574" spans="1:32" x14ac:dyDescent="0.3">
      <c r="A574">
        <f t="shared" ca="1" si="56"/>
        <v>0.10683184060137596</v>
      </c>
      <c r="B574">
        <f t="shared" ca="1" si="57"/>
        <v>0</v>
      </c>
      <c r="C574">
        <f ca="1">AVERAGE($B$2:B574)</f>
        <v>2.3577661431064572</v>
      </c>
      <c r="D574">
        <f ca="1">_xlfn.VAR.P($B$2:B574)</f>
        <v>7.018600245485473</v>
      </c>
      <c r="E574">
        <f t="shared" ca="1" si="58"/>
        <v>0.48966093989764847</v>
      </c>
      <c r="F574">
        <f t="shared" ca="1" si="59"/>
        <v>1</v>
      </c>
      <c r="G574">
        <f t="shared" ca="1" si="60"/>
        <v>-1</v>
      </c>
      <c r="H574">
        <f ca="1">AVERAGE($G$2:G574)</f>
        <v>0.18673647469458987</v>
      </c>
      <c r="I574">
        <f ca="1">_xlfn.VAR.P($G$2:G574)</f>
        <v>15.104745544865059</v>
      </c>
      <c r="AE574">
        <f t="shared" si="62"/>
        <v>572</v>
      </c>
      <c r="AF574" s="66">
        <f t="shared" si="61"/>
        <v>1</v>
      </c>
    </row>
    <row r="575" spans="1:32" x14ac:dyDescent="0.3">
      <c r="A575">
        <f t="shared" ca="1" si="56"/>
        <v>0.63615923005555819</v>
      </c>
      <c r="B575">
        <f t="shared" ca="1" si="57"/>
        <v>2</v>
      </c>
      <c r="C575">
        <f ca="1">AVERAGE($B$2:B575)</f>
        <v>2.3571428571428572</v>
      </c>
      <c r="D575">
        <f ca="1">_xlfn.VAR.P($B$2:B575)</f>
        <v>7.0065953210552516</v>
      </c>
      <c r="E575">
        <f t="shared" ca="1" si="58"/>
        <v>0.49266809805907552</v>
      </c>
      <c r="F575">
        <f t="shared" ca="1" si="59"/>
        <v>1</v>
      </c>
      <c r="G575">
        <f t="shared" ca="1" si="60"/>
        <v>1</v>
      </c>
      <c r="H575">
        <f ca="1">AVERAGE($G$2:G575)</f>
        <v>0.18815331010452963</v>
      </c>
      <c r="I575">
        <f ca="1">_xlfn.VAR.P($G$2:G575)</f>
        <v>15.079580910293922</v>
      </c>
      <c r="AE575">
        <f t="shared" si="62"/>
        <v>573</v>
      </c>
      <c r="AF575" s="66">
        <f t="shared" si="61"/>
        <v>1</v>
      </c>
    </row>
    <row r="576" spans="1:32" x14ac:dyDescent="0.3">
      <c r="A576">
        <f t="shared" ca="1" si="56"/>
        <v>0.19875392459963614</v>
      </c>
      <c r="B576">
        <f t="shared" ca="1" si="57"/>
        <v>0</v>
      </c>
      <c r="C576">
        <f ca="1">AVERAGE($B$2:B576)</f>
        <v>2.3530434782608696</v>
      </c>
      <c r="D576">
        <f ca="1">_xlfn.VAR.P($B$2:B576)</f>
        <v>7.0040559546313803</v>
      </c>
      <c r="E576">
        <f t="shared" ca="1" si="58"/>
        <v>0.74243724253176657</v>
      </c>
      <c r="F576">
        <f t="shared" ca="1" si="59"/>
        <v>3</v>
      </c>
      <c r="G576">
        <f t="shared" ca="1" si="60"/>
        <v>-3</v>
      </c>
      <c r="H576">
        <f ca="1">AVERAGE($G$2:G576)</f>
        <v>0.18260869565217391</v>
      </c>
      <c r="I576">
        <f ca="1">_xlfn.VAR.P($G$2:G576)</f>
        <v>15.071001890359168</v>
      </c>
      <c r="AE576">
        <f t="shared" si="62"/>
        <v>574</v>
      </c>
      <c r="AF576" s="66">
        <f t="shared" si="61"/>
        <v>1</v>
      </c>
    </row>
    <row r="577" spans="1:32" x14ac:dyDescent="0.3">
      <c r="A577">
        <f t="shared" ca="1" si="56"/>
        <v>0.19957587880766459</v>
      </c>
      <c r="B577">
        <f t="shared" ca="1" si="57"/>
        <v>0</v>
      </c>
      <c r="C577">
        <f ca="1">AVERAGE($B$2:B577)</f>
        <v>2.3489583333333335</v>
      </c>
      <c r="D577">
        <f ca="1">_xlfn.VAR.P($B$2:B577)</f>
        <v>7.0014919704861107</v>
      </c>
      <c r="E577">
        <f t="shared" ca="1" si="58"/>
        <v>0.93444640626225217</v>
      </c>
      <c r="F577">
        <f t="shared" ca="1" si="59"/>
        <v>7</v>
      </c>
      <c r="G577">
        <f t="shared" ca="1" si="60"/>
        <v>-7</v>
      </c>
      <c r="H577">
        <f ca="1">AVERAGE($G$2:G577)</f>
        <v>0.1701388888888889</v>
      </c>
      <c r="I577">
        <f ca="1">_xlfn.VAR.P($G$2:G577)</f>
        <v>15.134247202932098</v>
      </c>
      <c r="AE577">
        <f t="shared" si="62"/>
        <v>575</v>
      </c>
      <c r="AF577" s="66">
        <f t="shared" si="61"/>
        <v>1</v>
      </c>
    </row>
    <row r="578" spans="1:32" x14ac:dyDescent="0.3">
      <c r="A578">
        <f t="shared" ca="1" si="56"/>
        <v>0.65418927773603397</v>
      </c>
      <c r="B578">
        <f t="shared" ca="1" si="57"/>
        <v>2</v>
      </c>
      <c r="C578">
        <f ca="1">AVERAGE($B$2:B578)</f>
        <v>2.3483535528596189</v>
      </c>
      <c r="D578">
        <f ca="1">_xlfn.VAR.P($B$2:B578)</f>
        <v>6.9895683464041882</v>
      </c>
      <c r="E578">
        <f t="shared" ca="1" si="58"/>
        <v>0.53306902330708528</v>
      </c>
      <c r="F578">
        <f t="shared" ca="1" si="59"/>
        <v>2</v>
      </c>
      <c r="G578">
        <f t="shared" ca="1" si="60"/>
        <v>0</v>
      </c>
      <c r="H578">
        <f ca="1">AVERAGE($G$2:G578)</f>
        <v>0.16984402079722705</v>
      </c>
      <c r="I578">
        <f ca="1">_xlfn.VAR.P($G$2:G578)</f>
        <v>15.108068086589032</v>
      </c>
      <c r="AE578">
        <f t="shared" si="62"/>
        <v>576</v>
      </c>
      <c r="AF578" s="66">
        <f t="shared" si="61"/>
        <v>1</v>
      </c>
    </row>
    <row r="579" spans="1:32" x14ac:dyDescent="0.3">
      <c r="A579">
        <f t="shared" ref="A579:A642" ca="1" si="63">RAND()</f>
        <v>0.34210770110667033</v>
      </c>
      <c r="B579">
        <f t="shared" ref="B579:B642" ca="1" si="64">LOOKUP(A579,$AF$2:$AF$1002,$AE$2:$AE$1002)</f>
        <v>1</v>
      </c>
      <c r="C579">
        <f ca="1">AVERAGE($B$2:B579)</f>
        <v>2.3460207612456747</v>
      </c>
      <c r="D579">
        <f ca="1">_xlfn.VAR.P($B$2:B579)</f>
        <v>6.9806156535482096</v>
      </c>
      <c r="E579">
        <f t="shared" ref="E579:E642" ca="1" si="65">RAND()</f>
        <v>0.35456373609329084</v>
      </c>
      <c r="F579">
        <f t="shared" ref="F579:F642" ca="1" si="66">LOOKUP(E579,$AF$2:$AF$1002,$AE$2:$AE$1002)</f>
        <v>1</v>
      </c>
      <c r="G579">
        <f t="shared" ref="G579:G642" ca="1" si="67">B579-F579</f>
        <v>0</v>
      </c>
      <c r="H579">
        <f ca="1">AVERAGE($G$2:G579)</f>
        <v>0.16955017301038061</v>
      </c>
      <c r="I579">
        <f ca="1">_xlfn.VAR.P($G$2:G579)</f>
        <v>15.081979382430767</v>
      </c>
      <c r="AE579">
        <f t="shared" si="62"/>
        <v>577</v>
      </c>
      <c r="AF579" s="66">
        <f t="shared" ref="AF579:AF642" si="68">_xlfn.NEGBINOM.DIST(AE579-1,1,$K$1,TRUE)</f>
        <v>1</v>
      </c>
    </row>
    <row r="580" spans="1:32" x14ac:dyDescent="0.3">
      <c r="A580">
        <f t="shared" ca="1" si="63"/>
        <v>0.16861647518212641</v>
      </c>
      <c r="B580">
        <f t="shared" ca="1" si="64"/>
        <v>0</v>
      </c>
      <c r="C580">
        <f ca="1">AVERAGE($B$2:B580)</f>
        <v>2.3419689119170983</v>
      </c>
      <c r="D580">
        <f ca="1">_xlfn.VAR.P($B$2:B580)</f>
        <v>6.978048627703652</v>
      </c>
      <c r="E580">
        <f t="shared" ca="1" si="65"/>
        <v>0.82504678032037237</v>
      </c>
      <c r="F580">
        <f t="shared" ca="1" si="66"/>
        <v>4</v>
      </c>
      <c r="G580">
        <f t="shared" ca="1" si="67"/>
        <v>-4</v>
      </c>
      <c r="H580">
        <f ca="1">AVERAGE($G$2:G580)</f>
        <v>0.16234887737478412</v>
      </c>
      <c r="I580">
        <f ca="1">_xlfn.VAR.P($G$2:G580)</f>
        <v>15.085905363604093</v>
      </c>
      <c r="AE580">
        <f t="shared" si="62"/>
        <v>578</v>
      </c>
      <c r="AF580" s="66">
        <f t="shared" si="68"/>
        <v>1</v>
      </c>
    </row>
    <row r="581" spans="1:32" x14ac:dyDescent="0.3">
      <c r="A581">
        <f t="shared" ca="1" si="63"/>
        <v>0.43422648942710118</v>
      </c>
      <c r="B581">
        <f t="shared" ca="1" si="64"/>
        <v>1</v>
      </c>
      <c r="C581">
        <f ca="1">AVERAGE($B$2:B581)</f>
        <v>2.3396551724137931</v>
      </c>
      <c r="D581">
        <f ca="1">_xlfn.VAR.P($B$2:B581)</f>
        <v>6.9691171224732464</v>
      </c>
      <c r="E581">
        <f t="shared" ca="1" si="65"/>
        <v>0.87460423959884059</v>
      </c>
      <c r="F581">
        <f t="shared" ca="1" si="66"/>
        <v>5</v>
      </c>
      <c r="G581">
        <f t="shared" ca="1" si="67"/>
        <v>-4</v>
      </c>
      <c r="H581">
        <f ca="1">AVERAGE($G$2:G581)</f>
        <v>0.15517241379310345</v>
      </c>
      <c r="I581">
        <f ca="1">_xlfn.VAR.P($G$2:G581)</f>
        <v>15.089714625445898</v>
      </c>
      <c r="AE581">
        <f t="shared" ref="AE581:AE644" si="69">AE580+1</f>
        <v>579</v>
      </c>
      <c r="AF581" s="66">
        <f t="shared" si="68"/>
        <v>1</v>
      </c>
    </row>
    <row r="582" spans="1:32" x14ac:dyDescent="0.3">
      <c r="A582">
        <f t="shared" ca="1" si="63"/>
        <v>4.4969970983177232E-2</v>
      </c>
      <c r="B582">
        <f t="shared" ca="1" si="64"/>
        <v>0</v>
      </c>
      <c r="C582">
        <f ca="1">AVERAGE($B$2:B582)</f>
        <v>2.3356282271944924</v>
      </c>
      <c r="D582">
        <f ca="1">_xlfn.VAR.P($B$2:B582)</f>
        <v>6.9665275313202653</v>
      </c>
      <c r="E582">
        <f t="shared" ca="1" si="65"/>
        <v>0.4287269925126973</v>
      </c>
      <c r="F582">
        <f t="shared" ca="1" si="66"/>
        <v>1</v>
      </c>
      <c r="G582">
        <f t="shared" ca="1" si="67"/>
        <v>-1</v>
      </c>
      <c r="H582">
        <f ca="1">AVERAGE($G$2:G582)</f>
        <v>0.153184165232358</v>
      </c>
      <c r="I582">
        <f ca="1">_xlfn.VAR.P($G$2:G582)</f>
        <v>15.066035472107263</v>
      </c>
      <c r="AE582">
        <f t="shared" si="69"/>
        <v>580</v>
      </c>
      <c r="AF582" s="66">
        <f t="shared" si="68"/>
        <v>1</v>
      </c>
    </row>
    <row r="583" spans="1:32" x14ac:dyDescent="0.3">
      <c r="A583">
        <f t="shared" ca="1" si="63"/>
        <v>0.58470232606297468</v>
      </c>
      <c r="B583">
        <f t="shared" ca="1" si="64"/>
        <v>2</v>
      </c>
      <c r="C583">
        <f ca="1">AVERAGE($B$2:B583)</f>
        <v>2.3350515463917527</v>
      </c>
      <c r="D583">
        <f ca="1">_xlfn.VAR.P($B$2:B583)</f>
        <v>6.9547507705388458</v>
      </c>
      <c r="E583">
        <f t="shared" ca="1" si="65"/>
        <v>0.71791621386381421</v>
      </c>
      <c r="F583">
        <f t="shared" ca="1" si="66"/>
        <v>3</v>
      </c>
      <c r="G583">
        <f t="shared" ca="1" si="67"/>
        <v>-1</v>
      </c>
      <c r="H583">
        <f ca="1">AVERAGE($G$2:G583)</f>
        <v>0.15120274914089346</v>
      </c>
      <c r="I583">
        <f ca="1">_xlfn.VAR.P($G$2:G583)</f>
        <v>15.042429824872167</v>
      </c>
      <c r="AE583">
        <f t="shared" si="69"/>
        <v>581</v>
      </c>
      <c r="AF583" s="66">
        <f t="shared" si="68"/>
        <v>1</v>
      </c>
    </row>
    <row r="584" spans="1:32" x14ac:dyDescent="0.3">
      <c r="A584">
        <f t="shared" ca="1" si="63"/>
        <v>0.60322045187191453</v>
      </c>
      <c r="B584">
        <f t="shared" ca="1" si="64"/>
        <v>2</v>
      </c>
      <c r="C584">
        <f ca="1">AVERAGE($B$2:B584)</f>
        <v>2.3344768439108061</v>
      </c>
      <c r="D584">
        <f ca="1">_xlfn.VAR.P($B$2:B584)</f>
        <v>6.9430137486061625</v>
      </c>
      <c r="E584">
        <f t="shared" ca="1" si="65"/>
        <v>0.93366516052207227</v>
      </c>
      <c r="F584">
        <f t="shared" ca="1" si="66"/>
        <v>7</v>
      </c>
      <c r="G584">
        <f t="shared" ca="1" si="67"/>
        <v>-5</v>
      </c>
      <c r="H584">
        <f ca="1">AVERAGE($G$2:G584)</f>
        <v>0.14236706689536879</v>
      </c>
      <c r="I584">
        <f ca="1">_xlfn.VAR.P($G$2:G584)</f>
        <v>15.062064379841654</v>
      </c>
      <c r="AE584">
        <f t="shared" si="69"/>
        <v>582</v>
      </c>
      <c r="AF584" s="66">
        <f t="shared" si="68"/>
        <v>1</v>
      </c>
    </row>
    <row r="585" spans="1:32" x14ac:dyDescent="0.3">
      <c r="A585">
        <f t="shared" ca="1" si="63"/>
        <v>0.59400524555387002</v>
      </c>
      <c r="B585">
        <f t="shared" ca="1" si="64"/>
        <v>2</v>
      </c>
      <c r="C585">
        <f ca="1">AVERAGE($B$2:B585)</f>
        <v>2.3339041095890409</v>
      </c>
      <c r="D585">
        <f ca="1">_xlfn.VAR.P($B$2:B585)</f>
        <v>6.9313162647776316</v>
      </c>
      <c r="E585">
        <f t="shared" ca="1" si="65"/>
        <v>0.39219292865195665</v>
      </c>
      <c r="F585">
        <f t="shared" ca="1" si="66"/>
        <v>1</v>
      </c>
      <c r="G585">
        <f t="shared" ca="1" si="67"/>
        <v>1</v>
      </c>
      <c r="H585">
        <f ca="1">AVERAGE($G$2:G585)</f>
        <v>0.14383561643835616</v>
      </c>
      <c r="I585">
        <f ca="1">_xlfn.VAR.P($G$2:G585)</f>
        <v>15.03753049352599</v>
      </c>
      <c r="AE585">
        <f t="shared" si="69"/>
        <v>583</v>
      </c>
      <c r="AF585" s="66">
        <f t="shared" si="68"/>
        <v>1</v>
      </c>
    </row>
    <row r="586" spans="1:32" x14ac:dyDescent="0.3">
      <c r="A586">
        <f t="shared" ca="1" si="63"/>
        <v>0.96728105613588677</v>
      </c>
      <c r="B586">
        <f t="shared" ca="1" si="64"/>
        <v>9</v>
      </c>
      <c r="C586">
        <f ca="1">AVERAGE($B$2:B586)</f>
        <v>2.3452991452991454</v>
      </c>
      <c r="D586">
        <f ca="1">_xlfn.VAR.P($B$2:B586)</f>
        <v>6.9952984147855943</v>
      </c>
      <c r="E586">
        <f t="shared" ca="1" si="65"/>
        <v>0.44596176776107732</v>
      </c>
      <c r="F586">
        <f t="shared" ca="1" si="66"/>
        <v>1</v>
      </c>
      <c r="G586">
        <f t="shared" ca="1" si="67"/>
        <v>8</v>
      </c>
      <c r="H586">
        <f ca="1">AVERAGE($G$2:G586)</f>
        <v>0.15726495726495726</v>
      </c>
      <c r="I586">
        <f ca="1">_xlfn.VAR.P($G$2:G586)</f>
        <v>15.117148075096793</v>
      </c>
      <c r="AE586">
        <f t="shared" si="69"/>
        <v>584</v>
      </c>
      <c r="AF586" s="66">
        <f t="shared" si="68"/>
        <v>1</v>
      </c>
    </row>
    <row r="587" spans="1:32" x14ac:dyDescent="0.3">
      <c r="A587">
        <f t="shared" ca="1" si="63"/>
        <v>0.64203037839732202</v>
      </c>
      <c r="B587">
        <f t="shared" ca="1" si="64"/>
        <v>2</v>
      </c>
      <c r="C587">
        <f ca="1">AVERAGE($B$2:B587)</f>
        <v>2.3447098976109215</v>
      </c>
      <c r="D587">
        <f ca="1">_xlfn.VAR.P($B$2:B587)</f>
        <v>6.9835641649873619</v>
      </c>
      <c r="E587">
        <f t="shared" ca="1" si="65"/>
        <v>0.4896252690472207</v>
      </c>
      <c r="F587">
        <f t="shared" ca="1" si="66"/>
        <v>1</v>
      </c>
      <c r="G587">
        <f t="shared" ca="1" si="67"/>
        <v>1</v>
      </c>
      <c r="H587">
        <f ca="1">AVERAGE($G$2:G587)</f>
        <v>0.15870307167235495</v>
      </c>
      <c r="I587">
        <f ca="1">_xlfn.VAR.P($G$2:G587)</f>
        <v>15.092560775314796</v>
      </c>
      <c r="AE587">
        <f t="shared" si="69"/>
        <v>585</v>
      </c>
      <c r="AF587" s="66">
        <f t="shared" si="68"/>
        <v>1</v>
      </c>
    </row>
    <row r="588" spans="1:32" x14ac:dyDescent="0.3">
      <c r="A588">
        <f t="shared" ca="1" si="63"/>
        <v>0.35838367880173261</v>
      </c>
      <c r="B588">
        <f t="shared" ca="1" si="64"/>
        <v>1</v>
      </c>
      <c r="C588">
        <f ca="1">AVERAGE($B$2:B588)</f>
        <v>2.3424190800681433</v>
      </c>
      <c r="D588">
        <f ca="1">_xlfn.VAR.P($B$2:B588)</f>
        <v>6.9747423592952353</v>
      </c>
      <c r="E588">
        <f t="shared" ca="1" si="65"/>
        <v>0.67655520622032639</v>
      </c>
      <c r="F588">
        <f t="shared" ca="1" si="66"/>
        <v>3</v>
      </c>
      <c r="G588">
        <f t="shared" ca="1" si="67"/>
        <v>-2</v>
      </c>
      <c r="H588">
        <f ca="1">AVERAGE($G$2:G588)</f>
        <v>0.15502555366269166</v>
      </c>
      <c r="I588">
        <f ca="1">_xlfn.VAR.P($G$2:G588)</f>
        <v>15.074774573452633</v>
      </c>
      <c r="AE588">
        <f t="shared" si="69"/>
        <v>586</v>
      </c>
      <c r="AF588" s="66">
        <f t="shared" si="68"/>
        <v>1</v>
      </c>
    </row>
    <row r="589" spans="1:32" x14ac:dyDescent="0.3">
      <c r="A589">
        <f t="shared" ca="1" si="63"/>
        <v>0.43494473739344419</v>
      </c>
      <c r="B589">
        <f t="shared" ca="1" si="64"/>
        <v>1</v>
      </c>
      <c r="C589">
        <f ca="1">AVERAGE($B$2:B589)</f>
        <v>2.3401360544217686</v>
      </c>
      <c r="D589">
        <f ca="1">_xlfn.VAR.P($B$2:B589)</f>
        <v>6.9659401175436164</v>
      </c>
      <c r="E589">
        <f t="shared" ca="1" si="65"/>
        <v>0.81411790691712083</v>
      </c>
      <c r="F589">
        <f t="shared" ca="1" si="66"/>
        <v>4</v>
      </c>
      <c r="G589">
        <f t="shared" ca="1" si="67"/>
        <v>-3</v>
      </c>
      <c r="H589">
        <f ca="1">AVERAGE($G$2:G589)</f>
        <v>0.14965986394557823</v>
      </c>
      <c r="I589">
        <f ca="1">_xlfn.VAR.P($G$2:G589)</f>
        <v>15.06603729927345</v>
      </c>
      <c r="AE589">
        <f t="shared" si="69"/>
        <v>587</v>
      </c>
      <c r="AF589" s="66">
        <f t="shared" si="68"/>
        <v>1</v>
      </c>
    </row>
    <row r="590" spans="1:32" x14ac:dyDescent="0.3">
      <c r="A590">
        <f t="shared" ca="1" si="63"/>
        <v>0.79865790998136554</v>
      </c>
      <c r="B590">
        <f t="shared" ca="1" si="64"/>
        <v>4</v>
      </c>
      <c r="C590">
        <f ca="1">AVERAGE($B$2:B590)</f>
        <v>2.3429541595925296</v>
      </c>
      <c r="D590">
        <f ca="1">_xlfn.VAR.P($B$2:B590)</f>
        <v>6.958783123535329</v>
      </c>
      <c r="E590">
        <f t="shared" ca="1" si="65"/>
        <v>0.64327106180010385</v>
      </c>
      <c r="F590">
        <f t="shared" ca="1" si="66"/>
        <v>2</v>
      </c>
      <c r="G590">
        <f t="shared" ca="1" si="67"/>
        <v>2</v>
      </c>
      <c r="H590">
        <f ca="1">AVERAGE($G$2:G590)</f>
        <v>0.15280135823429541</v>
      </c>
      <c r="I590">
        <f ca="1">_xlfn.VAR.P($G$2:G590)</f>
        <v>15.046261252561822</v>
      </c>
      <c r="AE590">
        <f t="shared" si="69"/>
        <v>588</v>
      </c>
      <c r="AF590" s="66">
        <f t="shared" si="68"/>
        <v>1</v>
      </c>
    </row>
    <row r="591" spans="1:32" x14ac:dyDescent="0.3">
      <c r="A591">
        <f t="shared" ca="1" si="63"/>
        <v>0.95896574324701311</v>
      </c>
      <c r="B591">
        <f t="shared" ca="1" si="64"/>
        <v>8</v>
      </c>
      <c r="C591">
        <f ca="1">AVERAGE($B$2:B591)</f>
        <v>2.3525423728813561</v>
      </c>
      <c r="D591">
        <f ca="1">_xlfn.VAR.P($B$2:B591)</f>
        <v>7.0011376041367424</v>
      </c>
      <c r="E591">
        <f t="shared" ca="1" si="65"/>
        <v>0.56644950728116428</v>
      </c>
      <c r="F591">
        <f t="shared" ca="1" si="66"/>
        <v>2</v>
      </c>
      <c r="G591">
        <f t="shared" ca="1" si="67"/>
        <v>6</v>
      </c>
      <c r="H591">
        <f ca="1">AVERAGE($G$2:G591)</f>
        <v>0.16271186440677965</v>
      </c>
      <c r="I591">
        <f ca="1">_xlfn.VAR.P($G$2:G591)</f>
        <v>15.078609594943982</v>
      </c>
      <c r="AE591">
        <f t="shared" si="69"/>
        <v>589</v>
      </c>
      <c r="AF591" s="66">
        <f t="shared" si="68"/>
        <v>1</v>
      </c>
    </row>
    <row r="592" spans="1:32" x14ac:dyDescent="0.3">
      <c r="A592">
        <f t="shared" ca="1" si="63"/>
        <v>0.30066701099894022</v>
      </c>
      <c r="B592">
        <f t="shared" ca="1" si="64"/>
        <v>1</v>
      </c>
      <c r="C592">
        <f ca="1">AVERAGE($B$2:B592)</f>
        <v>2.3502538071065988</v>
      </c>
      <c r="D592">
        <f ca="1">_xlfn.VAR.P($B$2:B592)</f>
        <v>6.9923814922655394</v>
      </c>
      <c r="E592">
        <f t="shared" ca="1" si="65"/>
        <v>0.41365651665627512</v>
      </c>
      <c r="F592">
        <f t="shared" ca="1" si="66"/>
        <v>1</v>
      </c>
      <c r="G592">
        <f t="shared" ca="1" si="67"/>
        <v>0</v>
      </c>
      <c r="H592">
        <f ca="1">AVERAGE($G$2:G592)</f>
        <v>0.16243654822335024</v>
      </c>
      <c r="I592">
        <f ca="1">_xlfn.VAR.P($G$2:G592)</f>
        <v>15.053140594535632</v>
      </c>
      <c r="AE592">
        <f t="shared" si="69"/>
        <v>590</v>
      </c>
      <c r="AF592" s="66">
        <f t="shared" si="68"/>
        <v>1</v>
      </c>
    </row>
    <row r="593" spans="1:32" x14ac:dyDescent="0.3">
      <c r="A593">
        <f t="shared" ca="1" si="63"/>
        <v>0.16608309060122783</v>
      </c>
      <c r="B593">
        <f t="shared" ca="1" si="64"/>
        <v>0</v>
      </c>
      <c r="C593">
        <f ca="1">AVERAGE($B$2:B593)</f>
        <v>2.3462837837837838</v>
      </c>
      <c r="D593">
        <f ca="1">_xlfn.VAR.P($B$2:B593)</f>
        <v>6.9898848383856826</v>
      </c>
      <c r="E593">
        <f t="shared" ca="1" si="65"/>
        <v>0.56160507259327952</v>
      </c>
      <c r="F593">
        <f t="shared" ca="1" si="66"/>
        <v>2</v>
      </c>
      <c r="G593">
        <f t="shared" ca="1" si="67"/>
        <v>-2</v>
      </c>
      <c r="H593">
        <f ca="1">AVERAGE($G$2:G593)</f>
        <v>0.15878378378378377</v>
      </c>
      <c r="I593">
        <f ca="1">_xlfn.VAR.P($G$2:G593)</f>
        <v>15.035598520818116</v>
      </c>
      <c r="AE593">
        <f t="shared" si="69"/>
        <v>591</v>
      </c>
      <c r="AF593" s="66">
        <f t="shared" si="68"/>
        <v>1</v>
      </c>
    </row>
    <row r="594" spans="1:32" x14ac:dyDescent="0.3">
      <c r="A594">
        <f t="shared" ca="1" si="63"/>
        <v>0.15425832297045983</v>
      </c>
      <c r="B594">
        <f t="shared" ca="1" si="64"/>
        <v>0</v>
      </c>
      <c r="C594">
        <f ca="1">AVERAGE($B$2:B594)</f>
        <v>2.342327150084317</v>
      </c>
      <c r="D594">
        <f ca="1">_xlfn.VAR.P($B$2:B594)</f>
        <v>6.9873652420453354</v>
      </c>
      <c r="E594">
        <f t="shared" ca="1" si="65"/>
        <v>8.8053059236932851E-2</v>
      </c>
      <c r="F594">
        <f t="shared" ca="1" si="66"/>
        <v>0</v>
      </c>
      <c r="G594">
        <f t="shared" ca="1" si="67"/>
        <v>0</v>
      </c>
      <c r="H594">
        <f ca="1">AVERAGE($G$2:G594)</f>
        <v>0.15851602023608768</v>
      </c>
      <c r="I594">
        <f ca="1">_xlfn.VAR.P($G$2:G594)</f>
        <v>15.010285824785511</v>
      </c>
      <c r="AE594">
        <f t="shared" si="69"/>
        <v>592</v>
      </c>
      <c r="AF594" s="66">
        <f t="shared" si="68"/>
        <v>1</v>
      </c>
    </row>
    <row r="595" spans="1:32" x14ac:dyDescent="0.3">
      <c r="A595">
        <f t="shared" ca="1" si="63"/>
        <v>0.77816933193205517</v>
      </c>
      <c r="B595">
        <f t="shared" ca="1" si="64"/>
        <v>4</v>
      </c>
      <c r="C595">
        <f ca="1">AVERAGE($B$2:B595)</f>
        <v>2.3451178451178452</v>
      </c>
      <c r="D595">
        <f ca="1">_xlfn.VAR.P($B$2:B595)</f>
        <v>6.9802202723078146</v>
      </c>
      <c r="E595">
        <f t="shared" ca="1" si="65"/>
        <v>0.80803669908732922</v>
      </c>
      <c r="F595">
        <f t="shared" ca="1" si="66"/>
        <v>4</v>
      </c>
      <c r="G595">
        <f t="shared" ca="1" si="67"/>
        <v>0</v>
      </c>
      <c r="H595">
        <f ca="1">AVERAGE($G$2:G595)</f>
        <v>0.15824915824915825</v>
      </c>
      <c r="I595">
        <f ca="1">_xlfn.VAR.P($G$2:G595)</f>
        <v>14.985058214014442</v>
      </c>
      <c r="AE595">
        <f t="shared" si="69"/>
        <v>593</v>
      </c>
      <c r="AF595" s="66">
        <f t="shared" si="68"/>
        <v>1</v>
      </c>
    </row>
    <row r="596" spans="1:32" x14ac:dyDescent="0.3">
      <c r="A596">
        <f t="shared" ca="1" si="63"/>
        <v>0.97529866466864612</v>
      </c>
      <c r="B596">
        <f t="shared" ca="1" si="64"/>
        <v>10</v>
      </c>
      <c r="C596">
        <f ca="1">AVERAGE($B$2:B596)</f>
        <v>2.357983193277311</v>
      </c>
      <c r="D596">
        <f ca="1">_xlfn.VAR.P($B$2:B596)</f>
        <v>7.0668060165242563</v>
      </c>
      <c r="E596">
        <f t="shared" ca="1" si="65"/>
        <v>0.25259434681921344</v>
      </c>
      <c r="F596">
        <f t="shared" ca="1" si="66"/>
        <v>0</v>
      </c>
      <c r="G596">
        <f t="shared" ca="1" si="67"/>
        <v>10</v>
      </c>
      <c r="H596">
        <f ca="1">AVERAGE($G$2:G596)</f>
        <v>0.17478991596638654</v>
      </c>
      <c r="I596">
        <f ca="1">_xlfn.VAR.P($G$2:G596)</f>
        <v>15.122389661747052</v>
      </c>
      <c r="AE596">
        <f t="shared" si="69"/>
        <v>594</v>
      </c>
      <c r="AF596" s="66">
        <f t="shared" si="68"/>
        <v>1</v>
      </c>
    </row>
    <row r="597" spans="1:32" x14ac:dyDescent="0.3">
      <c r="A597">
        <f t="shared" ca="1" si="63"/>
        <v>0.94949201722361276</v>
      </c>
      <c r="B597">
        <f t="shared" ca="1" si="64"/>
        <v>8</v>
      </c>
      <c r="C597">
        <f ca="1">AVERAGE($B$2:B597)</f>
        <v>2.3674496644295302</v>
      </c>
      <c r="D597">
        <f ca="1">_xlfn.VAR.P($B$2:B597)</f>
        <v>7.1082693347146524</v>
      </c>
      <c r="E597">
        <f t="shared" ca="1" si="65"/>
        <v>0.55129141009865201</v>
      </c>
      <c r="F597">
        <f t="shared" ca="1" si="66"/>
        <v>2</v>
      </c>
      <c r="G597">
        <f t="shared" ca="1" si="67"/>
        <v>6</v>
      </c>
      <c r="H597">
        <f ca="1">AVERAGE($G$2:G597)</f>
        <v>0.18456375838926176</v>
      </c>
      <c r="I597">
        <f ca="1">_xlfn.VAR.P($G$2:G597)</f>
        <v>15.153855682176479</v>
      </c>
      <c r="AE597">
        <f t="shared" si="69"/>
        <v>595</v>
      </c>
      <c r="AF597" s="66">
        <f t="shared" si="68"/>
        <v>1</v>
      </c>
    </row>
    <row r="598" spans="1:32" x14ac:dyDescent="0.3">
      <c r="A598">
        <f t="shared" ca="1" si="63"/>
        <v>0.37958976142862177</v>
      </c>
      <c r="B598">
        <f t="shared" ca="1" si="64"/>
        <v>1</v>
      </c>
      <c r="C598">
        <f ca="1">AVERAGE($B$2:B598)</f>
        <v>2.3651591289782243</v>
      </c>
      <c r="D598">
        <f ca="1">_xlfn.VAR.P($B$2:B598)</f>
        <v>7.099489631294384</v>
      </c>
      <c r="E598">
        <f t="shared" ca="1" si="65"/>
        <v>0.64699946467203739</v>
      </c>
      <c r="F598">
        <f t="shared" ca="1" si="66"/>
        <v>2</v>
      </c>
      <c r="G598">
        <f t="shared" ca="1" si="67"/>
        <v>-1</v>
      </c>
      <c r="H598">
        <f ca="1">AVERAGE($G$2:G598)</f>
        <v>0.18257956448911222</v>
      </c>
      <c r="I598">
        <f ca="1">_xlfn.VAR.P($G$2:G598)</f>
        <v>15.130818806483562</v>
      </c>
      <c r="AE598">
        <f t="shared" si="69"/>
        <v>596</v>
      </c>
      <c r="AF598" s="66">
        <f t="shared" si="68"/>
        <v>1</v>
      </c>
    </row>
    <row r="599" spans="1:32" x14ac:dyDescent="0.3">
      <c r="A599">
        <f t="shared" ca="1" si="63"/>
        <v>0.54565049897315898</v>
      </c>
      <c r="B599">
        <f t="shared" ca="1" si="64"/>
        <v>2</v>
      </c>
      <c r="C599">
        <f ca="1">AVERAGE($B$2:B599)</f>
        <v>2.3645484949832776</v>
      </c>
      <c r="D599">
        <f ca="1">_xlfn.VAR.P($B$2:B599)</f>
        <v>7.0878401807586044</v>
      </c>
      <c r="E599">
        <f t="shared" ca="1" si="65"/>
        <v>0.86034442018130386</v>
      </c>
      <c r="F599">
        <f t="shared" ca="1" si="66"/>
        <v>5</v>
      </c>
      <c r="G599">
        <f t="shared" ca="1" si="67"/>
        <v>-3</v>
      </c>
      <c r="H599">
        <f ca="1">AVERAGE($G$2:G599)</f>
        <v>0.17725752508361203</v>
      </c>
      <c r="I599">
        <f ca="1">_xlfn.VAR.P($G$2:G599)</f>
        <v>15.122425923647386</v>
      </c>
      <c r="AE599">
        <f t="shared" si="69"/>
        <v>597</v>
      </c>
      <c r="AF599" s="66">
        <f t="shared" si="68"/>
        <v>1</v>
      </c>
    </row>
    <row r="600" spans="1:32" x14ac:dyDescent="0.3">
      <c r="A600">
        <f t="shared" ca="1" si="63"/>
        <v>0.13963577930865378</v>
      </c>
      <c r="B600">
        <f t="shared" ca="1" si="64"/>
        <v>0</v>
      </c>
      <c r="C600">
        <f ca="1">AVERAGE($B$2:B600)</f>
        <v>2.360601001669449</v>
      </c>
      <c r="D600">
        <f ca="1">_xlfn.VAR.P($B$2:B600)</f>
        <v>7.0853258491475772</v>
      </c>
      <c r="E600">
        <f t="shared" ca="1" si="65"/>
        <v>0.33622222674665492</v>
      </c>
      <c r="F600">
        <f t="shared" ca="1" si="66"/>
        <v>1</v>
      </c>
      <c r="G600">
        <f t="shared" ca="1" si="67"/>
        <v>-1</v>
      </c>
      <c r="H600">
        <f ca="1">AVERAGE($G$2:G600)</f>
        <v>0.17529215358931552</v>
      </c>
      <c r="I600">
        <f ca="1">_xlfn.VAR.P($G$2:G600)</f>
        <v>15.099489689270655</v>
      </c>
      <c r="AE600">
        <f t="shared" si="69"/>
        <v>598</v>
      </c>
      <c r="AF600" s="66">
        <f t="shared" si="68"/>
        <v>1</v>
      </c>
    </row>
    <row r="601" spans="1:32" x14ac:dyDescent="0.3">
      <c r="A601">
        <f t="shared" ca="1" si="63"/>
        <v>0.44601214548726165</v>
      </c>
      <c r="B601">
        <f t="shared" ca="1" si="64"/>
        <v>1</v>
      </c>
      <c r="C601">
        <f ca="1">AVERAGE($B$2:B601)</f>
        <v>2.3583333333333334</v>
      </c>
      <c r="D601">
        <f ca="1">_xlfn.VAR.P($B$2:B601)</f>
        <v>7.0765972222222224</v>
      </c>
      <c r="E601">
        <f t="shared" ca="1" si="65"/>
        <v>0.59743018810385196</v>
      </c>
      <c r="F601">
        <f t="shared" ca="1" si="66"/>
        <v>2</v>
      </c>
      <c r="G601">
        <f t="shared" ca="1" si="67"/>
        <v>-1</v>
      </c>
      <c r="H601">
        <f ca="1">AVERAGE($G$2:G601)</f>
        <v>0.17333333333333334</v>
      </c>
      <c r="I601">
        <f ca="1">_xlfn.VAR.P($G$2:G601)</f>
        <v>15.076622222222221</v>
      </c>
      <c r="AE601">
        <f t="shared" si="69"/>
        <v>599</v>
      </c>
      <c r="AF601" s="66">
        <f t="shared" si="68"/>
        <v>1</v>
      </c>
    </row>
    <row r="602" spans="1:32" x14ac:dyDescent="0.3">
      <c r="A602">
        <f t="shared" ca="1" si="63"/>
        <v>0.57016430428804288</v>
      </c>
      <c r="B602">
        <f t="shared" ca="1" si="64"/>
        <v>2</v>
      </c>
      <c r="C602">
        <f ca="1">AVERAGE($B$2:B602)</f>
        <v>2.3577371048252913</v>
      </c>
      <c r="D602">
        <f ca="1">_xlfn.VAR.P($B$2:B602)</f>
        <v>7.065035811085794</v>
      </c>
      <c r="E602">
        <f t="shared" ca="1" si="65"/>
        <v>0.13737413063785209</v>
      </c>
      <c r="F602">
        <f t="shared" ca="1" si="66"/>
        <v>0</v>
      </c>
      <c r="G602">
        <f t="shared" ca="1" si="67"/>
        <v>2</v>
      </c>
      <c r="H602">
        <f ca="1">AVERAGE($G$2:G602)</f>
        <v>0.17637271214642264</v>
      </c>
      <c r="I602">
        <f ca="1">_xlfn.VAR.P($G$2:G602)</f>
        <v>15.057079022483327</v>
      </c>
      <c r="AE602">
        <f t="shared" si="69"/>
        <v>600</v>
      </c>
      <c r="AF602" s="66">
        <f t="shared" si="68"/>
        <v>1</v>
      </c>
    </row>
    <row r="603" spans="1:32" x14ac:dyDescent="0.3">
      <c r="A603">
        <f t="shared" ca="1" si="63"/>
        <v>0.90022399230865402</v>
      </c>
      <c r="B603">
        <f t="shared" ca="1" si="64"/>
        <v>6</v>
      </c>
      <c r="C603">
        <f ca="1">AVERAGE($B$2:B603)</f>
        <v>2.3637873754152823</v>
      </c>
      <c r="D603">
        <f ca="1">_xlfn.VAR.P($B$2:B603)</f>
        <v>7.0752999415017497</v>
      </c>
      <c r="E603">
        <f t="shared" ca="1" si="65"/>
        <v>0.51856821191187707</v>
      </c>
      <c r="F603">
        <f t="shared" ca="1" si="66"/>
        <v>2</v>
      </c>
      <c r="G603">
        <f t="shared" ca="1" si="67"/>
        <v>4</v>
      </c>
      <c r="H603">
        <f ca="1">AVERAGE($G$2:G603)</f>
        <v>0.18272425249169436</v>
      </c>
      <c r="I603">
        <f ca="1">_xlfn.VAR.P($G$2:G603)</f>
        <v>15.056312844229092</v>
      </c>
      <c r="AE603">
        <f t="shared" si="69"/>
        <v>601</v>
      </c>
      <c r="AF603" s="66">
        <f t="shared" si="68"/>
        <v>1</v>
      </c>
    </row>
    <row r="604" spans="1:32" x14ac:dyDescent="0.3">
      <c r="A604">
        <f t="shared" ca="1" si="63"/>
        <v>0.195617791448641</v>
      </c>
      <c r="B604">
        <f t="shared" ca="1" si="64"/>
        <v>0</v>
      </c>
      <c r="C604">
        <f ca="1">AVERAGE($B$2:B604)</f>
        <v>2.3598673300165838</v>
      </c>
      <c r="D604">
        <f ca="1">_xlfn.VAR.P($B$2:B604)</f>
        <v>7.0728172294965193</v>
      </c>
      <c r="E604">
        <f t="shared" ca="1" si="65"/>
        <v>0.92148210394822128</v>
      </c>
      <c r="F604">
        <f t="shared" ca="1" si="66"/>
        <v>7</v>
      </c>
      <c r="G604">
        <f t="shared" ca="1" si="67"/>
        <v>-7</v>
      </c>
      <c r="H604">
        <f ca="1">AVERAGE($G$2:G604)</f>
        <v>0.17081260364842454</v>
      </c>
      <c r="I604">
        <f ca="1">_xlfn.VAR.P($G$2:G604)</f>
        <v>15.116760036192723</v>
      </c>
      <c r="AE604">
        <f t="shared" si="69"/>
        <v>602</v>
      </c>
      <c r="AF604" s="66">
        <f t="shared" si="68"/>
        <v>1</v>
      </c>
    </row>
    <row r="605" spans="1:32" x14ac:dyDescent="0.3">
      <c r="A605">
        <f t="shared" ca="1" si="63"/>
        <v>0.67422773658406976</v>
      </c>
      <c r="B605">
        <f t="shared" ca="1" si="64"/>
        <v>3</v>
      </c>
      <c r="C605">
        <f ca="1">AVERAGE($B$2:B605)</f>
        <v>2.3609271523178808</v>
      </c>
      <c r="D605">
        <f ca="1">_xlfn.VAR.P($B$2:B605)</f>
        <v>7.0617845708521561</v>
      </c>
      <c r="E605">
        <f t="shared" ca="1" si="65"/>
        <v>0.50571239078152752</v>
      </c>
      <c r="F605">
        <f t="shared" ca="1" si="66"/>
        <v>1</v>
      </c>
      <c r="G605">
        <f t="shared" ca="1" si="67"/>
        <v>2</v>
      </c>
      <c r="H605">
        <f ca="1">AVERAGE($G$2:G605)</f>
        <v>0.17384105960264901</v>
      </c>
      <c r="I605">
        <f ca="1">_xlfn.VAR.P($G$2:G605)</f>
        <v>15.097262729704838</v>
      </c>
      <c r="AE605">
        <f t="shared" si="69"/>
        <v>603</v>
      </c>
      <c r="AF605" s="66">
        <f t="shared" si="68"/>
        <v>1</v>
      </c>
    </row>
    <row r="606" spans="1:32" x14ac:dyDescent="0.3">
      <c r="A606">
        <f t="shared" ca="1" si="63"/>
        <v>0.74024114951089492</v>
      </c>
      <c r="B606">
        <f t="shared" ca="1" si="64"/>
        <v>3</v>
      </c>
      <c r="C606">
        <f ca="1">AVERAGE($B$2:B606)</f>
        <v>2.3619834710743803</v>
      </c>
      <c r="D606">
        <f ca="1">_xlfn.VAR.P($B$2:B606)</f>
        <v>7.0507861484871253</v>
      </c>
      <c r="E606">
        <f t="shared" ca="1" si="65"/>
        <v>0.717392327990655</v>
      </c>
      <c r="F606">
        <f t="shared" ca="1" si="66"/>
        <v>3</v>
      </c>
      <c r="G606">
        <f t="shared" ca="1" si="67"/>
        <v>0</v>
      </c>
      <c r="H606">
        <f ca="1">AVERAGE($G$2:G606)</f>
        <v>0.17355371900826447</v>
      </c>
      <c r="I606">
        <f ca="1">_xlfn.VAR.P($G$2:G606)</f>
        <v>15.072358445461376</v>
      </c>
      <c r="AE606">
        <f t="shared" si="69"/>
        <v>604</v>
      </c>
      <c r="AF606" s="66">
        <f t="shared" si="68"/>
        <v>1</v>
      </c>
    </row>
    <row r="607" spans="1:32" x14ac:dyDescent="0.3">
      <c r="A607">
        <f t="shared" ca="1" si="63"/>
        <v>0.50213195473403172</v>
      </c>
      <c r="B607">
        <f t="shared" ca="1" si="64"/>
        <v>1</v>
      </c>
      <c r="C607">
        <f ca="1">AVERAGE($B$2:B607)</f>
        <v>2.3597359735973598</v>
      </c>
      <c r="D607">
        <f ca="1">_xlfn.VAR.P($B$2:B607)</f>
        <v>7.0422071910161312</v>
      </c>
      <c r="E607">
        <f t="shared" ca="1" si="65"/>
        <v>0.9351942855775881</v>
      </c>
      <c r="F607">
        <f t="shared" ca="1" si="66"/>
        <v>7</v>
      </c>
      <c r="G607">
        <f t="shared" ca="1" si="67"/>
        <v>-6</v>
      </c>
      <c r="H607">
        <f ca="1">AVERAGE($G$2:G607)</f>
        <v>0.16336633663366337</v>
      </c>
      <c r="I607">
        <f ca="1">_xlfn.VAR.P($G$2:G607)</f>
        <v>15.110275136424534</v>
      </c>
      <c r="AE607">
        <f t="shared" si="69"/>
        <v>605</v>
      </c>
      <c r="AF607" s="66">
        <f t="shared" si="68"/>
        <v>1</v>
      </c>
    </row>
    <row r="608" spans="1:32" x14ac:dyDescent="0.3">
      <c r="A608">
        <f t="shared" ca="1" si="63"/>
        <v>0.20151193379572463</v>
      </c>
      <c r="B608">
        <f t="shared" ca="1" si="64"/>
        <v>0</v>
      </c>
      <c r="C608">
        <f ca="1">AVERAGE($B$2:B608)</f>
        <v>2.355848434925865</v>
      </c>
      <c r="D608">
        <f ca="1">_xlfn.VAR.P($B$2:B608)</f>
        <v>7.0397639836178145</v>
      </c>
      <c r="E608">
        <f t="shared" ca="1" si="65"/>
        <v>0.23385309978508961</v>
      </c>
      <c r="F608">
        <f t="shared" ca="1" si="66"/>
        <v>0</v>
      </c>
      <c r="G608">
        <f t="shared" ca="1" si="67"/>
        <v>0</v>
      </c>
      <c r="H608">
        <f ca="1">AVERAGE($G$2:G608)</f>
        <v>0.1630971993410214</v>
      </c>
      <c r="I608">
        <f ca="1">_xlfn.VAR.P($G$2:G608)</f>
        <v>15.085425662710444</v>
      </c>
      <c r="AE608">
        <f t="shared" si="69"/>
        <v>606</v>
      </c>
      <c r="AF608" s="66">
        <f t="shared" si="68"/>
        <v>1</v>
      </c>
    </row>
    <row r="609" spans="1:32" x14ac:dyDescent="0.3">
      <c r="A609">
        <f t="shared" ca="1" si="63"/>
        <v>0.78305728317653756</v>
      </c>
      <c r="B609">
        <f t="shared" ca="1" si="64"/>
        <v>4</v>
      </c>
      <c r="C609">
        <f ca="1">AVERAGE($B$2:B609)</f>
        <v>2.3585526315789473</v>
      </c>
      <c r="D609">
        <f ca="1">_xlfn.VAR.P($B$2:B609)</f>
        <v>7.0326242209141272</v>
      </c>
      <c r="E609">
        <f t="shared" ca="1" si="65"/>
        <v>0.93599980768415203</v>
      </c>
      <c r="F609">
        <f t="shared" ca="1" si="66"/>
        <v>7</v>
      </c>
      <c r="G609">
        <f t="shared" ca="1" si="67"/>
        <v>-3</v>
      </c>
      <c r="H609">
        <f ca="1">AVERAGE($G$2:G609)</f>
        <v>0.15789473684210525</v>
      </c>
      <c r="I609">
        <f ca="1">_xlfn.VAR.P($G$2:G609)</f>
        <v>15.077042936288089</v>
      </c>
      <c r="AE609">
        <f t="shared" si="69"/>
        <v>607</v>
      </c>
      <c r="AF609" s="66">
        <f t="shared" si="68"/>
        <v>1</v>
      </c>
    </row>
    <row r="610" spans="1:32" x14ac:dyDescent="0.3">
      <c r="A610">
        <f t="shared" ca="1" si="63"/>
        <v>0.8893355897366918</v>
      </c>
      <c r="B610">
        <f t="shared" ca="1" si="64"/>
        <v>6</v>
      </c>
      <c r="C610">
        <f ca="1">AVERAGE($B$2:B610)</f>
        <v>2.3645320197044337</v>
      </c>
      <c r="D610">
        <f ca="1">_xlfn.VAR.P($B$2:B610)</f>
        <v>7.0428142719632438</v>
      </c>
      <c r="E610">
        <f t="shared" ca="1" si="65"/>
        <v>0.76628687196910206</v>
      </c>
      <c r="F610">
        <f t="shared" ca="1" si="66"/>
        <v>4</v>
      </c>
      <c r="G610">
        <f t="shared" ca="1" si="67"/>
        <v>2</v>
      </c>
      <c r="H610">
        <f ca="1">AVERAGE($G$2:G610)</f>
        <v>0.16091954022988506</v>
      </c>
      <c r="I610">
        <f ca="1">_xlfn.VAR.P($G$2:G610)</f>
        <v>15.057848743936734</v>
      </c>
      <c r="AE610">
        <f t="shared" si="69"/>
        <v>608</v>
      </c>
      <c r="AF610" s="66">
        <f t="shared" si="68"/>
        <v>1</v>
      </c>
    </row>
    <row r="611" spans="1:32" x14ac:dyDescent="0.3">
      <c r="A611">
        <f t="shared" ca="1" si="63"/>
        <v>0.70566399308441208</v>
      </c>
      <c r="B611">
        <f t="shared" ca="1" si="64"/>
        <v>3</v>
      </c>
      <c r="C611">
        <f ca="1">AVERAGE($B$2:B611)</f>
        <v>2.3655737704918032</v>
      </c>
      <c r="D611">
        <f ca="1">_xlfn.VAR.P($B$2:B611)</f>
        <v>7.0319295888202094</v>
      </c>
      <c r="E611">
        <f t="shared" ca="1" si="65"/>
        <v>0.17325016690905182</v>
      </c>
      <c r="F611">
        <f t="shared" ca="1" si="66"/>
        <v>0</v>
      </c>
      <c r="G611">
        <f t="shared" ca="1" si="67"/>
        <v>3</v>
      </c>
      <c r="H611">
        <f ca="1">AVERAGE($G$2:G611)</f>
        <v>0.16557377049180327</v>
      </c>
      <c r="I611">
        <f ca="1">_xlfn.VAR.P($G$2:G611)</f>
        <v>15.046355818328406</v>
      </c>
      <c r="AE611">
        <f t="shared" si="69"/>
        <v>609</v>
      </c>
      <c r="AF611" s="66">
        <f t="shared" si="68"/>
        <v>1</v>
      </c>
    </row>
    <row r="612" spans="1:32" x14ac:dyDescent="0.3">
      <c r="A612">
        <f t="shared" ca="1" si="63"/>
        <v>0.6175345433124042</v>
      </c>
      <c r="B612">
        <f t="shared" ca="1" si="64"/>
        <v>2</v>
      </c>
      <c r="C612">
        <f ca="1">AVERAGE($B$2:B612)</f>
        <v>2.364975450081833</v>
      </c>
      <c r="D612">
        <f ca="1">_xlfn.VAR.P($B$2:B612)</f>
        <v>7.0206390746837171</v>
      </c>
      <c r="E612">
        <f t="shared" ca="1" si="65"/>
        <v>0.55682262213204892</v>
      </c>
      <c r="F612">
        <f t="shared" ca="1" si="66"/>
        <v>2</v>
      </c>
      <c r="G612">
        <f t="shared" ca="1" si="67"/>
        <v>0</v>
      </c>
      <c r="H612">
        <f ca="1">AVERAGE($G$2:G612)</f>
        <v>0.16530278232405893</v>
      </c>
      <c r="I612">
        <f ca="1">_xlfn.VAR.P($G$2:G612)</f>
        <v>15.021774826489803</v>
      </c>
      <c r="AE612">
        <f t="shared" si="69"/>
        <v>610</v>
      </c>
      <c r="AF612" s="66">
        <f t="shared" si="68"/>
        <v>1</v>
      </c>
    </row>
    <row r="613" spans="1:32" x14ac:dyDescent="0.3">
      <c r="A613">
        <f t="shared" ca="1" si="63"/>
        <v>0.66024599087359093</v>
      </c>
      <c r="B613">
        <f t="shared" ca="1" si="64"/>
        <v>3</v>
      </c>
      <c r="C613">
        <f ca="1">AVERAGE($B$2:B613)</f>
        <v>2.3660130718954249</v>
      </c>
      <c r="D613">
        <f ca="1">_xlfn.VAR.P($B$2:B613)</f>
        <v>7.0098252808748773</v>
      </c>
      <c r="E613">
        <f t="shared" ca="1" si="65"/>
        <v>0.94943012354030898</v>
      </c>
      <c r="F613">
        <f t="shared" ca="1" si="66"/>
        <v>8</v>
      </c>
      <c r="G613">
        <f t="shared" ca="1" si="67"/>
        <v>-5</v>
      </c>
      <c r="H613">
        <f ca="1">AVERAGE($G$2:G613)</f>
        <v>0.15686274509803921</v>
      </c>
      <c r="I613">
        <f ca="1">_xlfn.VAR.P($G$2:G613)</f>
        <v>15.040753556324491</v>
      </c>
      <c r="AE613">
        <f t="shared" si="69"/>
        <v>611</v>
      </c>
      <c r="AF613" s="66">
        <f t="shared" si="68"/>
        <v>1</v>
      </c>
    </row>
    <row r="614" spans="1:32" x14ac:dyDescent="0.3">
      <c r="A614">
        <f t="shared" ca="1" si="63"/>
        <v>0.84294529601334056</v>
      </c>
      <c r="B614">
        <f t="shared" ca="1" si="64"/>
        <v>5</v>
      </c>
      <c r="C614">
        <f ca="1">AVERAGE($B$2:B614)</f>
        <v>2.3703099510603587</v>
      </c>
      <c r="D614">
        <f ca="1">_xlfn.VAR.P($B$2:B614)</f>
        <v>7.0096894634735705</v>
      </c>
      <c r="E614">
        <f t="shared" ca="1" si="65"/>
        <v>0.24966852485294011</v>
      </c>
      <c r="F614">
        <f t="shared" ca="1" si="66"/>
        <v>0</v>
      </c>
      <c r="G614">
        <f t="shared" ca="1" si="67"/>
        <v>5</v>
      </c>
      <c r="H614">
        <f ca="1">AVERAGE($G$2:G614)</f>
        <v>0.16476345840130505</v>
      </c>
      <c r="I614">
        <f ca="1">_xlfn.VAR.P($G$2:G614)</f>
        <v>15.054419071291139</v>
      </c>
      <c r="AE614">
        <f t="shared" si="69"/>
        <v>612</v>
      </c>
      <c r="AF614" s="66">
        <f t="shared" si="68"/>
        <v>1</v>
      </c>
    </row>
    <row r="615" spans="1:32" x14ac:dyDescent="0.3">
      <c r="A615">
        <f t="shared" ca="1" si="63"/>
        <v>0.40321517205496893</v>
      </c>
      <c r="B615">
        <f t="shared" ca="1" si="64"/>
        <v>1</v>
      </c>
      <c r="C615">
        <f ca="1">AVERAGE($B$2:B615)</f>
        <v>2.3680781758957656</v>
      </c>
      <c r="D615">
        <f ca="1">_xlfn.VAR.P($B$2:B615)</f>
        <v>7.0013262740188225</v>
      </c>
      <c r="E615">
        <f t="shared" ca="1" si="65"/>
        <v>0.17510341593650369</v>
      </c>
      <c r="F615">
        <f t="shared" ca="1" si="66"/>
        <v>0</v>
      </c>
      <c r="G615">
        <f t="shared" ca="1" si="67"/>
        <v>1</v>
      </c>
      <c r="H615">
        <f ca="1">AVERAGE($G$2:G615)</f>
        <v>0.16612377850162866</v>
      </c>
      <c r="I615">
        <f ca="1">_xlfn.VAR.P($G$2:G615)</f>
        <v>15.031034812040446</v>
      </c>
      <c r="AE615">
        <f t="shared" si="69"/>
        <v>613</v>
      </c>
      <c r="AF615" s="66">
        <f t="shared" si="68"/>
        <v>1</v>
      </c>
    </row>
    <row r="616" spans="1:32" x14ac:dyDescent="0.3">
      <c r="A616">
        <f t="shared" ca="1" si="63"/>
        <v>0.77799715212994047</v>
      </c>
      <c r="B616">
        <f t="shared" ca="1" si="64"/>
        <v>4</v>
      </c>
      <c r="C616">
        <f ca="1">AVERAGE($B$2:B616)</f>
        <v>2.3707317073170731</v>
      </c>
      <c r="D616">
        <f ca="1">_xlfn.VAR.P($B$2:B616)</f>
        <v>6.9942653182629391</v>
      </c>
      <c r="E616">
        <f t="shared" ca="1" si="65"/>
        <v>0.36209488655738165</v>
      </c>
      <c r="F616">
        <f t="shared" ca="1" si="66"/>
        <v>1</v>
      </c>
      <c r="G616">
        <f t="shared" ca="1" si="67"/>
        <v>3</v>
      </c>
      <c r="H616">
        <f ca="1">AVERAGE($G$2:G616)</f>
        <v>0.17073170731707318</v>
      </c>
      <c r="I616">
        <f ca="1">_xlfn.VAR.P($G$2:G616)</f>
        <v>15.019631171921475</v>
      </c>
      <c r="AE616">
        <f t="shared" si="69"/>
        <v>614</v>
      </c>
      <c r="AF616" s="66">
        <f t="shared" si="68"/>
        <v>1</v>
      </c>
    </row>
    <row r="617" spans="1:32" x14ac:dyDescent="0.3">
      <c r="A617">
        <f t="shared" ca="1" si="63"/>
        <v>0.6674428286744043</v>
      </c>
      <c r="B617">
        <f t="shared" ca="1" si="64"/>
        <v>3</v>
      </c>
      <c r="C617">
        <f ca="1">AVERAGE($B$2:B617)</f>
        <v>2.3717532467532467</v>
      </c>
      <c r="D617">
        <f ca="1">_xlfn.VAR.P($B$2:B617)</f>
        <v>6.9835527702816664</v>
      </c>
      <c r="E617">
        <f t="shared" ca="1" si="65"/>
        <v>0.55832271815234202</v>
      </c>
      <c r="F617">
        <f t="shared" ca="1" si="66"/>
        <v>2</v>
      </c>
      <c r="G617">
        <f t="shared" ca="1" si="67"/>
        <v>1</v>
      </c>
      <c r="H617">
        <f ca="1">AVERAGE($G$2:G617)</f>
        <v>0.17207792207792208</v>
      </c>
      <c r="I617">
        <f ca="1">_xlfn.VAR.P($G$2:G617)</f>
        <v>14.996363214707371</v>
      </c>
      <c r="AE617">
        <f t="shared" si="69"/>
        <v>615</v>
      </c>
      <c r="AF617" s="66">
        <f t="shared" si="68"/>
        <v>1</v>
      </c>
    </row>
    <row r="618" spans="1:32" x14ac:dyDescent="0.3">
      <c r="A618">
        <f t="shared" ca="1" si="63"/>
        <v>0.20387864722645044</v>
      </c>
      <c r="B618">
        <f t="shared" ca="1" si="64"/>
        <v>0</v>
      </c>
      <c r="C618">
        <f ca="1">AVERAGE($B$2:B618)</f>
        <v>2.3679092382495948</v>
      </c>
      <c r="D618">
        <f ca="1">_xlfn.VAR.P($B$2:B618)</f>
        <v>6.9813364715029858</v>
      </c>
      <c r="E618">
        <f t="shared" ca="1" si="65"/>
        <v>0.34723014305023336</v>
      </c>
      <c r="F618">
        <f t="shared" ca="1" si="66"/>
        <v>1</v>
      </c>
      <c r="G618">
        <f t="shared" ca="1" si="67"/>
        <v>-1</v>
      </c>
      <c r="H618">
        <f ca="1">AVERAGE($G$2:G618)</f>
        <v>0.17017828200972449</v>
      </c>
      <c r="I618">
        <f ca="1">_xlfn.VAR.P($G$2:G618)</f>
        <v>14.974280843418118</v>
      </c>
      <c r="AE618">
        <f t="shared" si="69"/>
        <v>616</v>
      </c>
      <c r="AF618" s="66">
        <f t="shared" si="68"/>
        <v>1</v>
      </c>
    </row>
    <row r="619" spans="1:32" x14ac:dyDescent="0.3">
      <c r="A619">
        <f t="shared" ca="1" si="63"/>
        <v>0.90766211279270281</v>
      </c>
      <c r="B619">
        <f t="shared" ca="1" si="64"/>
        <v>6</v>
      </c>
      <c r="C619">
        <f ca="1">AVERAGE($B$2:B619)</f>
        <v>2.3737864077669903</v>
      </c>
      <c r="D619">
        <f ca="1">_xlfn.VAR.P($B$2:B619)</f>
        <v>6.9913516825336979</v>
      </c>
      <c r="E619">
        <f t="shared" ca="1" si="65"/>
        <v>0.55589577547595681</v>
      </c>
      <c r="F619">
        <f t="shared" ca="1" si="66"/>
        <v>2</v>
      </c>
      <c r="G619">
        <f t="shared" ca="1" si="67"/>
        <v>4</v>
      </c>
      <c r="H619">
        <f ca="1">AVERAGE($G$2:G619)</f>
        <v>0.17637540453074432</v>
      </c>
      <c r="I619">
        <f ca="1">_xlfn.VAR.P($G$2:G619)</f>
        <v>14.973746085608655</v>
      </c>
      <c r="AE619">
        <f t="shared" si="69"/>
        <v>617</v>
      </c>
      <c r="AF619" s="66">
        <f t="shared" si="68"/>
        <v>1</v>
      </c>
    </row>
    <row r="620" spans="1:32" x14ac:dyDescent="0.3">
      <c r="A620">
        <f t="shared" ca="1" si="63"/>
        <v>0.52749312439757079</v>
      </c>
      <c r="B620">
        <f t="shared" ca="1" si="64"/>
        <v>2</v>
      </c>
      <c r="C620">
        <f ca="1">AVERAGE($B$2:B620)</f>
        <v>2.3731825525040389</v>
      </c>
      <c r="D620">
        <f ca="1">_xlfn.VAR.P($B$2:B620)</f>
        <v>6.9802824400186863</v>
      </c>
      <c r="E620">
        <f t="shared" ca="1" si="65"/>
        <v>0.6510738964727798</v>
      </c>
      <c r="F620">
        <f t="shared" ca="1" si="66"/>
        <v>2</v>
      </c>
      <c r="G620">
        <f t="shared" ca="1" si="67"/>
        <v>0</v>
      </c>
      <c r="H620">
        <f ca="1">AVERAGE($G$2:G620)</f>
        <v>0.17609046849757673</v>
      </c>
      <c r="I620">
        <f ca="1">_xlfn.VAR.P($G$2:G620)</f>
        <v>14.949606040280717</v>
      </c>
      <c r="AE620">
        <f t="shared" si="69"/>
        <v>618</v>
      </c>
      <c r="AF620" s="66">
        <f t="shared" si="68"/>
        <v>1</v>
      </c>
    </row>
    <row r="621" spans="1:32" x14ac:dyDescent="0.3">
      <c r="A621">
        <f t="shared" ca="1" si="63"/>
        <v>0.8130812765926535</v>
      </c>
      <c r="B621">
        <f t="shared" ca="1" si="64"/>
        <v>4</v>
      </c>
      <c r="C621">
        <f ca="1">AVERAGE($B$2:B621)</f>
        <v>2.3758064516129034</v>
      </c>
      <c r="D621">
        <f ca="1">_xlfn.VAR.P($B$2:B621)</f>
        <v>6.9732856399583767</v>
      </c>
      <c r="E621">
        <f t="shared" ca="1" si="65"/>
        <v>0.18404634823973143</v>
      </c>
      <c r="F621">
        <f t="shared" ca="1" si="66"/>
        <v>0</v>
      </c>
      <c r="G621">
        <f t="shared" ca="1" si="67"/>
        <v>4</v>
      </c>
      <c r="H621">
        <f ca="1">AVERAGE($G$2:G621)</f>
        <v>0.18225806451612903</v>
      </c>
      <c r="I621">
        <f ca="1">_xlfn.VAR.P($G$2:G621)</f>
        <v>14.949040062434964</v>
      </c>
      <c r="AE621">
        <f t="shared" si="69"/>
        <v>619</v>
      </c>
      <c r="AF621" s="66">
        <f t="shared" si="68"/>
        <v>1</v>
      </c>
    </row>
    <row r="622" spans="1:32" x14ac:dyDescent="0.3">
      <c r="A622">
        <f t="shared" ca="1" si="63"/>
        <v>0.28422311003077583</v>
      </c>
      <c r="B622">
        <f t="shared" ca="1" si="64"/>
        <v>0</v>
      </c>
      <c r="C622">
        <f ca="1">AVERAGE($B$2:B622)</f>
        <v>2.3719806763285023</v>
      </c>
      <c r="D622">
        <f ca="1">_xlfn.VAR.P($B$2:B622)</f>
        <v>6.9711311815911694</v>
      </c>
      <c r="E622">
        <f t="shared" ca="1" si="65"/>
        <v>0.17242300119565879</v>
      </c>
      <c r="F622">
        <f t="shared" ca="1" si="66"/>
        <v>0</v>
      </c>
      <c r="G622">
        <f t="shared" ca="1" si="67"/>
        <v>0</v>
      </c>
      <c r="H622">
        <f ca="1">AVERAGE($G$2:G622)</f>
        <v>0.1819645732689211</v>
      </c>
      <c r="I622">
        <f ca="1">_xlfn.VAR.P($G$2:G622)</f>
        <v>14.925020939163627</v>
      </c>
      <c r="AE622">
        <f t="shared" si="69"/>
        <v>620</v>
      </c>
      <c r="AF622" s="66">
        <f t="shared" si="68"/>
        <v>1</v>
      </c>
    </row>
    <row r="623" spans="1:32" x14ac:dyDescent="0.3">
      <c r="A623">
        <f t="shared" ca="1" si="63"/>
        <v>0.77735267388420792</v>
      </c>
      <c r="B623">
        <f t="shared" ca="1" si="64"/>
        <v>4</v>
      </c>
      <c r="C623">
        <f ca="1">AVERAGE($B$2:B623)</f>
        <v>2.37459807073955</v>
      </c>
      <c r="D623">
        <f ca="1">_xlfn.VAR.P($B$2:B623)</f>
        <v>6.9641778931152487</v>
      </c>
      <c r="E623">
        <f t="shared" ca="1" si="65"/>
        <v>0.14465956805601254</v>
      </c>
      <c r="F623">
        <f t="shared" ca="1" si="66"/>
        <v>0</v>
      </c>
      <c r="G623">
        <f t="shared" ca="1" si="67"/>
        <v>4</v>
      </c>
      <c r="H623">
        <f ca="1">AVERAGE($G$2:G623)</f>
        <v>0.18810289389067525</v>
      </c>
      <c r="I623">
        <f ca="1">_xlfn.VAR.P($G$2:G623)</f>
        <v>14.924424375264937</v>
      </c>
      <c r="AE623">
        <f t="shared" si="69"/>
        <v>621</v>
      </c>
      <c r="AF623" s="66">
        <f t="shared" si="68"/>
        <v>1</v>
      </c>
    </row>
    <row r="624" spans="1:32" x14ac:dyDescent="0.3">
      <c r="A624">
        <f t="shared" ca="1" si="63"/>
        <v>0.93527860855210487</v>
      </c>
      <c r="B624">
        <f t="shared" ca="1" si="64"/>
        <v>7</v>
      </c>
      <c r="C624">
        <f ca="1">AVERAGE($B$2:B624)</f>
        <v>2.3820224719101124</v>
      </c>
      <c r="D624">
        <f ca="1">_xlfn.VAR.P($B$2:B624)</f>
        <v>6.9872851551932476</v>
      </c>
      <c r="E624">
        <f t="shared" ca="1" si="65"/>
        <v>0.33696057823152037</v>
      </c>
      <c r="F624">
        <f t="shared" ca="1" si="66"/>
        <v>1</v>
      </c>
      <c r="G624">
        <f t="shared" ca="1" si="67"/>
        <v>6</v>
      </c>
      <c r="H624">
        <f ca="1">AVERAGE($G$2:G624)</f>
        <v>0.19743178170144463</v>
      </c>
      <c r="I624">
        <f ca="1">_xlfn.VAR.P($G$2:G624)</f>
        <v>14.954600145827804</v>
      </c>
      <c r="AE624">
        <f t="shared" si="69"/>
        <v>622</v>
      </c>
      <c r="AF624" s="66">
        <f t="shared" si="68"/>
        <v>1</v>
      </c>
    </row>
    <row r="625" spans="1:32" x14ac:dyDescent="0.3">
      <c r="A625">
        <f t="shared" ca="1" si="63"/>
        <v>0.49125642910823553</v>
      </c>
      <c r="B625">
        <f t="shared" ca="1" si="64"/>
        <v>1</v>
      </c>
      <c r="C625">
        <f ca="1">AVERAGE($B$2:B625)</f>
        <v>2.3798076923076925</v>
      </c>
      <c r="D625">
        <f ca="1">_xlfn.VAR.P($B$2:B625)</f>
        <v>6.9791435527613412</v>
      </c>
      <c r="E625">
        <f t="shared" ca="1" si="65"/>
        <v>0.11222218760171021</v>
      </c>
      <c r="F625">
        <f t="shared" ca="1" si="66"/>
        <v>0</v>
      </c>
      <c r="G625">
        <f t="shared" ca="1" si="67"/>
        <v>1</v>
      </c>
      <c r="H625">
        <f ca="1">AVERAGE($G$2:G625)</f>
        <v>0.19871794871794871</v>
      </c>
      <c r="I625">
        <f ca="1">_xlfn.VAR.P($G$2:G625)</f>
        <v>14.931665023011178</v>
      </c>
      <c r="AE625">
        <f t="shared" si="69"/>
        <v>623</v>
      </c>
      <c r="AF625" s="66">
        <f t="shared" si="68"/>
        <v>1</v>
      </c>
    </row>
    <row r="626" spans="1:32" x14ac:dyDescent="0.3">
      <c r="A626">
        <f t="shared" ca="1" si="63"/>
        <v>0.69347561169080152</v>
      </c>
      <c r="B626">
        <f t="shared" ca="1" si="64"/>
        <v>3</v>
      </c>
      <c r="C626">
        <f ca="1">AVERAGE($B$2:B626)</f>
        <v>2.3807999999999998</v>
      </c>
      <c r="D626">
        <f ca="1">_xlfn.VAR.P($B$2:B626)</f>
        <v>6.9685913599999996</v>
      </c>
      <c r="E626">
        <f t="shared" ca="1" si="65"/>
        <v>0.69352639426414919</v>
      </c>
      <c r="F626">
        <f t="shared" ca="1" si="66"/>
        <v>3</v>
      </c>
      <c r="G626">
        <f t="shared" ca="1" si="67"/>
        <v>0</v>
      </c>
      <c r="H626">
        <f ca="1">AVERAGE($G$2:G626)</f>
        <v>0.19839999999999999</v>
      </c>
      <c r="I626">
        <f ca="1">_xlfn.VAR.P($G$2:G626)</f>
        <v>14.90783744</v>
      </c>
      <c r="AE626">
        <f t="shared" si="69"/>
        <v>624</v>
      </c>
      <c r="AF626" s="66">
        <f t="shared" si="68"/>
        <v>1</v>
      </c>
    </row>
    <row r="627" spans="1:32" x14ac:dyDescent="0.3">
      <c r="A627">
        <f t="shared" ca="1" si="63"/>
        <v>0.48247903270745729</v>
      </c>
      <c r="B627">
        <f t="shared" ca="1" si="64"/>
        <v>1</v>
      </c>
      <c r="C627">
        <f ca="1">AVERAGE($B$2:B627)</f>
        <v>2.3785942492012779</v>
      </c>
      <c r="D627">
        <f ca="1">_xlfn.VAR.P($B$2:B627)</f>
        <v>6.960500260286417</v>
      </c>
      <c r="E627">
        <f t="shared" ca="1" si="65"/>
        <v>6.591398996892428E-4</v>
      </c>
      <c r="F627">
        <f t="shared" ca="1" si="66"/>
        <v>0</v>
      </c>
      <c r="G627">
        <f t="shared" ca="1" si="67"/>
        <v>1</v>
      </c>
      <c r="H627">
        <f ca="1">AVERAGE($G$2:G627)</f>
        <v>0.19968051118210864</v>
      </c>
      <c r="I627">
        <f ca="1">_xlfn.VAR.P($G$2:G627)</f>
        <v>14.885047821249579</v>
      </c>
      <c r="AE627">
        <f t="shared" si="69"/>
        <v>625</v>
      </c>
      <c r="AF627" s="66">
        <f t="shared" si="68"/>
        <v>1</v>
      </c>
    </row>
    <row r="628" spans="1:32" x14ac:dyDescent="0.3">
      <c r="A628">
        <f t="shared" ca="1" si="63"/>
        <v>0.74083508104426998</v>
      </c>
      <c r="B628">
        <f t="shared" ca="1" si="64"/>
        <v>3</v>
      </c>
      <c r="C628">
        <f ca="1">AVERAGE($B$2:B628)</f>
        <v>2.3795853269537481</v>
      </c>
      <c r="D628">
        <f ca="1">_xlfn.VAR.P($B$2:B628)</f>
        <v>6.9500138631339841</v>
      </c>
      <c r="E628">
        <f t="shared" ca="1" si="65"/>
        <v>0.81063463291972637</v>
      </c>
      <c r="F628">
        <f t="shared" ca="1" si="66"/>
        <v>4</v>
      </c>
      <c r="G628">
        <f t="shared" ca="1" si="67"/>
        <v>-1</v>
      </c>
      <c r="H628">
        <f ca="1">AVERAGE($G$2:G628)</f>
        <v>0.19776714513556617</v>
      </c>
      <c r="I628">
        <f ca="1">_xlfn.VAR.P($G$2:G628)</f>
        <v>14.863599480068883</v>
      </c>
      <c r="AE628">
        <f t="shared" si="69"/>
        <v>626</v>
      </c>
      <c r="AF628" s="66">
        <f t="shared" si="68"/>
        <v>1</v>
      </c>
    </row>
    <row r="629" spans="1:32" x14ac:dyDescent="0.3">
      <c r="A629">
        <f t="shared" ca="1" si="63"/>
        <v>0.54018516801789607</v>
      </c>
      <c r="B629">
        <f t="shared" ca="1" si="64"/>
        <v>2</v>
      </c>
      <c r="C629">
        <f ca="1">AVERAGE($B$2:B629)</f>
        <v>2.378980891719745</v>
      </c>
      <c r="D629">
        <f ca="1">_xlfn.VAR.P($B$2:B629)</f>
        <v>6.939176031482007</v>
      </c>
      <c r="E629">
        <f t="shared" ca="1" si="65"/>
        <v>0.50097247144030077</v>
      </c>
      <c r="F629">
        <f t="shared" ca="1" si="66"/>
        <v>1</v>
      </c>
      <c r="G629">
        <f t="shared" ca="1" si="67"/>
        <v>1</v>
      </c>
      <c r="H629">
        <f ca="1">AVERAGE($G$2:G629)</f>
        <v>0.19904458598726116</v>
      </c>
      <c r="I629">
        <f ca="1">_xlfn.VAR.P($G$2:G629)</f>
        <v>14.840954501196803</v>
      </c>
      <c r="AE629">
        <f t="shared" si="69"/>
        <v>627</v>
      </c>
      <c r="AF629" s="66">
        <f t="shared" si="68"/>
        <v>1</v>
      </c>
    </row>
    <row r="630" spans="1:32" x14ac:dyDescent="0.3">
      <c r="A630">
        <f t="shared" ca="1" si="63"/>
        <v>0.31519671225264967</v>
      </c>
      <c r="B630">
        <f t="shared" ca="1" si="64"/>
        <v>1</v>
      </c>
      <c r="C630">
        <f ca="1">AVERAGE($B$2:B630)</f>
        <v>2.3767885532591415</v>
      </c>
      <c r="D630">
        <f ca="1">_xlfn.VAR.P($B$2:B630)</f>
        <v>6.9311623416177799</v>
      </c>
      <c r="E630">
        <f t="shared" ca="1" si="65"/>
        <v>0.35308169464656436</v>
      </c>
      <c r="F630">
        <f t="shared" ca="1" si="66"/>
        <v>1</v>
      </c>
      <c r="G630">
        <f t="shared" ca="1" si="67"/>
        <v>0</v>
      </c>
      <c r="H630">
        <f ca="1">AVERAGE($G$2:G630)</f>
        <v>0.1987281399046105</v>
      </c>
      <c r="I630">
        <f ca="1">_xlfn.VAR.P($G$2:G630)</f>
        <v>14.817422865678735</v>
      </c>
      <c r="AE630">
        <f t="shared" si="69"/>
        <v>628</v>
      </c>
      <c r="AF630" s="66">
        <f t="shared" si="68"/>
        <v>1</v>
      </c>
    </row>
    <row r="631" spans="1:32" x14ac:dyDescent="0.3">
      <c r="A631">
        <f t="shared" ca="1" si="63"/>
        <v>0.77779180599032194</v>
      </c>
      <c r="B631">
        <f t="shared" ca="1" si="64"/>
        <v>4</v>
      </c>
      <c r="C631">
        <f ca="1">AVERAGE($B$2:B631)</f>
        <v>2.3793650793650793</v>
      </c>
      <c r="D631">
        <f ca="1">_xlfn.VAR.P($B$2:B631)</f>
        <v>6.9243361048122951</v>
      </c>
      <c r="E631">
        <f t="shared" ca="1" si="65"/>
        <v>0.66967501126513651</v>
      </c>
      <c r="F631">
        <f t="shared" ca="1" si="66"/>
        <v>3</v>
      </c>
      <c r="G631">
        <f t="shared" ca="1" si="67"/>
        <v>1</v>
      </c>
      <c r="H631">
        <f ca="1">AVERAGE($G$2:G631)</f>
        <v>0.2</v>
      </c>
      <c r="I631">
        <f ca="1">_xlfn.VAR.P($G$2:G631)</f>
        <v>14.794920634920635</v>
      </c>
      <c r="AE631">
        <f t="shared" si="69"/>
        <v>629</v>
      </c>
      <c r="AF631" s="66">
        <f t="shared" si="68"/>
        <v>1</v>
      </c>
    </row>
    <row r="632" spans="1:32" x14ac:dyDescent="0.3">
      <c r="A632">
        <f t="shared" ca="1" si="63"/>
        <v>0.85586412163002901</v>
      </c>
      <c r="B632">
        <f t="shared" ca="1" si="64"/>
        <v>5</v>
      </c>
      <c r="C632">
        <f ca="1">AVERAGE($B$2:B632)</f>
        <v>2.3835182250396199</v>
      </c>
      <c r="D632">
        <f ca="1">_xlfn.VAR.P($B$2:B632)</f>
        <v>6.9242291434871825</v>
      </c>
      <c r="E632">
        <f t="shared" ca="1" si="65"/>
        <v>0.1107561738357089</v>
      </c>
      <c r="F632">
        <f t="shared" ca="1" si="66"/>
        <v>0</v>
      </c>
      <c r="G632">
        <f t="shared" ca="1" si="67"/>
        <v>5</v>
      </c>
      <c r="H632">
        <f ca="1">AVERAGE($G$2:G632)</f>
        <v>0.2076069730586371</v>
      </c>
      <c r="I632">
        <f ca="1">_xlfn.VAR.P($G$2:G632)</f>
        <v>14.807929455672454</v>
      </c>
      <c r="AE632">
        <f t="shared" si="69"/>
        <v>630</v>
      </c>
      <c r="AF632" s="66">
        <f t="shared" si="68"/>
        <v>1</v>
      </c>
    </row>
    <row r="633" spans="1:32" x14ac:dyDescent="0.3">
      <c r="A633">
        <f t="shared" ca="1" si="63"/>
        <v>0.50280316616230192</v>
      </c>
      <c r="B633">
        <f t="shared" ca="1" si="64"/>
        <v>1</v>
      </c>
      <c r="C633">
        <f ca="1">AVERAGE($B$2:B633)</f>
        <v>2.3813291139240507</v>
      </c>
      <c r="D633">
        <f ca="1">_xlfn.VAR.P($B$2:B633)</f>
        <v>6.9162969676333921</v>
      </c>
      <c r="E633">
        <f t="shared" ca="1" si="65"/>
        <v>0.57369677877528413</v>
      </c>
      <c r="F633">
        <f t="shared" ca="1" si="66"/>
        <v>2</v>
      </c>
      <c r="G633">
        <f t="shared" ca="1" si="67"/>
        <v>-1</v>
      </c>
      <c r="H633">
        <f ca="1">AVERAGE($G$2:G633)</f>
        <v>0.20569620253164558</v>
      </c>
      <c r="I633">
        <f ca="1">_xlfn.VAR.P($G$2:G633)</f>
        <v>14.786802996314693</v>
      </c>
      <c r="AE633">
        <f t="shared" si="69"/>
        <v>631</v>
      </c>
      <c r="AF633" s="66">
        <f t="shared" si="68"/>
        <v>1</v>
      </c>
    </row>
    <row r="634" spans="1:32" x14ac:dyDescent="0.3">
      <c r="A634">
        <f t="shared" ca="1" si="63"/>
        <v>0.49445648903363415</v>
      </c>
      <c r="B634">
        <f t="shared" ca="1" si="64"/>
        <v>1</v>
      </c>
      <c r="C634">
        <f ca="1">AVERAGE($B$2:B634)</f>
        <v>2.3791469194312795</v>
      </c>
      <c r="D634">
        <f ca="1">_xlfn.VAR.P($B$2:B634)</f>
        <v>6.9083803149075713</v>
      </c>
      <c r="E634">
        <f t="shared" ca="1" si="65"/>
        <v>0.49432810045266085</v>
      </c>
      <c r="F634">
        <f t="shared" ca="1" si="66"/>
        <v>1</v>
      </c>
      <c r="G634">
        <f t="shared" ca="1" si="67"/>
        <v>0</v>
      </c>
      <c r="H634">
        <f ca="1">AVERAGE($G$2:G634)</f>
        <v>0.20537124802527645</v>
      </c>
      <c r="I634">
        <f ca="1">_xlfn.VAR.P($G$2:G634)</f>
        <v>14.763509854276009</v>
      </c>
      <c r="AE634">
        <f t="shared" si="69"/>
        <v>632</v>
      </c>
      <c r="AF634" s="66">
        <f t="shared" si="68"/>
        <v>1</v>
      </c>
    </row>
    <row r="635" spans="1:32" x14ac:dyDescent="0.3">
      <c r="A635">
        <f t="shared" ca="1" si="63"/>
        <v>0.43720769294815143</v>
      </c>
      <c r="B635">
        <f t="shared" ca="1" si="64"/>
        <v>1</v>
      </c>
      <c r="C635">
        <f ca="1">AVERAGE($B$2:B635)</f>
        <v>2.3769716088328074</v>
      </c>
      <c r="D635">
        <f ca="1">_xlfn.VAR.P($B$2:B635)</f>
        <v>6.900479156922648</v>
      </c>
      <c r="E635">
        <f t="shared" ca="1" si="65"/>
        <v>0.1056918316330745</v>
      </c>
      <c r="F635">
        <f t="shared" ca="1" si="66"/>
        <v>0</v>
      </c>
      <c r="G635">
        <f t="shared" ca="1" si="67"/>
        <v>1</v>
      </c>
      <c r="H635">
        <f ca="1">AVERAGE($G$2:G635)</f>
        <v>0.20662460567823343</v>
      </c>
      <c r="I635">
        <f ca="1">_xlfn.VAR.P($G$2:G635)</f>
        <v>14.741217944252604</v>
      </c>
      <c r="AE635">
        <f t="shared" si="69"/>
        <v>633</v>
      </c>
      <c r="AF635" s="66">
        <f t="shared" si="68"/>
        <v>1</v>
      </c>
    </row>
    <row r="636" spans="1:32" x14ac:dyDescent="0.3">
      <c r="A636">
        <f t="shared" ca="1" si="63"/>
        <v>4.078452420507761E-2</v>
      </c>
      <c r="B636">
        <f t="shared" ca="1" si="64"/>
        <v>0</v>
      </c>
      <c r="C636">
        <f ca="1">AVERAGE($B$2:B636)</f>
        <v>2.3732283464566928</v>
      </c>
      <c r="D636">
        <f ca="1">_xlfn.VAR.P($B$2:B636)</f>
        <v>6.8984958769917544</v>
      </c>
      <c r="E636">
        <f t="shared" ca="1" si="65"/>
        <v>2.9642529627622594E-2</v>
      </c>
      <c r="F636">
        <f t="shared" ca="1" si="66"/>
        <v>0</v>
      </c>
      <c r="G636">
        <f t="shared" ca="1" si="67"/>
        <v>0</v>
      </c>
      <c r="H636">
        <f ca="1">AVERAGE($G$2:G636)</f>
        <v>0.20629921259842521</v>
      </c>
      <c r="I636">
        <f ca="1">_xlfn.VAR.P($G$2:G636)</f>
        <v>14.718070556141113</v>
      </c>
      <c r="AE636">
        <f t="shared" si="69"/>
        <v>634</v>
      </c>
      <c r="AF636" s="66">
        <f t="shared" si="68"/>
        <v>1</v>
      </c>
    </row>
    <row r="637" spans="1:32" x14ac:dyDescent="0.3">
      <c r="A637">
        <f t="shared" ca="1" si="63"/>
        <v>0.68818974525029519</v>
      </c>
      <c r="B637">
        <f t="shared" ca="1" si="64"/>
        <v>3</v>
      </c>
      <c r="C637">
        <f ca="1">AVERAGE($B$2:B637)</f>
        <v>2.3742138364779874</v>
      </c>
      <c r="D637">
        <f ca="1">_xlfn.VAR.P($B$2:B637)</f>
        <v>6.888265891380879</v>
      </c>
      <c r="E637">
        <f t="shared" ca="1" si="65"/>
        <v>0.83501414418150699</v>
      </c>
      <c r="F637">
        <f t="shared" ca="1" si="66"/>
        <v>5</v>
      </c>
      <c r="G637">
        <f t="shared" ca="1" si="67"/>
        <v>-2</v>
      </c>
      <c r="H637">
        <f ca="1">AVERAGE($G$2:G637)</f>
        <v>0.20283018867924529</v>
      </c>
      <c r="I637">
        <f ca="1">_xlfn.VAR.P($G$2:G637)</f>
        <v>14.70257060638424</v>
      </c>
      <c r="AE637">
        <f t="shared" si="69"/>
        <v>635</v>
      </c>
      <c r="AF637" s="66">
        <f t="shared" si="68"/>
        <v>1</v>
      </c>
    </row>
    <row r="638" spans="1:32" x14ac:dyDescent="0.3">
      <c r="A638">
        <f t="shared" ca="1" si="63"/>
        <v>0.75912364048199898</v>
      </c>
      <c r="B638">
        <f t="shared" ca="1" si="64"/>
        <v>3</v>
      </c>
      <c r="C638">
        <f ca="1">AVERAGE($B$2:B638)</f>
        <v>2.3751962323390896</v>
      </c>
      <c r="D638">
        <f ca="1">_xlfn.VAR.P($B$2:B638)</f>
        <v>6.8780660917911423</v>
      </c>
      <c r="E638">
        <f t="shared" ca="1" si="65"/>
        <v>0.73416203483699183</v>
      </c>
      <c r="F638">
        <f t="shared" ca="1" si="66"/>
        <v>3</v>
      </c>
      <c r="G638">
        <f t="shared" ca="1" si="67"/>
        <v>0</v>
      </c>
      <c r="H638">
        <f ca="1">AVERAGE($G$2:G638)</f>
        <v>0.20251177394034536</v>
      </c>
      <c r="I638">
        <f ca="1">_xlfn.VAR.P($G$2:G638)</f>
        <v>14.679554130552113</v>
      </c>
      <c r="AE638">
        <f t="shared" si="69"/>
        <v>636</v>
      </c>
      <c r="AF638" s="66">
        <f t="shared" si="68"/>
        <v>1</v>
      </c>
    </row>
    <row r="639" spans="1:32" x14ac:dyDescent="0.3">
      <c r="A639">
        <f t="shared" ca="1" si="63"/>
        <v>0.88110494927870842</v>
      </c>
      <c r="B639">
        <f t="shared" ca="1" si="64"/>
        <v>5</v>
      </c>
      <c r="C639">
        <f ca="1">AVERAGE($B$2:B639)</f>
        <v>2.3793103448275863</v>
      </c>
      <c r="D639">
        <f ca="1">_xlfn.VAR.P($B$2:B639)</f>
        <v>6.8780672359744894</v>
      </c>
      <c r="E639">
        <f t="shared" ca="1" si="65"/>
        <v>0.51735217362873209</v>
      </c>
      <c r="F639">
        <f t="shared" ca="1" si="66"/>
        <v>2</v>
      </c>
      <c r="G639">
        <f t="shared" ca="1" si="67"/>
        <v>3</v>
      </c>
      <c r="H639">
        <f ca="1">AVERAGE($G$2:G639)</f>
        <v>0.20689655172413793</v>
      </c>
      <c r="I639">
        <f ca="1">_xlfn.VAR.P($G$2:G639)</f>
        <v>14.668792562966166</v>
      </c>
      <c r="AE639">
        <f t="shared" si="69"/>
        <v>637</v>
      </c>
      <c r="AF639" s="66">
        <f t="shared" si="68"/>
        <v>1</v>
      </c>
    </row>
    <row r="640" spans="1:32" x14ac:dyDescent="0.3">
      <c r="A640">
        <f t="shared" ca="1" si="63"/>
        <v>0.53391588696671699</v>
      </c>
      <c r="B640">
        <f t="shared" ca="1" si="64"/>
        <v>2</v>
      </c>
      <c r="C640">
        <f ca="1">AVERAGE($B$2:B640)</f>
        <v>2.3787167449139281</v>
      </c>
      <c r="D640">
        <f ca="1">_xlfn.VAR.P($B$2:B640)</f>
        <v>6.8675282437102183</v>
      </c>
      <c r="E640">
        <f t="shared" ca="1" si="65"/>
        <v>0.91818663599471395</v>
      </c>
      <c r="F640">
        <f t="shared" ca="1" si="66"/>
        <v>7</v>
      </c>
      <c r="G640">
        <f t="shared" ca="1" si="67"/>
        <v>-5</v>
      </c>
      <c r="H640">
        <f ca="1">AVERAGE($G$2:G640)</f>
        <v>0.19874804381846636</v>
      </c>
      <c r="I640">
        <f ca="1">_xlfn.VAR.P($G$2:G640)</f>
        <v>14.688198745594764</v>
      </c>
      <c r="AE640">
        <f t="shared" si="69"/>
        <v>638</v>
      </c>
      <c r="AF640" s="66">
        <f t="shared" si="68"/>
        <v>1</v>
      </c>
    </row>
    <row r="641" spans="1:32" x14ac:dyDescent="0.3">
      <c r="A641">
        <f t="shared" ca="1" si="63"/>
        <v>0.99936533432748464</v>
      </c>
      <c r="B641">
        <f t="shared" ca="1" si="64"/>
        <v>20</v>
      </c>
      <c r="C641">
        <f ca="1">AVERAGE($B$2:B641)</f>
        <v>2.40625</v>
      </c>
      <c r="D641">
        <f ca="1">_xlfn.VAR.P($B$2:B641)</f>
        <v>7.3412109374999996</v>
      </c>
      <c r="E641">
        <f t="shared" ca="1" si="65"/>
        <v>0.49929914937510322</v>
      </c>
      <c r="F641">
        <f t="shared" ca="1" si="66"/>
        <v>1</v>
      </c>
      <c r="G641">
        <f t="shared" ca="1" si="67"/>
        <v>19</v>
      </c>
      <c r="H641">
        <f ca="1">AVERAGE($G$2:G641)</f>
        <v>0.22812499999999999</v>
      </c>
      <c r="I641">
        <f ca="1">_xlfn.VAR.P($G$2:G641)</f>
        <v>15.216708984375</v>
      </c>
      <c r="AE641">
        <f t="shared" si="69"/>
        <v>639</v>
      </c>
      <c r="AF641" s="66">
        <f t="shared" si="68"/>
        <v>1</v>
      </c>
    </row>
    <row r="642" spans="1:32" x14ac:dyDescent="0.3">
      <c r="A642">
        <f t="shared" ca="1" si="63"/>
        <v>0.76319894451536696</v>
      </c>
      <c r="B642">
        <f t="shared" ca="1" si="64"/>
        <v>4</v>
      </c>
      <c r="C642">
        <f ca="1">AVERAGE($B$2:B642)</f>
        <v>2.408736349453978</v>
      </c>
      <c r="D642">
        <f ca="1">_xlfn.VAR.P($B$2:B642)</f>
        <v>7.3337146278362839</v>
      </c>
      <c r="E642">
        <f t="shared" ca="1" si="65"/>
        <v>0.34936443064140121</v>
      </c>
      <c r="F642">
        <f t="shared" ca="1" si="66"/>
        <v>1</v>
      </c>
      <c r="G642">
        <f t="shared" ca="1" si="67"/>
        <v>3</v>
      </c>
      <c r="H642">
        <f ca="1">AVERAGE($G$2:G642)</f>
        <v>0.23244929797191888</v>
      </c>
      <c r="I642">
        <f ca="1">_xlfn.VAR.P($G$2:G642)</f>
        <v>15.204937682686715</v>
      </c>
      <c r="AE642">
        <f t="shared" si="69"/>
        <v>640</v>
      </c>
      <c r="AF642" s="66">
        <f t="shared" si="68"/>
        <v>1</v>
      </c>
    </row>
    <row r="643" spans="1:32" x14ac:dyDescent="0.3">
      <c r="A643">
        <f t="shared" ref="A643:A706" ca="1" si="70">RAND()</f>
        <v>0.489701363541303</v>
      </c>
      <c r="B643">
        <f t="shared" ref="B643:B706" ca="1" si="71">LOOKUP(A643,$AF$2:$AF$1002,$AE$2:$AE$1002)</f>
        <v>1</v>
      </c>
      <c r="C643">
        <f ca="1">AVERAGE($B$2:B643)</f>
        <v>2.4065420560747666</v>
      </c>
      <c r="D643">
        <f ca="1">_xlfn.VAR.P($B$2:B643)</f>
        <v>7.3253777622499783</v>
      </c>
      <c r="E643">
        <f t="shared" ref="E643:E706" ca="1" si="72">RAND()</f>
        <v>0.54130820392155976</v>
      </c>
      <c r="F643">
        <f t="shared" ref="F643:F706" ca="1" si="73">LOOKUP(E643,$AF$2:$AF$1002,$AE$2:$AE$1002)</f>
        <v>2</v>
      </c>
      <c r="G643">
        <f t="shared" ref="G643:G706" ca="1" si="74">B643-F643</f>
        <v>-1</v>
      </c>
      <c r="H643">
        <f ca="1">AVERAGE($G$2:G643)</f>
        <v>0.23052959501557632</v>
      </c>
      <c r="I643">
        <f ca="1">_xlfn.VAR.P($G$2:G643)</f>
        <v>15.183616230432547</v>
      </c>
      <c r="AE643">
        <f t="shared" si="69"/>
        <v>641</v>
      </c>
      <c r="AF643" s="66">
        <f t="shared" ref="AF643:AF706" si="75">_xlfn.NEGBINOM.DIST(AE643-1,1,$K$1,TRUE)</f>
        <v>1</v>
      </c>
    </row>
    <row r="644" spans="1:32" x14ac:dyDescent="0.3">
      <c r="A644">
        <f t="shared" ca="1" si="70"/>
        <v>0.8439179040063165</v>
      </c>
      <c r="B644">
        <f t="shared" ca="1" si="71"/>
        <v>5</v>
      </c>
      <c r="C644">
        <f ca="1">AVERAGE($B$2:B644)</f>
        <v>2.4105754276827374</v>
      </c>
      <c r="D644">
        <f ca="1">_xlfn.VAR.P($B$2:B644)</f>
        <v>7.324429373393091</v>
      </c>
      <c r="E644">
        <f t="shared" ca="1" si="72"/>
        <v>0.40345491263479372</v>
      </c>
      <c r="F644">
        <f t="shared" ca="1" si="73"/>
        <v>1</v>
      </c>
      <c r="G644">
        <f t="shared" ca="1" si="74"/>
        <v>4</v>
      </c>
      <c r="H644">
        <f ca="1">AVERAGE($G$2:G644)</f>
        <v>0.2363919129082426</v>
      </c>
      <c r="I644">
        <f ca="1">_xlfn.VAR.P($G$2:G644)</f>
        <v>15.182065986373168</v>
      </c>
      <c r="AE644">
        <f t="shared" si="69"/>
        <v>642</v>
      </c>
      <c r="AF644" s="66">
        <f t="shared" si="75"/>
        <v>1</v>
      </c>
    </row>
    <row r="645" spans="1:32" x14ac:dyDescent="0.3">
      <c r="A645">
        <f t="shared" ca="1" si="70"/>
        <v>0.60230508101471336</v>
      </c>
      <c r="B645">
        <f t="shared" ca="1" si="71"/>
        <v>2</v>
      </c>
      <c r="C645">
        <f ca="1">AVERAGE($B$2:B645)</f>
        <v>2.4099378881987579</v>
      </c>
      <c r="D645">
        <f ca="1">_xlfn.VAR.P($B$2:B645)</f>
        <v>7.3133173874464719</v>
      </c>
      <c r="E645">
        <f t="shared" ca="1" si="72"/>
        <v>0.25382318572151119</v>
      </c>
      <c r="F645">
        <f t="shared" ca="1" si="73"/>
        <v>0</v>
      </c>
      <c r="G645">
        <f t="shared" ca="1" si="74"/>
        <v>2</v>
      </c>
      <c r="H645">
        <f ca="1">AVERAGE($G$2:G645)</f>
        <v>0.2391304347826087</v>
      </c>
      <c r="I645">
        <f ca="1">_xlfn.VAR.P($G$2:G645)</f>
        <v>15.163313529570619</v>
      </c>
      <c r="AE645">
        <f t="shared" ref="AE645:AE708" si="76">AE644+1</f>
        <v>643</v>
      </c>
      <c r="AF645" s="66">
        <f t="shared" si="75"/>
        <v>1</v>
      </c>
    </row>
    <row r="646" spans="1:32" x14ac:dyDescent="0.3">
      <c r="A646">
        <f t="shared" ca="1" si="70"/>
        <v>0.94249184786947771</v>
      </c>
      <c r="B646">
        <f t="shared" ca="1" si="71"/>
        <v>8</v>
      </c>
      <c r="C646">
        <f ca="1">AVERAGE($B$2:B646)</f>
        <v>2.4186046511627906</v>
      </c>
      <c r="D646">
        <f ca="1">_xlfn.VAR.P($B$2:B646)</f>
        <v>7.3503515413737155</v>
      </c>
      <c r="E646">
        <f t="shared" ca="1" si="72"/>
        <v>0.30219378370313865</v>
      </c>
      <c r="F646">
        <f t="shared" ca="1" si="73"/>
        <v>1</v>
      </c>
      <c r="G646">
        <f t="shared" ca="1" si="74"/>
        <v>7</v>
      </c>
      <c r="H646">
        <f ca="1">AVERAGE($G$2:G646)</f>
        <v>0.2496124031007752</v>
      </c>
      <c r="I646">
        <f ca="1">_xlfn.VAR.P($G$2:G646)</f>
        <v>15.210561865272521</v>
      </c>
      <c r="AE646">
        <f t="shared" si="76"/>
        <v>644</v>
      </c>
      <c r="AF646" s="66">
        <f t="shared" si="75"/>
        <v>1</v>
      </c>
    </row>
    <row r="647" spans="1:32" x14ac:dyDescent="0.3">
      <c r="A647">
        <f t="shared" ca="1" si="70"/>
        <v>0.62823558088231524</v>
      </c>
      <c r="B647">
        <f t="shared" ca="1" si="71"/>
        <v>2</v>
      </c>
      <c r="C647">
        <f ca="1">AVERAGE($B$2:B647)</f>
        <v>2.4179566563467492</v>
      </c>
      <c r="D647">
        <f ca="1">_xlfn.VAR.P($B$2:B647)</f>
        <v>7.3392441219603368</v>
      </c>
      <c r="E647">
        <f t="shared" ca="1" si="72"/>
        <v>0.81770125885425515</v>
      </c>
      <c r="F647">
        <f t="shared" ca="1" si="73"/>
        <v>4</v>
      </c>
      <c r="G647">
        <f t="shared" ca="1" si="74"/>
        <v>-2</v>
      </c>
      <c r="H647">
        <f ca="1">AVERAGE($G$2:G647)</f>
        <v>0.24613003095975233</v>
      </c>
      <c r="I647">
        <f ca="1">_xlfn.VAR.P($G$2:G647)</f>
        <v>15.194837964516099</v>
      </c>
      <c r="AE647">
        <f t="shared" si="76"/>
        <v>645</v>
      </c>
      <c r="AF647" s="66">
        <f t="shared" si="75"/>
        <v>1</v>
      </c>
    </row>
    <row r="648" spans="1:32" x14ac:dyDescent="0.3">
      <c r="A648">
        <f t="shared" ca="1" si="70"/>
        <v>0.66150823730345976</v>
      </c>
      <c r="B648">
        <f t="shared" ca="1" si="71"/>
        <v>3</v>
      </c>
      <c r="C648">
        <f ca="1">AVERAGE($B$2:B648)</f>
        <v>2.418856259659969</v>
      </c>
      <c r="D648">
        <f ca="1">_xlfn.VAR.P($B$2:B648)</f>
        <v>7.3284234213788997</v>
      </c>
      <c r="E648">
        <f t="shared" ca="1" si="72"/>
        <v>0.19057020808512337</v>
      </c>
      <c r="F648">
        <f t="shared" ca="1" si="73"/>
        <v>0</v>
      </c>
      <c r="G648">
        <f t="shared" ca="1" si="74"/>
        <v>3</v>
      </c>
      <c r="H648">
        <f ca="1">AVERAGE($G$2:G648)</f>
        <v>0.25038639876352398</v>
      </c>
      <c r="I648">
        <f ca="1">_xlfn.VAR.P($G$2:G648)</f>
        <v>15.18305626491547</v>
      </c>
      <c r="AE648">
        <f t="shared" si="76"/>
        <v>646</v>
      </c>
      <c r="AF648" s="66">
        <f t="shared" si="75"/>
        <v>1</v>
      </c>
    </row>
    <row r="649" spans="1:32" x14ac:dyDescent="0.3">
      <c r="A649">
        <f t="shared" ca="1" si="70"/>
        <v>0.47632636351192414</v>
      </c>
      <c r="B649">
        <f t="shared" ca="1" si="71"/>
        <v>1</v>
      </c>
      <c r="C649">
        <f ca="1">AVERAGE($B$2:B649)</f>
        <v>2.4166666666666665</v>
      </c>
      <c r="D649">
        <f ca="1">_xlfn.VAR.P($B$2:B649)</f>
        <v>7.320216049382716</v>
      </c>
      <c r="E649">
        <f t="shared" ca="1" si="72"/>
        <v>0.66301143516058625</v>
      </c>
      <c r="F649">
        <f t="shared" ca="1" si="73"/>
        <v>3</v>
      </c>
      <c r="G649">
        <f t="shared" ca="1" si="74"/>
        <v>-2</v>
      </c>
      <c r="H649">
        <f ca="1">AVERAGE($G$2:G649)</f>
        <v>0.24691358024691357</v>
      </c>
      <c r="I649">
        <f ca="1">_xlfn.VAR.P($G$2:G649)</f>
        <v>15.167428745618047</v>
      </c>
      <c r="AE649">
        <f t="shared" si="76"/>
        <v>647</v>
      </c>
      <c r="AF649" s="66">
        <f t="shared" si="75"/>
        <v>1</v>
      </c>
    </row>
    <row r="650" spans="1:32" x14ac:dyDescent="0.3">
      <c r="A650">
        <f t="shared" ca="1" si="70"/>
        <v>0.84580009285597191</v>
      </c>
      <c r="B650">
        <f t="shared" ca="1" si="71"/>
        <v>5</v>
      </c>
      <c r="C650">
        <f ca="1">AVERAGE($B$2:B650)</f>
        <v>2.4206471494607089</v>
      </c>
      <c r="D650">
        <f ca="1">_xlfn.VAR.P($B$2:B650)</f>
        <v>7.3192038955273135</v>
      </c>
      <c r="E650">
        <f t="shared" ca="1" si="72"/>
        <v>0.29647272196199403</v>
      </c>
      <c r="F650">
        <f t="shared" ca="1" si="73"/>
        <v>0</v>
      </c>
      <c r="G650">
        <f t="shared" ca="1" si="74"/>
        <v>5</v>
      </c>
      <c r="H650">
        <f ca="1">AVERAGE($G$2:G650)</f>
        <v>0.25423728813559321</v>
      </c>
      <c r="I650">
        <f ca="1">_xlfn.VAR.P($G$2:G650)</f>
        <v>15.178814865111907</v>
      </c>
      <c r="AE650">
        <f t="shared" si="76"/>
        <v>648</v>
      </c>
      <c r="AF650" s="66">
        <f t="shared" si="75"/>
        <v>1</v>
      </c>
    </row>
    <row r="651" spans="1:32" x14ac:dyDescent="0.3">
      <c r="A651">
        <f t="shared" ca="1" si="70"/>
        <v>0.76818430057784659</v>
      </c>
      <c r="B651">
        <f t="shared" ca="1" si="71"/>
        <v>4</v>
      </c>
      <c r="C651">
        <f ca="1">AVERAGE($B$2:B651)</f>
        <v>2.4230769230769229</v>
      </c>
      <c r="D651">
        <f ca="1">_xlfn.VAR.P($B$2:B651)</f>
        <v>7.3117751479289943</v>
      </c>
      <c r="E651">
        <f t="shared" ca="1" si="72"/>
        <v>0.65250235870821083</v>
      </c>
      <c r="F651">
        <f t="shared" ca="1" si="73"/>
        <v>2</v>
      </c>
      <c r="G651">
        <f t="shared" ca="1" si="74"/>
        <v>2</v>
      </c>
      <c r="H651">
        <f ca="1">AVERAGE($G$2:G651)</f>
        <v>0.25692307692307692</v>
      </c>
      <c r="I651">
        <f ca="1">_xlfn.VAR.P($G$2:G651)</f>
        <v>15.160144378698226</v>
      </c>
      <c r="AE651">
        <f t="shared" si="76"/>
        <v>649</v>
      </c>
      <c r="AF651" s="66">
        <f t="shared" si="75"/>
        <v>1</v>
      </c>
    </row>
    <row r="652" spans="1:32" x14ac:dyDescent="0.3">
      <c r="A652">
        <f t="shared" ca="1" si="70"/>
        <v>0.38448001589895031</v>
      </c>
      <c r="B652">
        <f t="shared" ca="1" si="71"/>
        <v>1</v>
      </c>
      <c r="C652">
        <f ca="1">AVERAGE($B$2:B652)</f>
        <v>2.4208909370199692</v>
      </c>
      <c r="D652">
        <f ca="1">_xlfn.VAR.P($B$2:B652)</f>
        <v>7.3036495902558043</v>
      </c>
      <c r="E652">
        <f t="shared" ca="1" si="72"/>
        <v>0.88418697441454908</v>
      </c>
      <c r="F652">
        <f t="shared" ca="1" si="73"/>
        <v>6</v>
      </c>
      <c r="G652">
        <f t="shared" ca="1" si="74"/>
        <v>-5</v>
      </c>
      <c r="H652">
        <f ca="1">AVERAGE($G$2:G652)</f>
        <v>0.24884792626728111</v>
      </c>
      <c r="I652">
        <f ca="1">_xlfn.VAR.P($G$2:G652)</f>
        <v>15.179242144308295</v>
      </c>
      <c r="AE652">
        <f t="shared" si="76"/>
        <v>650</v>
      </c>
      <c r="AF652" s="66">
        <f t="shared" si="75"/>
        <v>1</v>
      </c>
    </row>
    <row r="653" spans="1:32" x14ac:dyDescent="0.3">
      <c r="A653">
        <f t="shared" ca="1" si="70"/>
        <v>0.15500208033971108</v>
      </c>
      <c r="B653">
        <f t="shared" ca="1" si="71"/>
        <v>0</v>
      </c>
      <c r="C653">
        <f ca="1">AVERAGE($B$2:B653)</f>
        <v>2.4171779141104293</v>
      </c>
      <c r="D653">
        <f ca="1">_xlfn.VAR.P($B$2:B653)</f>
        <v>7.3014227106778575</v>
      </c>
      <c r="E653">
        <f t="shared" ca="1" si="72"/>
        <v>0.98248500750684031</v>
      </c>
      <c r="F653">
        <f t="shared" ca="1" si="73"/>
        <v>11</v>
      </c>
      <c r="G653">
        <f t="shared" ca="1" si="74"/>
        <v>-11</v>
      </c>
      <c r="H653">
        <f ca="1">AVERAGE($G$2:G653)</f>
        <v>0.23159509202453987</v>
      </c>
      <c r="I653">
        <f ca="1">_xlfn.VAR.P($G$2:G653)</f>
        <v>15.34973794647898</v>
      </c>
      <c r="AE653">
        <f t="shared" si="76"/>
        <v>651</v>
      </c>
      <c r="AF653" s="66">
        <f t="shared" si="75"/>
        <v>1</v>
      </c>
    </row>
    <row r="654" spans="1:32" x14ac:dyDescent="0.3">
      <c r="A654">
        <f t="shared" ca="1" si="70"/>
        <v>0.70865755964486887</v>
      </c>
      <c r="B654">
        <f t="shared" ca="1" si="71"/>
        <v>3</v>
      </c>
      <c r="C654">
        <f ca="1">AVERAGE($B$2:B654)</f>
        <v>2.418070444104135</v>
      </c>
      <c r="D654">
        <f ca="1">_xlfn.VAR.P($B$2:B654)</f>
        <v>7.2907607484832635</v>
      </c>
      <c r="E654">
        <f t="shared" ca="1" si="72"/>
        <v>0.92860777599545408</v>
      </c>
      <c r="F654">
        <f t="shared" ca="1" si="73"/>
        <v>7</v>
      </c>
      <c r="G654">
        <f t="shared" ca="1" si="74"/>
        <v>-4</v>
      </c>
      <c r="H654">
        <f ca="1">AVERAGE($G$2:G654)</f>
        <v>0.22511485451761101</v>
      </c>
      <c r="I654">
        <f ca="1">_xlfn.VAR.P($G$2:G654)</f>
        <v>15.353611204266327</v>
      </c>
      <c r="AE654">
        <f t="shared" si="76"/>
        <v>652</v>
      </c>
      <c r="AF654" s="66">
        <f t="shared" si="75"/>
        <v>1</v>
      </c>
    </row>
    <row r="655" spans="1:32" x14ac:dyDescent="0.3">
      <c r="A655">
        <f t="shared" ca="1" si="70"/>
        <v>0.9536277025256068</v>
      </c>
      <c r="B655">
        <f t="shared" ca="1" si="71"/>
        <v>8</v>
      </c>
      <c r="C655">
        <f ca="1">AVERAGE($B$2:B655)</f>
        <v>2.426605504587156</v>
      </c>
      <c r="D655">
        <f ca="1">_xlfn.VAR.P($B$2:B655)</f>
        <v>7.3271820553825435</v>
      </c>
      <c r="E655">
        <f t="shared" ca="1" si="72"/>
        <v>0.18272027589026363</v>
      </c>
      <c r="F655">
        <f t="shared" ca="1" si="73"/>
        <v>0</v>
      </c>
      <c r="G655">
        <f t="shared" ca="1" si="74"/>
        <v>8</v>
      </c>
      <c r="H655">
        <f ca="1">AVERAGE($G$2:G655)</f>
        <v>0.23700305810397554</v>
      </c>
      <c r="I655">
        <f ca="1">_xlfn.VAR.P($G$2:G655)</f>
        <v>15.422422822620618</v>
      </c>
      <c r="AE655">
        <f t="shared" si="76"/>
        <v>653</v>
      </c>
      <c r="AF655" s="66">
        <f t="shared" si="75"/>
        <v>1</v>
      </c>
    </row>
    <row r="656" spans="1:32" x14ac:dyDescent="0.3">
      <c r="A656">
        <f t="shared" ca="1" si="70"/>
        <v>0.38929775474566519</v>
      </c>
      <c r="B656">
        <f t="shared" ca="1" si="71"/>
        <v>1</v>
      </c>
      <c r="C656">
        <f ca="1">AVERAGE($B$2:B656)</f>
        <v>2.4244274809160307</v>
      </c>
      <c r="D656">
        <f ca="1">_xlfn.VAR.P($B$2:B656)</f>
        <v>7.3190979546646462</v>
      </c>
      <c r="E656">
        <f t="shared" ca="1" si="72"/>
        <v>0.8963831334568837</v>
      </c>
      <c r="F656">
        <f t="shared" ca="1" si="73"/>
        <v>6</v>
      </c>
      <c r="G656">
        <f t="shared" ca="1" si="74"/>
        <v>-5</v>
      </c>
      <c r="H656">
        <f ca="1">AVERAGE($G$2:G656)</f>
        <v>0.22900763358778625</v>
      </c>
      <c r="I656">
        <f ca="1">_xlfn.VAR.P($G$2:G656)</f>
        <v>15.440685274750889</v>
      </c>
      <c r="AE656">
        <f t="shared" si="76"/>
        <v>654</v>
      </c>
      <c r="AF656" s="66">
        <f t="shared" si="75"/>
        <v>1</v>
      </c>
    </row>
    <row r="657" spans="1:32" x14ac:dyDescent="0.3">
      <c r="A657">
        <f t="shared" ca="1" si="70"/>
        <v>0.77816617643571395</v>
      </c>
      <c r="B657">
        <f t="shared" ca="1" si="71"/>
        <v>4</v>
      </c>
      <c r="C657">
        <f ca="1">AVERAGE($B$2:B657)</f>
        <v>2.4268292682926829</v>
      </c>
      <c r="D657">
        <f ca="1">_xlfn.VAR.P($B$2:B657)</f>
        <v>7.3117192147531229</v>
      </c>
      <c r="E657">
        <f t="shared" ca="1" si="72"/>
        <v>0.97735224781053087</v>
      </c>
      <c r="F657">
        <f t="shared" ca="1" si="73"/>
        <v>10</v>
      </c>
      <c r="G657">
        <f t="shared" ca="1" si="74"/>
        <v>-6</v>
      </c>
      <c r="H657">
        <f ca="1">AVERAGE($G$2:G657)</f>
        <v>0.21951219512195122</v>
      </c>
      <c r="I657">
        <f ca="1">_xlfn.VAR.P($G$2:G657)</f>
        <v>15.476204640095181</v>
      </c>
      <c r="AE657">
        <f t="shared" si="76"/>
        <v>655</v>
      </c>
      <c r="AF657" s="66">
        <f t="shared" si="75"/>
        <v>1</v>
      </c>
    </row>
    <row r="658" spans="1:32" x14ac:dyDescent="0.3">
      <c r="A658">
        <f t="shared" ca="1" si="70"/>
        <v>9.4982104524834354E-2</v>
      </c>
      <c r="B658">
        <f t="shared" ca="1" si="71"/>
        <v>0</v>
      </c>
      <c r="C658">
        <f ca="1">AVERAGE($B$2:B658)</f>
        <v>2.4231354642313545</v>
      </c>
      <c r="D658">
        <f ca="1">_xlfn.VAR.P($B$2:B658)</f>
        <v>7.3095408537955606</v>
      </c>
      <c r="E658">
        <f t="shared" ca="1" si="72"/>
        <v>0.88372596584161645</v>
      </c>
      <c r="F658">
        <f t="shared" ca="1" si="73"/>
        <v>6</v>
      </c>
      <c r="G658">
        <f t="shared" ca="1" si="74"/>
        <v>-6</v>
      </c>
      <c r="H658">
        <f ca="1">AVERAGE($G$2:G658)</f>
        <v>0.21004566210045661</v>
      </c>
      <c r="I658">
        <f ca="1">_xlfn.VAR.P($G$2:G658)</f>
        <v>15.511436375388337</v>
      </c>
      <c r="AE658">
        <f t="shared" si="76"/>
        <v>656</v>
      </c>
      <c r="AF658" s="66">
        <f t="shared" si="75"/>
        <v>1</v>
      </c>
    </row>
    <row r="659" spans="1:32" x14ac:dyDescent="0.3">
      <c r="A659">
        <f t="shared" ca="1" si="70"/>
        <v>1.4681879634158124E-2</v>
      </c>
      <c r="B659">
        <f t="shared" ca="1" si="71"/>
        <v>0</v>
      </c>
      <c r="C659">
        <f ca="1">AVERAGE($B$2:B659)</f>
        <v>2.4194528875379939</v>
      </c>
      <c r="D659">
        <f ca="1">_xlfn.VAR.P($B$2:B659)</f>
        <v>7.3073419499080758</v>
      </c>
      <c r="E659">
        <f t="shared" ca="1" si="72"/>
        <v>0.85361926936204069</v>
      </c>
      <c r="F659">
        <f t="shared" ca="1" si="73"/>
        <v>5</v>
      </c>
      <c r="G659">
        <f t="shared" ca="1" si="74"/>
        <v>-5</v>
      </c>
      <c r="H659">
        <f ca="1">AVERAGE($G$2:G659)</f>
        <v>0.20212765957446807</v>
      </c>
      <c r="I659">
        <f ca="1">_xlfn.VAR.P($G$2:G659)</f>
        <v>15.529053223824613</v>
      </c>
      <c r="AE659">
        <f t="shared" si="76"/>
        <v>657</v>
      </c>
      <c r="AF659" s="66">
        <f t="shared" si="75"/>
        <v>1</v>
      </c>
    </row>
    <row r="660" spans="1:32" x14ac:dyDescent="0.3">
      <c r="A660">
        <f t="shared" ca="1" si="70"/>
        <v>0.75549967300415355</v>
      </c>
      <c r="B660">
        <f t="shared" ca="1" si="71"/>
        <v>3</v>
      </c>
      <c r="C660">
        <f ca="1">AVERAGE($B$2:B660)</f>
        <v>2.4203338391502278</v>
      </c>
      <c r="D660">
        <f ca="1">_xlfn.VAR.P($B$2:B660)</f>
        <v>7.2967640767153066</v>
      </c>
      <c r="E660">
        <f t="shared" ca="1" si="72"/>
        <v>0.92944088819908244</v>
      </c>
      <c r="F660">
        <f t="shared" ca="1" si="73"/>
        <v>7</v>
      </c>
      <c r="G660">
        <f t="shared" ca="1" si="74"/>
        <v>-4</v>
      </c>
      <c r="H660">
        <f ca="1">AVERAGE($G$2:G660)</f>
        <v>0.19575113808801214</v>
      </c>
      <c r="I660">
        <f ca="1">_xlfn.VAR.P($G$2:G660)</f>
        <v>15.532242948689904</v>
      </c>
      <c r="AE660">
        <f t="shared" si="76"/>
        <v>658</v>
      </c>
      <c r="AF660" s="66">
        <f t="shared" si="75"/>
        <v>1</v>
      </c>
    </row>
    <row r="661" spans="1:32" x14ac:dyDescent="0.3">
      <c r="A661">
        <f t="shared" ca="1" si="70"/>
        <v>0.70458035621775827</v>
      </c>
      <c r="B661">
        <f t="shared" ca="1" si="71"/>
        <v>3</v>
      </c>
      <c r="C661">
        <f ca="1">AVERAGE($B$2:B661)</f>
        <v>2.4212121212121214</v>
      </c>
      <c r="D661">
        <f ca="1">_xlfn.VAR.P($B$2:B661)</f>
        <v>7.286216712580349</v>
      </c>
      <c r="E661">
        <f t="shared" ca="1" si="72"/>
        <v>0.30860614048306445</v>
      </c>
      <c r="F661">
        <f t="shared" ca="1" si="73"/>
        <v>1</v>
      </c>
      <c r="G661">
        <f t="shared" ca="1" si="74"/>
        <v>2</v>
      </c>
      <c r="H661">
        <f ca="1">AVERAGE($G$2:G661)</f>
        <v>0.19848484848484849</v>
      </c>
      <c r="I661">
        <f ca="1">_xlfn.VAR.P($G$2:G661)</f>
        <v>15.51363406795225</v>
      </c>
      <c r="AE661">
        <f t="shared" si="76"/>
        <v>659</v>
      </c>
      <c r="AF661" s="66">
        <f t="shared" si="75"/>
        <v>1</v>
      </c>
    </row>
    <row r="662" spans="1:32" x14ac:dyDescent="0.3">
      <c r="A662">
        <f t="shared" ca="1" si="70"/>
        <v>0.98561964090627097</v>
      </c>
      <c r="B662">
        <f t="shared" ca="1" si="71"/>
        <v>11</v>
      </c>
      <c r="C662">
        <f ca="1">AVERAGE($B$2:B662)</f>
        <v>2.4341906202723145</v>
      </c>
      <c r="D662">
        <f ca="1">_xlfn.VAR.P($B$2:B662)</f>
        <v>7.3863650408197365</v>
      </c>
      <c r="E662">
        <f t="shared" ca="1" si="72"/>
        <v>1.7896224625939094E-2</v>
      </c>
      <c r="F662">
        <f t="shared" ca="1" si="73"/>
        <v>0</v>
      </c>
      <c r="G662">
        <f t="shared" ca="1" si="74"/>
        <v>11</v>
      </c>
      <c r="H662">
        <f ca="1">AVERAGE($G$2:G662)</f>
        <v>0.21482602118003025</v>
      </c>
      <c r="I662">
        <f ca="1">_xlfn.VAR.P($G$2:G662)</f>
        <v>15.66640651284786</v>
      </c>
      <c r="AE662">
        <f t="shared" si="76"/>
        <v>660</v>
      </c>
      <c r="AF662" s="66">
        <f t="shared" si="75"/>
        <v>1</v>
      </c>
    </row>
    <row r="663" spans="1:32" x14ac:dyDescent="0.3">
      <c r="A663">
        <f t="shared" ca="1" si="70"/>
        <v>0.53303679851849606</v>
      </c>
      <c r="B663">
        <f t="shared" ca="1" si="71"/>
        <v>2</v>
      </c>
      <c r="C663">
        <f ca="1">AVERAGE($B$2:B663)</f>
        <v>2.4335347432024168</v>
      </c>
      <c r="D663">
        <f ca="1">_xlfn.VAR.P($B$2:B663)</f>
        <v>7.3754917351977438</v>
      </c>
      <c r="E663">
        <f t="shared" ca="1" si="72"/>
        <v>0.77520450867565993</v>
      </c>
      <c r="F663">
        <f t="shared" ca="1" si="73"/>
        <v>4</v>
      </c>
      <c r="G663">
        <f t="shared" ca="1" si="74"/>
        <v>-2</v>
      </c>
      <c r="H663">
        <f ca="1">AVERAGE($G$2:G663)</f>
        <v>0.21148036253776434</v>
      </c>
      <c r="I663">
        <f ca="1">_xlfn.VAR.P($G$2:G663)</f>
        <v>15.650140104599265</v>
      </c>
      <c r="AE663">
        <f t="shared" si="76"/>
        <v>661</v>
      </c>
      <c r="AF663" s="66">
        <f t="shared" si="75"/>
        <v>1</v>
      </c>
    </row>
    <row r="664" spans="1:32" x14ac:dyDescent="0.3">
      <c r="A664">
        <f t="shared" ca="1" si="70"/>
        <v>7.3827377931661387E-2</v>
      </c>
      <c r="B664">
        <f t="shared" ca="1" si="71"/>
        <v>0</v>
      </c>
      <c r="C664">
        <f ca="1">AVERAGE($B$2:B664)</f>
        <v>2.429864253393665</v>
      </c>
      <c r="D664">
        <f ca="1">_xlfn.VAR.P($B$2:B664)</f>
        <v>7.3732861052530998</v>
      </c>
      <c r="E664">
        <f t="shared" ca="1" si="72"/>
        <v>0.94366728015085644</v>
      </c>
      <c r="F664">
        <f t="shared" ca="1" si="73"/>
        <v>8</v>
      </c>
      <c r="G664">
        <f t="shared" ca="1" si="74"/>
        <v>-8</v>
      </c>
      <c r="H664">
        <f ca="1">AVERAGE($G$2:G664)</f>
        <v>0.19909502262443438</v>
      </c>
      <c r="I664">
        <f ca="1">_xlfn.VAR.P($G$2:G664)</f>
        <v>15.728083645571003</v>
      </c>
      <c r="AE664">
        <f t="shared" si="76"/>
        <v>662</v>
      </c>
      <c r="AF664" s="66">
        <f t="shared" si="75"/>
        <v>1</v>
      </c>
    </row>
    <row r="665" spans="1:32" x14ac:dyDescent="0.3">
      <c r="A665">
        <f t="shared" ca="1" si="70"/>
        <v>0.67120271189998115</v>
      </c>
      <c r="B665">
        <f t="shared" ca="1" si="71"/>
        <v>3</v>
      </c>
      <c r="C665">
        <f ca="1">AVERAGE($B$2:B665)</f>
        <v>2.4307228915662651</v>
      </c>
      <c r="D665">
        <f ca="1">_xlfn.VAR.P($B$2:B665)</f>
        <v>7.3626705617651327</v>
      </c>
      <c r="E665">
        <f t="shared" ca="1" si="72"/>
        <v>0.6399896356630923</v>
      </c>
      <c r="F665">
        <f t="shared" ca="1" si="73"/>
        <v>2</v>
      </c>
      <c r="G665">
        <f t="shared" ca="1" si="74"/>
        <v>1</v>
      </c>
      <c r="H665">
        <f ca="1">AVERAGE($G$2:G665)</f>
        <v>0.2003012048192771</v>
      </c>
      <c r="I665">
        <f ca="1">_xlfn.VAR.P($G$2:G665)</f>
        <v>15.705361355058789</v>
      </c>
      <c r="AE665">
        <f t="shared" si="76"/>
        <v>663</v>
      </c>
      <c r="AF665" s="66">
        <f t="shared" si="75"/>
        <v>1</v>
      </c>
    </row>
    <row r="666" spans="1:32" x14ac:dyDescent="0.3">
      <c r="A666">
        <f t="shared" ca="1" si="70"/>
        <v>0.4755145486999558</v>
      </c>
      <c r="B666">
        <f t="shared" ca="1" si="71"/>
        <v>1</v>
      </c>
      <c r="C666">
        <f ca="1">AVERAGE($B$2:B666)</f>
        <v>2.4285714285714284</v>
      </c>
      <c r="D666">
        <f ca="1">_xlfn.VAR.P($B$2:B666)</f>
        <v>7.3546723952738988</v>
      </c>
      <c r="E666">
        <f t="shared" ca="1" si="72"/>
        <v>0.34098209274482938</v>
      </c>
      <c r="F666">
        <f t="shared" ca="1" si="73"/>
        <v>1</v>
      </c>
      <c r="G666">
        <f t="shared" ca="1" si="74"/>
        <v>0</v>
      </c>
      <c r="H666">
        <f ca="1">AVERAGE($G$2:G666)</f>
        <v>0.2</v>
      </c>
      <c r="I666">
        <f ca="1">_xlfn.VAR.P($G$2:G666)</f>
        <v>15.681804511278196</v>
      </c>
      <c r="AE666">
        <f t="shared" si="76"/>
        <v>664</v>
      </c>
      <c r="AF666" s="66">
        <f t="shared" si="75"/>
        <v>1</v>
      </c>
    </row>
    <row r="667" spans="1:32" x14ac:dyDescent="0.3">
      <c r="A667">
        <f t="shared" ca="1" si="70"/>
        <v>0.9033771085796658</v>
      </c>
      <c r="B667">
        <f t="shared" ca="1" si="71"/>
        <v>6</v>
      </c>
      <c r="C667">
        <f ca="1">AVERAGE($B$2:B667)</f>
        <v>2.4339339339339339</v>
      </c>
      <c r="D667">
        <f ca="1">_xlfn.VAR.P($B$2:B667)</f>
        <v>7.3627523920316715</v>
      </c>
      <c r="E667">
        <f t="shared" ca="1" si="72"/>
        <v>2.0766432947159408E-2</v>
      </c>
      <c r="F667">
        <f t="shared" ca="1" si="73"/>
        <v>0</v>
      </c>
      <c r="G667">
        <f t="shared" ca="1" si="74"/>
        <v>6</v>
      </c>
      <c r="H667">
        <f ca="1">AVERAGE($G$2:G667)</f>
        <v>0.2087087087087087</v>
      </c>
      <c r="I667">
        <f ca="1">_xlfn.VAR.P($G$2:G667)</f>
        <v>15.708692927161396</v>
      </c>
      <c r="AE667">
        <f t="shared" si="76"/>
        <v>665</v>
      </c>
      <c r="AF667" s="66">
        <f t="shared" si="75"/>
        <v>1</v>
      </c>
    </row>
    <row r="668" spans="1:32" x14ac:dyDescent="0.3">
      <c r="A668">
        <f t="shared" ca="1" si="70"/>
        <v>0.70602376440265935</v>
      </c>
      <c r="B668">
        <f t="shared" ca="1" si="71"/>
        <v>3</v>
      </c>
      <c r="C668">
        <f ca="1">AVERAGE($B$2:B668)</f>
        <v>2.4347826086956523</v>
      </c>
      <c r="D668">
        <f ca="1">_xlfn.VAR.P($B$2:B668)</f>
        <v>7.3521934684831498</v>
      </c>
      <c r="E668">
        <f t="shared" ca="1" si="72"/>
        <v>0.36475824325717876</v>
      </c>
      <c r="F668">
        <f t="shared" ca="1" si="73"/>
        <v>1</v>
      </c>
      <c r="G668">
        <f t="shared" ca="1" si="74"/>
        <v>2</v>
      </c>
      <c r="H668">
        <f ca="1">AVERAGE($G$2:G668)</f>
        <v>0.21139430284857572</v>
      </c>
      <c r="I668">
        <f ca="1">_xlfn.VAR.P($G$2:G668)</f>
        <v>15.689945132381336</v>
      </c>
      <c r="AE668">
        <f t="shared" si="76"/>
        <v>666</v>
      </c>
      <c r="AF668" s="66">
        <f t="shared" si="75"/>
        <v>1</v>
      </c>
    </row>
    <row r="669" spans="1:32" x14ac:dyDescent="0.3">
      <c r="A669">
        <f t="shared" ca="1" si="70"/>
        <v>0.83632718399899442</v>
      </c>
      <c r="B669">
        <f t="shared" ca="1" si="71"/>
        <v>5</v>
      </c>
      <c r="C669">
        <f ca="1">AVERAGE($B$2:B669)</f>
        <v>2.4386227544910182</v>
      </c>
      <c r="D669">
        <f ca="1">_xlfn.VAR.P($B$2:B669)</f>
        <v>7.3510232528954065</v>
      </c>
      <c r="E669">
        <f t="shared" ca="1" si="72"/>
        <v>0.79037732636066815</v>
      </c>
      <c r="F669">
        <f t="shared" ca="1" si="73"/>
        <v>4</v>
      </c>
      <c r="G669">
        <f t="shared" ca="1" si="74"/>
        <v>1</v>
      </c>
      <c r="H669">
        <f ca="1">AVERAGE($G$2:G669)</f>
        <v>0.21257485029940121</v>
      </c>
      <c r="I669">
        <f ca="1">_xlfn.VAR.P($G$2:G669)</f>
        <v>15.667386783319589</v>
      </c>
      <c r="AE669">
        <f t="shared" si="76"/>
        <v>667</v>
      </c>
      <c r="AF669" s="66">
        <f t="shared" si="75"/>
        <v>1</v>
      </c>
    </row>
    <row r="670" spans="1:32" x14ac:dyDescent="0.3">
      <c r="A670">
        <f t="shared" ca="1" si="70"/>
        <v>0.11380182818270024</v>
      </c>
      <c r="B670">
        <f t="shared" ca="1" si="71"/>
        <v>0</v>
      </c>
      <c r="C670">
        <f ca="1">AVERAGE($B$2:B670)</f>
        <v>2.4349775784753365</v>
      </c>
      <c r="D670">
        <f ca="1">_xlfn.VAR.P($B$2:B670)</f>
        <v>7.3489110981519836</v>
      </c>
      <c r="E670">
        <f t="shared" ca="1" si="72"/>
        <v>0.93034498879928706</v>
      </c>
      <c r="F670">
        <f t="shared" ca="1" si="73"/>
        <v>7</v>
      </c>
      <c r="G670">
        <f t="shared" ca="1" si="74"/>
        <v>-7</v>
      </c>
      <c r="H670">
        <f ca="1">AVERAGE($G$2:G670)</f>
        <v>0.20179372197309417</v>
      </c>
      <c r="I670">
        <f ca="1">_xlfn.VAR.P($G$2:G670)</f>
        <v>15.721611132337268</v>
      </c>
      <c r="AE670">
        <f t="shared" si="76"/>
        <v>668</v>
      </c>
      <c r="AF670" s="66">
        <f t="shared" si="75"/>
        <v>1</v>
      </c>
    </row>
    <row r="671" spans="1:32" x14ac:dyDescent="0.3">
      <c r="A671">
        <f t="shared" ca="1" si="70"/>
        <v>0.55525543385458587</v>
      </c>
      <c r="B671">
        <f t="shared" ca="1" si="71"/>
        <v>2</v>
      </c>
      <c r="C671">
        <f ca="1">AVERAGE($B$2:B671)</f>
        <v>2.4343283582089552</v>
      </c>
      <c r="D671">
        <f ca="1">_xlfn.VAR.P($B$2:B671)</f>
        <v>7.3382245488973048</v>
      </c>
      <c r="E671">
        <f t="shared" ca="1" si="72"/>
        <v>0.38832025816764726</v>
      </c>
      <c r="F671">
        <f t="shared" ca="1" si="73"/>
        <v>1</v>
      </c>
      <c r="G671">
        <f t="shared" ca="1" si="74"/>
        <v>1</v>
      </c>
      <c r="H671">
        <f ca="1">AVERAGE($G$2:G671)</f>
        <v>0.20298507462686566</v>
      </c>
      <c r="I671">
        <f ca="1">_xlfn.VAR.P($G$2:G671)</f>
        <v>15.699095566941413</v>
      </c>
      <c r="AE671">
        <f t="shared" si="76"/>
        <v>669</v>
      </c>
      <c r="AF671" s="66">
        <f t="shared" si="75"/>
        <v>1</v>
      </c>
    </row>
    <row r="672" spans="1:32" x14ac:dyDescent="0.3">
      <c r="A672">
        <f t="shared" ca="1" si="70"/>
        <v>0.57114091787475729</v>
      </c>
      <c r="B672">
        <f t="shared" ca="1" si="71"/>
        <v>2</v>
      </c>
      <c r="C672">
        <f ca="1">AVERAGE($B$2:B672)</f>
        <v>2.4336810730253355</v>
      </c>
      <c r="D672">
        <f ca="1">_xlfn.VAR.P($B$2:B672)</f>
        <v>7.3275690130396836</v>
      </c>
      <c r="E672">
        <f t="shared" ca="1" si="72"/>
        <v>0.79982854568508932</v>
      </c>
      <c r="F672">
        <f t="shared" ca="1" si="73"/>
        <v>4</v>
      </c>
      <c r="G672">
        <f t="shared" ca="1" si="74"/>
        <v>-2</v>
      </c>
      <c r="H672">
        <f ca="1">AVERAGE($G$2:G672)</f>
        <v>0.19970193740685543</v>
      </c>
      <c r="I672">
        <f ca="1">_xlfn.VAR.P($G$2:G672)</f>
        <v>15.682920924571507</v>
      </c>
      <c r="AE672">
        <f t="shared" si="76"/>
        <v>670</v>
      </c>
      <c r="AF672" s="66">
        <f t="shared" si="75"/>
        <v>1</v>
      </c>
    </row>
    <row r="673" spans="1:32" x14ac:dyDescent="0.3">
      <c r="A673">
        <f t="shared" ca="1" si="70"/>
        <v>0.8163461045498619</v>
      </c>
      <c r="B673">
        <f t="shared" ca="1" si="71"/>
        <v>4</v>
      </c>
      <c r="C673">
        <f ca="1">AVERAGE($B$2:B673)</f>
        <v>2.4360119047619047</v>
      </c>
      <c r="D673">
        <f ca="1">_xlfn.VAR.P($B$2:B673)</f>
        <v>7.3203102855725621</v>
      </c>
      <c r="E673">
        <f t="shared" ca="1" si="72"/>
        <v>0.90004175108506823</v>
      </c>
      <c r="F673">
        <f t="shared" ca="1" si="73"/>
        <v>6</v>
      </c>
      <c r="G673">
        <f t="shared" ca="1" si="74"/>
        <v>-2</v>
      </c>
      <c r="H673">
        <f ca="1">AVERAGE($G$2:G673)</f>
        <v>0.19642857142857142</v>
      </c>
      <c r="I673">
        <f ca="1">_xlfn.VAR.P($G$2:G673)</f>
        <v>15.666772959183673</v>
      </c>
      <c r="AE673">
        <f t="shared" si="76"/>
        <v>671</v>
      </c>
      <c r="AF673" s="66">
        <f t="shared" si="75"/>
        <v>1</v>
      </c>
    </row>
    <row r="674" spans="1:32" x14ac:dyDescent="0.3">
      <c r="A674">
        <f t="shared" ca="1" si="70"/>
        <v>0.21734964456122163</v>
      </c>
      <c r="B674">
        <f t="shared" ca="1" si="71"/>
        <v>0</v>
      </c>
      <c r="C674">
        <f ca="1">AVERAGE($B$2:B674)</f>
        <v>2.4323922734026744</v>
      </c>
      <c r="D674">
        <f ca="1">_xlfn.VAR.P($B$2:B674)</f>
        <v>7.3182375162553068</v>
      </c>
      <c r="E674">
        <f t="shared" ca="1" si="72"/>
        <v>0.49219427158548901</v>
      </c>
      <c r="F674">
        <f t="shared" ca="1" si="73"/>
        <v>1</v>
      </c>
      <c r="G674">
        <f t="shared" ca="1" si="74"/>
        <v>-1</v>
      </c>
      <c r="H674">
        <f ca="1">AVERAGE($G$2:G674)</f>
        <v>0.19465081723625557</v>
      </c>
      <c r="I674">
        <f ca="1">_xlfn.VAR.P($G$2:G674)</f>
        <v>15.645617745827712</v>
      </c>
      <c r="AE674">
        <f t="shared" si="76"/>
        <v>672</v>
      </c>
      <c r="AF674" s="66">
        <f t="shared" si="75"/>
        <v>1</v>
      </c>
    </row>
    <row r="675" spans="1:32" x14ac:dyDescent="0.3">
      <c r="A675">
        <f t="shared" ca="1" si="70"/>
        <v>0.325098119317762</v>
      </c>
      <c r="B675">
        <f t="shared" ca="1" si="71"/>
        <v>1</v>
      </c>
      <c r="C675">
        <f ca="1">AVERAGE($B$2:B675)</f>
        <v>2.4302670623145399</v>
      </c>
      <c r="D675">
        <f ca="1">_xlfn.VAR.P($B$2:B675)</f>
        <v>7.3104192165115478</v>
      </c>
      <c r="E675">
        <f t="shared" ca="1" si="72"/>
        <v>0.51237343331435492</v>
      </c>
      <c r="F675">
        <f t="shared" ca="1" si="73"/>
        <v>2</v>
      </c>
      <c r="G675">
        <f t="shared" ca="1" si="74"/>
        <v>-1</v>
      </c>
      <c r="H675">
        <f ca="1">AVERAGE($G$2:G675)</f>
        <v>0.19287833827893175</v>
      </c>
      <c r="I675">
        <f ca="1">_xlfn.VAR.P($G$2:G675)</f>
        <v>15.624519014872016</v>
      </c>
      <c r="AE675">
        <f t="shared" si="76"/>
        <v>673</v>
      </c>
      <c r="AF675" s="66">
        <f t="shared" si="75"/>
        <v>1</v>
      </c>
    </row>
    <row r="676" spans="1:32" x14ac:dyDescent="0.3">
      <c r="A676">
        <f t="shared" ca="1" si="70"/>
        <v>4.9360209057558002E-2</v>
      </c>
      <c r="B676">
        <f t="shared" ca="1" si="71"/>
        <v>0</v>
      </c>
      <c r="C676">
        <f ca="1">AVERAGE($B$2:B676)</f>
        <v>2.4266666666666667</v>
      </c>
      <c r="D676">
        <f ca="1">_xlfn.VAR.P($B$2:B676)</f>
        <v>7.3083259259259261</v>
      </c>
      <c r="E676">
        <f t="shared" ca="1" si="72"/>
        <v>0.6972327659547608</v>
      </c>
      <c r="F676">
        <f t="shared" ca="1" si="73"/>
        <v>3</v>
      </c>
      <c r="G676">
        <f t="shared" ca="1" si="74"/>
        <v>-3</v>
      </c>
      <c r="H676">
        <f ca="1">AVERAGE($G$2:G676)</f>
        <v>0.18814814814814815</v>
      </c>
      <c r="I676">
        <f ca="1">_xlfn.VAR.P($G$2:G676)</f>
        <v>15.616452126200274</v>
      </c>
      <c r="AE676">
        <f t="shared" si="76"/>
        <v>674</v>
      </c>
      <c r="AF676" s="66">
        <f t="shared" si="75"/>
        <v>1</v>
      </c>
    </row>
    <row r="677" spans="1:32" x14ac:dyDescent="0.3">
      <c r="A677">
        <f t="shared" ca="1" si="70"/>
        <v>0.26244387413665582</v>
      </c>
      <c r="B677">
        <f t="shared" ca="1" si="71"/>
        <v>0</v>
      </c>
      <c r="C677">
        <f ca="1">AVERAGE($B$2:B677)</f>
        <v>2.4230769230769229</v>
      </c>
      <c r="D677">
        <f ca="1">_xlfn.VAR.P($B$2:B677)</f>
        <v>7.306213017751479</v>
      </c>
      <c r="E677">
        <f t="shared" ca="1" si="72"/>
        <v>0.39516029702622957</v>
      </c>
      <c r="F677">
        <f t="shared" ca="1" si="73"/>
        <v>1</v>
      </c>
      <c r="G677">
        <f t="shared" ca="1" si="74"/>
        <v>-1</v>
      </c>
      <c r="H677">
        <f ca="1">AVERAGE($G$2:G677)</f>
        <v>0.18639053254437871</v>
      </c>
      <c r="I677">
        <f ca="1">_xlfn.VAR.P($G$2:G677)</f>
        <v>15.595436084170723</v>
      </c>
      <c r="AE677">
        <f t="shared" si="76"/>
        <v>675</v>
      </c>
      <c r="AF677" s="66">
        <f t="shared" si="75"/>
        <v>1</v>
      </c>
    </row>
    <row r="678" spans="1:32" x14ac:dyDescent="0.3">
      <c r="A678">
        <f t="shared" ca="1" si="70"/>
        <v>0.48863637772242752</v>
      </c>
      <c r="B678">
        <f t="shared" ca="1" si="71"/>
        <v>1</v>
      </c>
      <c r="C678">
        <f ca="1">AVERAGE($B$2:B678)</f>
        <v>2.4209748892171343</v>
      </c>
      <c r="D678">
        <f ca="1">_xlfn.VAR.P($B$2:B678)</f>
        <v>7.2984079122202612</v>
      </c>
      <c r="E678">
        <f t="shared" ca="1" si="72"/>
        <v>0.49545547722395511</v>
      </c>
      <c r="F678">
        <f t="shared" ca="1" si="73"/>
        <v>1</v>
      </c>
      <c r="G678">
        <f t="shared" ca="1" si="74"/>
        <v>0</v>
      </c>
      <c r="H678">
        <f ca="1">AVERAGE($G$2:G678)</f>
        <v>0.18611521418020679</v>
      </c>
      <c r="I678">
        <f ca="1">_xlfn.VAR.P($G$2:G678)</f>
        <v>15.572451230447998</v>
      </c>
      <c r="AE678">
        <f t="shared" si="76"/>
        <v>676</v>
      </c>
      <c r="AF678" s="66">
        <f t="shared" si="75"/>
        <v>1</v>
      </c>
    </row>
    <row r="679" spans="1:32" x14ac:dyDescent="0.3">
      <c r="A679">
        <f t="shared" ca="1" si="70"/>
        <v>0.55298294017391059</v>
      </c>
      <c r="B679">
        <f t="shared" ca="1" si="71"/>
        <v>2</v>
      </c>
      <c r="C679">
        <f ca="1">AVERAGE($B$2:B679)</f>
        <v>2.4203539823008851</v>
      </c>
      <c r="D679">
        <f ca="1">_xlfn.VAR.P($B$2:B679)</f>
        <v>7.2879042994752918</v>
      </c>
      <c r="E679">
        <f t="shared" ca="1" si="72"/>
        <v>0.8404492069438696</v>
      </c>
      <c r="F679">
        <f t="shared" ca="1" si="73"/>
        <v>5</v>
      </c>
      <c r="G679">
        <f t="shared" ca="1" si="74"/>
        <v>-3</v>
      </c>
      <c r="H679">
        <f ca="1">AVERAGE($G$2:G679)</f>
        <v>0.18141592920353983</v>
      </c>
      <c r="I679">
        <f ca="1">_xlfn.VAR.P($G$2:G679)</f>
        <v>15.564433393374578</v>
      </c>
      <c r="AE679">
        <f t="shared" si="76"/>
        <v>677</v>
      </c>
      <c r="AF679" s="66">
        <f t="shared" si="75"/>
        <v>1</v>
      </c>
    </row>
    <row r="680" spans="1:32" x14ac:dyDescent="0.3">
      <c r="A680">
        <f t="shared" ca="1" si="70"/>
        <v>0.96999846925492839</v>
      </c>
      <c r="B680">
        <f t="shared" ca="1" si="71"/>
        <v>9</v>
      </c>
      <c r="C680">
        <f ca="1">AVERAGE($B$2:B680)</f>
        <v>2.430044182621502</v>
      </c>
      <c r="D680">
        <f ca="1">_xlfn.VAR.P($B$2:B680)</f>
        <v>7.3408351968696923</v>
      </c>
      <c r="E680">
        <f t="shared" ca="1" si="72"/>
        <v>0.79739302211132945</v>
      </c>
      <c r="F680">
        <f t="shared" ca="1" si="73"/>
        <v>4</v>
      </c>
      <c r="G680">
        <f t="shared" ca="1" si="74"/>
        <v>5</v>
      </c>
      <c r="H680">
        <f ca="1">AVERAGE($G$2:G680)</f>
        <v>0.18851251840942562</v>
      </c>
      <c r="I680">
        <f ca="1">_xlfn.VAR.P($G$2:G680)</f>
        <v>15.575655961183495</v>
      </c>
      <c r="AE680">
        <f t="shared" si="76"/>
        <v>678</v>
      </c>
      <c r="AF680" s="66">
        <f t="shared" si="75"/>
        <v>1</v>
      </c>
    </row>
    <row r="681" spans="1:32" x14ac:dyDescent="0.3">
      <c r="A681">
        <f t="shared" ca="1" si="70"/>
        <v>0.73877598532249245</v>
      </c>
      <c r="B681">
        <f t="shared" ca="1" si="71"/>
        <v>3</v>
      </c>
      <c r="C681">
        <f ca="1">AVERAGE($B$2:B681)</f>
        <v>2.4308823529411763</v>
      </c>
      <c r="D681">
        <f ca="1">_xlfn.VAR.P($B$2:B681)</f>
        <v>7.3305168685121105</v>
      </c>
      <c r="E681">
        <f t="shared" ca="1" si="72"/>
        <v>1.3180384250170318E-2</v>
      </c>
      <c r="F681">
        <f t="shared" ca="1" si="73"/>
        <v>0</v>
      </c>
      <c r="G681">
        <f t="shared" ca="1" si="74"/>
        <v>3</v>
      </c>
      <c r="H681">
        <f ca="1">AVERAGE($G$2:G681)</f>
        <v>0.19264705882352942</v>
      </c>
      <c r="I681">
        <f ca="1">_xlfn.VAR.P($G$2:G681)</f>
        <v>15.564357698961938</v>
      </c>
      <c r="AE681">
        <f t="shared" si="76"/>
        <v>679</v>
      </c>
      <c r="AF681" s="66">
        <f t="shared" si="75"/>
        <v>1</v>
      </c>
    </row>
    <row r="682" spans="1:32" x14ac:dyDescent="0.3">
      <c r="A682">
        <f t="shared" ca="1" si="70"/>
        <v>0.81152531920665072</v>
      </c>
      <c r="B682">
        <f t="shared" ca="1" si="71"/>
        <v>4</v>
      </c>
      <c r="C682">
        <f ca="1">AVERAGE($B$2:B682)</f>
        <v>2.433186490455213</v>
      </c>
      <c r="D682">
        <f ca="1">_xlfn.VAR.P($B$2:B682)</f>
        <v>7.3233626803461265</v>
      </c>
      <c r="E682">
        <f t="shared" ca="1" si="72"/>
        <v>0.48148204924825788</v>
      </c>
      <c r="F682">
        <f t="shared" ca="1" si="73"/>
        <v>1</v>
      </c>
      <c r="G682">
        <f t="shared" ca="1" si="74"/>
        <v>3</v>
      </c>
      <c r="H682">
        <f ca="1">AVERAGE($G$2:G682)</f>
        <v>0.19676945668135096</v>
      </c>
      <c r="I682">
        <f ca="1">_xlfn.VAR.P($G$2:G682)</f>
        <v>15.553058579742583</v>
      </c>
      <c r="AE682">
        <f t="shared" si="76"/>
        <v>680</v>
      </c>
      <c r="AF682" s="66">
        <f t="shared" si="75"/>
        <v>1</v>
      </c>
    </row>
    <row r="683" spans="1:32" x14ac:dyDescent="0.3">
      <c r="A683">
        <f t="shared" ca="1" si="70"/>
        <v>0.47120083210021135</v>
      </c>
      <c r="B683">
        <f t="shared" ca="1" si="71"/>
        <v>1</v>
      </c>
      <c r="C683">
        <f ca="1">AVERAGE($B$2:B683)</f>
        <v>2.4310850439882699</v>
      </c>
      <c r="D683">
        <f ca="1">_xlfn.VAR.P($B$2:B683)</f>
        <v>7.3156319605094557</v>
      </c>
      <c r="E683">
        <f t="shared" ca="1" si="72"/>
        <v>0.47969173941377685</v>
      </c>
      <c r="F683">
        <f t="shared" ca="1" si="73"/>
        <v>1</v>
      </c>
      <c r="G683">
        <f t="shared" ca="1" si="74"/>
        <v>0</v>
      </c>
      <c r="H683">
        <f ca="1">AVERAGE($G$2:G683)</f>
        <v>0.19648093841642228</v>
      </c>
      <c r="I683">
        <f ca="1">_xlfn.VAR.P($G$2:G683)</f>
        <v>15.530310196850733</v>
      </c>
      <c r="AE683">
        <f t="shared" si="76"/>
        <v>681</v>
      </c>
      <c r="AF683" s="66">
        <f t="shared" si="75"/>
        <v>1</v>
      </c>
    </row>
    <row r="684" spans="1:32" x14ac:dyDescent="0.3">
      <c r="A684">
        <f t="shared" ca="1" si="70"/>
        <v>4.1725788035419709E-2</v>
      </c>
      <c r="B684">
        <f t="shared" ca="1" si="71"/>
        <v>0</v>
      </c>
      <c r="C684">
        <f ca="1">AVERAGE($B$2:B684)</f>
        <v>2.4275256222547585</v>
      </c>
      <c r="D684">
        <f ca="1">_xlfn.VAR.P($B$2:B684)</f>
        <v>7.3135615202073359</v>
      </c>
      <c r="E684">
        <f t="shared" ca="1" si="72"/>
        <v>8.7763926471907339E-2</v>
      </c>
      <c r="F684">
        <f t="shared" ca="1" si="73"/>
        <v>0</v>
      </c>
      <c r="G684">
        <f t="shared" ca="1" si="74"/>
        <v>0</v>
      </c>
      <c r="H684">
        <f ca="1">AVERAGE($G$2:G684)</f>
        <v>0.19619326500732065</v>
      </c>
      <c r="I684">
        <f ca="1">_xlfn.VAR.P($G$2:G684)</f>
        <v>15.507628261330922</v>
      </c>
      <c r="AE684">
        <f t="shared" si="76"/>
        <v>682</v>
      </c>
      <c r="AF684" s="66">
        <f t="shared" si="75"/>
        <v>1</v>
      </c>
    </row>
    <row r="685" spans="1:32" x14ac:dyDescent="0.3">
      <c r="A685">
        <f t="shared" ca="1" si="70"/>
        <v>0.15378860239123993</v>
      </c>
      <c r="B685">
        <f t="shared" ca="1" si="71"/>
        <v>0</v>
      </c>
      <c r="C685">
        <f ca="1">AVERAGE($B$2:B685)</f>
        <v>2.4239766081871346</v>
      </c>
      <c r="D685">
        <f ca="1">_xlfn.VAR.P($B$2:B685)</f>
        <v>7.3114719058855719</v>
      </c>
      <c r="E685">
        <f t="shared" ca="1" si="72"/>
        <v>0.24510431161848689</v>
      </c>
      <c r="F685">
        <f t="shared" ca="1" si="73"/>
        <v>0</v>
      </c>
      <c r="G685">
        <f t="shared" ca="1" si="74"/>
        <v>0</v>
      </c>
      <c r="H685">
        <f ca="1">AVERAGE($G$2:G685)</f>
        <v>0.195906432748538</v>
      </c>
      <c r="I685">
        <f ca="1">_xlfn.VAR.P($G$2:G685)</f>
        <v>15.485012482473239</v>
      </c>
      <c r="AE685">
        <f t="shared" si="76"/>
        <v>683</v>
      </c>
      <c r="AF685" s="66">
        <f t="shared" si="75"/>
        <v>1</v>
      </c>
    </row>
    <row r="686" spans="1:32" x14ac:dyDescent="0.3">
      <c r="A686">
        <f t="shared" ca="1" si="70"/>
        <v>0.85946708521312953</v>
      </c>
      <c r="B686">
        <f t="shared" ca="1" si="71"/>
        <v>5</v>
      </c>
      <c r="C686">
        <f ca="1">AVERAGE($B$2:B686)</f>
        <v>2.4277372262773724</v>
      </c>
      <c r="D686">
        <f ca="1">_xlfn.VAR.P($B$2:B686)</f>
        <v>7.3104715221908467</v>
      </c>
      <c r="E686">
        <f t="shared" ca="1" si="72"/>
        <v>0.91570892988087527</v>
      </c>
      <c r="F686">
        <f t="shared" ca="1" si="73"/>
        <v>6</v>
      </c>
      <c r="G686">
        <f t="shared" ca="1" si="74"/>
        <v>-1</v>
      </c>
      <c r="H686">
        <f ca="1">AVERAGE($G$2:G686)</f>
        <v>0.19416058394160585</v>
      </c>
      <c r="I686">
        <f ca="1">_xlfn.VAR.P($G$2:G686)</f>
        <v>15.464491448665353</v>
      </c>
      <c r="AE686">
        <f t="shared" si="76"/>
        <v>684</v>
      </c>
      <c r="AF686" s="66">
        <f t="shared" si="75"/>
        <v>1</v>
      </c>
    </row>
    <row r="687" spans="1:32" x14ac:dyDescent="0.3">
      <c r="A687">
        <f t="shared" ca="1" si="70"/>
        <v>0.38823921845703235</v>
      </c>
      <c r="B687">
        <f t="shared" ca="1" si="71"/>
        <v>1</v>
      </c>
      <c r="C687">
        <f ca="1">AVERAGE($B$2:B687)</f>
        <v>2.425655976676385</v>
      </c>
      <c r="D687">
        <f ca="1">_xlfn.VAR.P($B$2:B687)</f>
        <v>7.3027820040969322</v>
      </c>
      <c r="E687">
        <f t="shared" ca="1" si="72"/>
        <v>0.85699521250665733</v>
      </c>
      <c r="F687">
        <f t="shared" ca="1" si="73"/>
        <v>5</v>
      </c>
      <c r="G687">
        <f t="shared" ca="1" si="74"/>
        <v>-4</v>
      </c>
      <c r="H687">
        <f ca="1">AVERAGE($G$2:G687)</f>
        <v>0.18804664723032069</v>
      </c>
      <c r="I687">
        <f ca="1">_xlfn.VAR.P($G$2:G687)</f>
        <v>15.467553910360479</v>
      </c>
      <c r="AE687">
        <f t="shared" si="76"/>
        <v>685</v>
      </c>
      <c r="AF687" s="66">
        <f t="shared" si="75"/>
        <v>1</v>
      </c>
    </row>
    <row r="688" spans="1:32" x14ac:dyDescent="0.3">
      <c r="A688">
        <f t="shared" ca="1" si="70"/>
        <v>0.33115280665461067</v>
      </c>
      <c r="B688">
        <f t="shared" ca="1" si="71"/>
        <v>1</v>
      </c>
      <c r="C688">
        <f ca="1">AVERAGE($B$2:B688)</f>
        <v>2.4235807860262009</v>
      </c>
      <c r="D688">
        <f ca="1">_xlfn.VAR.P($B$2:B688)</f>
        <v>7.295106246384826</v>
      </c>
      <c r="E688">
        <f t="shared" ca="1" si="72"/>
        <v>0.33305865360688414</v>
      </c>
      <c r="F688">
        <f t="shared" ca="1" si="73"/>
        <v>1</v>
      </c>
      <c r="G688">
        <f t="shared" ca="1" si="74"/>
        <v>0</v>
      </c>
      <c r="H688">
        <f ca="1">AVERAGE($G$2:G688)</f>
        <v>0.18777292576419213</v>
      </c>
      <c r="I688">
        <f ca="1">_xlfn.VAR.P($G$2:G688)</f>
        <v>15.445090673328121</v>
      </c>
      <c r="AE688">
        <f t="shared" si="76"/>
        <v>686</v>
      </c>
      <c r="AF688" s="66">
        <f t="shared" si="75"/>
        <v>1</v>
      </c>
    </row>
    <row r="689" spans="1:32" x14ac:dyDescent="0.3">
      <c r="A689">
        <f t="shared" ca="1" si="70"/>
        <v>5.5210793856871776E-2</v>
      </c>
      <c r="B689">
        <f t="shared" ca="1" si="71"/>
        <v>0</v>
      </c>
      <c r="C689">
        <f ca="1">AVERAGE($B$2:B689)</f>
        <v>2.4200581395348837</v>
      </c>
      <c r="D689">
        <f ca="1">_xlfn.VAR.P($B$2:B689)</f>
        <v>7.2930279035965384</v>
      </c>
      <c r="E689">
        <f t="shared" ca="1" si="72"/>
        <v>0.35318632646902837</v>
      </c>
      <c r="F689">
        <f t="shared" ca="1" si="73"/>
        <v>1</v>
      </c>
      <c r="G689">
        <f t="shared" ca="1" si="74"/>
        <v>-1</v>
      </c>
      <c r="H689">
        <f ca="1">AVERAGE($G$2:G689)</f>
        <v>0.18604651162790697</v>
      </c>
      <c r="I689">
        <f ca="1">_xlfn.VAR.P($G$2:G689)</f>
        <v>15.424689021092483</v>
      </c>
      <c r="AE689">
        <f t="shared" si="76"/>
        <v>687</v>
      </c>
      <c r="AF689" s="66">
        <f t="shared" si="75"/>
        <v>1</v>
      </c>
    </row>
    <row r="690" spans="1:32" x14ac:dyDescent="0.3">
      <c r="A690">
        <f t="shared" ca="1" si="70"/>
        <v>8.1438604773872658E-2</v>
      </c>
      <c r="B690">
        <f t="shared" ca="1" si="71"/>
        <v>0</v>
      </c>
      <c r="C690">
        <f ca="1">AVERAGE($B$2:B690)</f>
        <v>2.416545718432511</v>
      </c>
      <c r="D690">
        <f ca="1">_xlfn.VAR.P($B$2:B690)</f>
        <v>7.2909308836137434</v>
      </c>
      <c r="E690">
        <f t="shared" ca="1" si="72"/>
        <v>0.96645836251025163</v>
      </c>
      <c r="F690">
        <f t="shared" ca="1" si="73"/>
        <v>9</v>
      </c>
      <c r="G690">
        <f t="shared" ca="1" si="74"/>
        <v>-9</v>
      </c>
      <c r="H690">
        <f ca="1">AVERAGE($G$2:G690)</f>
        <v>0.17271407837445574</v>
      </c>
      <c r="I690">
        <f ca="1">_xlfn.VAR.P($G$2:G690)</f>
        <v>15.524596552501364</v>
      </c>
      <c r="AE690">
        <f t="shared" si="76"/>
        <v>688</v>
      </c>
      <c r="AF690" s="66">
        <f t="shared" si="75"/>
        <v>1</v>
      </c>
    </row>
    <row r="691" spans="1:32" x14ac:dyDescent="0.3">
      <c r="A691">
        <f t="shared" ca="1" si="70"/>
        <v>0.89583693110082085</v>
      </c>
      <c r="B691">
        <f t="shared" ca="1" si="71"/>
        <v>6</v>
      </c>
      <c r="C691">
        <f ca="1">AVERAGE($B$2:B691)</f>
        <v>2.4217391304347826</v>
      </c>
      <c r="D691">
        <f ca="1">_xlfn.VAR.P($B$2:B691)</f>
        <v>7.2989477000630121</v>
      </c>
      <c r="E691">
        <f t="shared" ca="1" si="72"/>
        <v>0.44638561551858091</v>
      </c>
      <c r="F691">
        <f t="shared" ca="1" si="73"/>
        <v>1</v>
      </c>
      <c r="G691">
        <f t="shared" ca="1" si="74"/>
        <v>5</v>
      </c>
      <c r="H691">
        <f ca="1">AVERAGE($G$2:G691)</f>
        <v>0.17971014492753623</v>
      </c>
      <c r="I691">
        <f ca="1">_xlfn.VAR.P($G$2:G691)</f>
        <v>15.535820205839109</v>
      </c>
      <c r="AE691">
        <f t="shared" si="76"/>
        <v>689</v>
      </c>
      <c r="AF691" s="66">
        <f t="shared" si="75"/>
        <v>1</v>
      </c>
    </row>
    <row r="692" spans="1:32" x14ac:dyDescent="0.3">
      <c r="A692">
        <f t="shared" ca="1" si="70"/>
        <v>0.97293573957003909</v>
      </c>
      <c r="B692">
        <f t="shared" ca="1" si="71"/>
        <v>10</v>
      </c>
      <c r="C692">
        <f ca="1">AVERAGE($B$2:B692)</f>
        <v>2.4327062228654124</v>
      </c>
      <c r="D692">
        <f ca="1">_xlfn.VAR.P($B$2:B692)</f>
        <v>7.371376033810769</v>
      </c>
      <c r="E692">
        <f t="shared" ca="1" si="72"/>
        <v>0.81101568945495561</v>
      </c>
      <c r="F692">
        <f t="shared" ca="1" si="73"/>
        <v>4</v>
      </c>
      <c r="G692">
        <f t="shared" ca="1" si="74"/>
        <v>6</v>
      </c>
      <c r="H692">
        <f ca="1">AVERAGE($G$2:G692)</f>
        <v>0.18813314037626627</v>
      </c>
      <c r="I692">
        <f ca="1">_xlfn.VAR.P($G$2:G692)</f>
        <v>15.562290436687533</v>
      </c>
      <c r="AE692">
        <f t="shared" si="76"/>
        <v>690</v>
      </c>
      <c r="AF692" s="66">
        <f t="shared" si="75"/>
        <v>1</v>
      </c>
    </row>
    <row r="693" spans="1:32" x14ac:dyDescent="0.3">
      <c r="A693">
        <f t="shared" ca="1" si="70"/>
        <v>8.7152602147028357E-2</v>
      </c>
      <c r="B693">
        <f t="shared" ca="1" si="71"/>
        <v>0</v>
      </c>
      <c r="C693">
        <f ca="1">AVERAGE($B$2:B693)</f>
        <v>2.4291907514450868</v>
      </c>
      <c r="D693">
        <f ca="1">_xlfn.VAR.P($B$2:B693)</f>
        <v>7.3692635069664876</v>
      </c>
      <c r="E693">
        <f t="shared" ca="1" si="72"/>
        <v>0.91986155092224586</v>
      </c>
      <c r="F693">
        <f t="shared" ca="1" si="73"/>
        <v>7</v>
      </c>
      <c r="G693">
        <f t="shared" ca="1" si="74"/>
        <v>-7</v>
      </c>
      <c r="H693">
        <f ca="1">AVERAGE($G$2:G693)</f>
        <v>0.1777456647398844</v>
      </c>
      <c r="I693">
        <f ca="1">_xlfn.VAR.P($G$2:G693)</f>
        <v>15.61436023589161</v>
      </c>
      <c r="AE693">
        <f t="shared" si="76"/>
        <v>691</v>
      </c>
      <c r="AF693" s="66">
        <f t="shared" si="75"/>
        <v>1</v>
      </c>
    </row>
    <row r="694" spans="1:32" x14ac:dyDescent="0.3">
      <c r="A694">
        <f t="shared" ca="1" si="70"/>
        <v>0.90862863958268225</v>
      </c>
      <c r="B694">
        <f t="shared" ca="1" si="71"/>
        <v>6</v>
      </c>
      <c r="C694">
        <f ca="1">AVERAGE($B$2:B694)</f>
        <v>2.4343434343434343</v>
      </c>
      <c r="D694">
        <f ca="1">_xlfn.VAR.P($B$2:B694)</f>
        <v>7.3770023466993164</v>
      </c>
      <c r="E694">
        <f t="shared" ca="1" si="72"/>
        <v>0.45358998179460341</v>
      </c>
      <c r="F694">
        <f t="shared" ca="1" si="73"/>
        <v>1</v>
      </c>
      <c r="G694">
        <f t="shared" ca="1" si="74"/>
        <v>5</v>
      </c>
      <c r="H694">
        <f ca="1">AVERAGE($G$2:G694)</f>
        <v>0.1847041847041847</v>
      </c>
      <c r="I694">
        <f ca="1">_xlfn.VAR.P($G$2:G694)</f>
        <v>15.625336023604422</v>
      </c>
      <c r="AE694">
        <f t="shared" si="76"/>
        <v>692</v>
      </c>
      <c r="AF694" s="66">
        <f t="shared" si="75"/>
        <v>1</v>
      </c>
    </row>
    <row r="695" spans="1:32" x14ac:dyDescent="0.3">
      <c r="A695">
        <f t="shared" ca="1" si="70"/>
        <v>0.97964759024753512</v>
      </c>
      <c r="B695">
        <f t="shared" ca="1" si="71"/>
        <v>10</v>
      </c>
      <c r="C695">
        <f ca="1">AVERAGE($B$2:B695)</f>
        <v>2.4452449567723344</v>
      </c>
      <c r="D695">
        <f ca="1">_xlfn.VAR.P($B$2:B695)</f>
        <v>7.4487309918693789</v>
      </c>
      <c r="E695">
        <f t="shared" ca="1" si="72"/>
        <v>0.86334071893401865</v>
      </c>
      <c r="F695">
        <f t="shared" ca="1" si="73"/>
        <v>5</v>
      </c>
      <c r="G695">
        <f t="shared" ca="1" si="74"/>
        <v>5</v>
      </c>
      <c r="H695">
        <f ca="1">AVERAGE($G$2:G695)</f>
        <v>0.19164265129682997</v>
      </c>
      <c r="I695">
        <f ca="1">_xlfn.VAR.P($G$2:G695)</f>
        <v>15.63618375702813</v>
      </c>
      <c r="AE695">
        <f t="shared" si="76"/>
        <v>693</v>
      </c>
      <c r="AF695" s="66">
        <f t="shared" si="75"/>
        <v>1</v>
      </c>
    </row>
    <row r="696" spans="1:32" x14ac:dyDescent="0.3">
      <c r="A696">
        <f t="shared" ca="1" si="70"/>
        <v>0.57575391887999916</v>
      </c>
      <c r="B696">
        <f t="shared" ca="1" si="71"/>
        <v>2</v>
      </c>
      <c r="C696">
        <f ca="1">AVERAGE($B$2:B696)</f>
        <v>2.4446043165467626</v>
      </c>
      <c r="D696">
        <f ca="1">_xlfn.VAR.P($B$2:B696)</f>
        <v>7.4382982247295688</v>
      </c>
      <c r="E696">
        <f t="shared" ca="1" si="72"/>
        <v>0.79567279573713523</v>
      </c>
      <c r="F696">
        <f t="shared" ca="1" si="73"/>
        <v>4</v>
      </c>
      <c r="G696">
        <f t="shared" ca="1" si="74"/>
        <v>-2</v>
      </c>
      <c r="H696">
        <f ca="1">AVERAGE($G$2:G696)</f>
        <v>0.18848920863309351</v>
      </c>
      <c r="I696">
        <f ca="1">_xlfn.VAR.P($G$2:G696)</f>
        <v>15.62058692614254</v>
      </c>
      <c r="AE696">
        <f t="shared" si="76"/>
        <v>694</v>
      </c>
      <c r="AF696" s="66">
        <f t="shared" si="75"/>
        <v>1</v>
      </c>
    </row>
    <row r="697" spans="1:32" x14ac:dyDescent="0.3">
      <c r="A697">
        <f t="shared" ca="1" si="70"/>
        <v>0.18981379253345732</v>
      </c>
      <c r="B697">
        <f t="shared" ca="1" si="71"/>
        <v>0</v>
      </c>
      <c r="C697">
        <f ca="1">AVERAGE($B$2:B697)</f>
        <v>2.4410919540229883</v>
      </c>
      <c r="D697">
        <f ca="1">_xlfn.VAR.P($B$2:B697)</f>
        <v>7.4361850145329633</v>
      </c>
      <c r="E697">
        <f t="shared" ca="1" si="72"/>
        <v>0.2730782666509165</v>
      </c>
      <c r="F697">
        <f t="shared" ca="1" si="73"/>
        <v>0</v>
      </c>
      <c r="G697">
        <f t="shared" ca="1" si="74"/>
        <v>0</v>
      </c>
      <c r="H697">
        <f ca="1">AVERAGE($G$2:G697)</f>
        <v>0.18821839080459771</v>
      </c>
      <c r="I697">
        <f ca="1">_xlfn.VAR.P($G$2:G697)</f>
        <v>15.5981945270181</v>
      </c>
      <c r="AE697">
        <f t="shared" si="76"/>
        <v>695</v>
      </c>
      <c r="AF697" s="66">
        <f t="shared" si="75"/>
        <v>1</v>
      </c>
    </row>
    <row r="698" spans="1:32" x14ac:dyDescent="0.3">
      <c r="A698">
        <f t="shared" ca="1" si="70"/>
        <v>0.89582644472233319</v>
      </c>
      <c r="B698">
        <f t="shared" ca="1" si="71"/>
        <v>6</v>
      </c>
      <c r="C698">
        <f ca="1">AVERAGE($B$2:B698)</f>
        <v>2.4461979913916787</v>
      </c>
      <c r="D698">
        <f ca="1">_xlfn.VAR.P($B$2:B698)</f>
        <v>7.4436620153187771</v>
      </c>
      <c r="E698">
        <f t="shared" ca="1" si="72"/>
        <v>0.79376784307752168</v>
      </c>
      <c r="F698">
        <f t="shared" ca="1" si="73"/>
        <v>4</v>
      </c>
      <c r="G698">
        <f t="shared" ca="1" si="74"/>
        <v>2</v>
      </c>
      <c r="H698">
        <f ca="1">AVERAGE($G$2:G698)</f>
        <v>0.19081779053084649</v>
      </c>
      <c r="I698">
        <f ca="1">_xlfn.VAR.P($G$2:G698)</f>
        <v>15.580518269525678</v>
      </c>
      <c r="AE698">
        <f t="shared" si="76"/>
        <v>696</v>
      </c>
      <c r="AF698" s="66">
        <f t="shared" si="75"/>
        <v>1</v>
      </c>
    </row>
    <row r="699" spans="1:32" x14ac:dyDescent="0.3">
      <c r="A699">
        <f t="shared" ca="1" si="70"/>
        <v>2.7580814814855747E-2</v>
      </c>
      <c r="B699">
        <f t="shared" ca="1" si="71"/>
        <v>0</v>
      </c>
      <c r="C699">
        <f ca="1">AVERAGE($B$2:B699)</f>
        <v>2.4426934097421205</v>
      </c>
      <c r="D699">
        <f ca="1">_xlfn.VAR.P($B$2:B699)</f>
        <v>7.4415583615898067</v>
      </c>
      <c r="E699">
        <f t="shared" ca="1" si="72"/>
        <v>0.47814298910145014</v>
      </c>
      <c r="F699">
        <f t="shared" ca="1" si="73"/>
        <v>1</v>
      </c>
      <c r="G699">
        <f t="shared" ca="1" si="74"/>
        <v>-1</v>
      </c>
      <c r="H699">
        <f ca="1">AVERAGE($G$2:G699)</f>
        <v>0.18911174785100288</v>
      </c>
      <c r="I699">
        <f ca="1">_xlfn.VAR.P($G$2:G699)</f>
        <v>15.560225285506688</v>
      </c>
      <c r="AE699">
        <f t="shared" si="76"/>
        <v>697</v>
      </c>
      <c r="AF699" s="66">
        <f t="shared" si="75"/>
        <v>1</v>
      </c>
    </row>
    <row r="700" spans="1:32" x14ac:dyDescent="0.3">
      <c r="A700">
        <f t="shared" ca="1" si="70"/>
        <v>0.85394991560840228</v>
      </c>
      <c r="B700">
        <f t="shared" ca="1" si="71"/>
        <v>5</v>
      </c>
      <c r="C700">
        <f ca="1">AVERAGE($B$2:B700)</f>
        <v>2.4463519313304722</v>
      </c>
      <c r="D700">
        <f ca="1">_xlfn.VAR.P($B$2:B700)</f>
        <v>7.4402549319383304</v>
      </c>
      <c r="E700">
        <f t="shared" ca="1" si="72"/>
        <v>0.14119544595119038</v>
      </c>
      <c r="F700">
        <f t="shared" ca="1" si="73"/>
        <v>0</v>
      </c>
      <c r="G700">
        <f t="shared" ca="1" si="74"/>
        <v>5</v>
      </c>
      <c r="H700">
        <f ca="1">AVERAGE($G$2:G700)</f>
        <v>0.19599427753934193</v>
      </c>
      <c r="I700">
        <f ca="1">_xlfn.VAR.P($G$2:G700)</f>
        <v>15.571028303257668</v>
      </c>
      <c r="AE700">
        <f t="shared" si="76"/>
        <v>698</v>
      </c>
      <c r="AF700" s="66">
        <f t="shared" si="75"/>
        <v>1</v>
      </c>
    </row>
    <row r="701" spans="1:32" x14ac:dyDescent="0.3">
      <c r="A701">
        <f t="shared" ca="1" si="70"/>
        <v>1.7557568746230379E-2</v>
      </c>
      <c r="B701">
        <f t="shared" ca="1" si="71"/>
        <v>0</v>
      </c>
      <c r="C701">
        <f ca="1">AVERAGE($B$2:B701)</f>
        <v>2.4428571428571431</v>
      </c>
      <c r="D701">
        <f ca="1">_xlfn.VAR.P($B$2:B701)</f>
        <v>7.4381632653061223</v>
      </c>
      <c r="E701">
        <f t="shared" ca="1" si="72"/>
        <v>0.44349055968025941</v>
      </c>
      <c r="F701">
        <f t="shared" ca="1" si="73"/>
        <v>1</v>
      </c>
      <c r="G701">
        <f t="shared" ca="1" si="74"/>
        <v>-1</v>
      </c>
      <c r="H701">
        <f ca="1">AVERAGE($G$2:G701)</f>
        <v>0.19428571428571428</v>
      </c>
      <c r="I701">
        <f ca="1">_xlfn.VAR.P($G$2:G701)</f>
        <v>15.550824489795918</v>
      </c>
      <c r="AE701">
        <f t="shared" si="76"/>
        <v>699</v>
      </c>
      <c r="AF701" s="66">
        <f t="shared" si="75"/>
        <v>1</v>
      </c>
    </row>
    <row r="702" spans="1:32" x14ac:dyDescent="0.3">
      <c r="A702">
        <f t="shared" ca="1" si="70"/>
        <v>0.42674698964128888</v>
      </c>
      <c r="B702">
        <f t="shared" ca="1" si="71"/>
        <v>1</v>
      </c>
      <c r="C702">
        <f ca="1">AVERAGE($B$2:B702)</f>
        <v>2.440798858773181</v>
      </c>
      <c r="D702">
        <f ca="1">_xlfn.VAR.P($B$2:B702)</f>
        <v>7.430518049413819</v>
      </c>
      <c r="E702">
        <f t="shared" ca="1" si="72"/>
        <v>0.57581767317615007</v>
      </c>
      <c r="F702">
        <f t="shared" ca="1" si="73"/>
        <v>2</v>
      </c>
      <c r="G702">
        <f t="shared" ca="1" si="74"/>
        <v>-1</v>
      </c>
      <c r="H702">
        <f ca="1">AVERAGE($G$2:G702)</f>
        <v>0.19258202567760344</v>
      </c>
      <c r="I702">
        <f ca="1">_xlfn.VAR.P($G$2:G702)</f>
        <v>15.530672505753957</v>
      </c>
      <c r="AE702">
        <f t="shared" si="76"/>
        <v>700</v>
      </c>
      <c r="AF702" s="66">
        <f t="shared" si="75"/>
        <v>1</v>
      </c>
    </row>
    <row r="703" spans="1:32" x14ac:dyDescent="0.3">
      <c r="A703">
        <f t="shared" ca="1" si="70"/>
        <v>0.81133617165779703</v>
      </c>
      <c r="B703">
        <f t="shared" ca="1" si="71"/>
        <v>4</v>
      </c>
      <c r="C703">
        <f ca="1">AVERAGE($B$2:B703)</f>
        <v>2.4430199430199431</v>
      </c>
      <c r="D703">
        <f ca="1">_xlfn.VAR.P($B$2:B703)</f>
        <v>7.4233914497447264</v>
      </c>
      <c r="E703">
        <f t="shared" ca="1" si="72"/>
        <v>0.28430670523178536</v>
      </c>
      <c r="F703">
        <f t="shared" ca="1" si="73"/>
        <v>0</v>
      </c>
      <c r="G703">
        <f t="shared" ca="1" si="74"/>
        <v>4</v>
      </c>
      <c r="H703">
        <f ca="1">AVERAGE($G$2:G703)</f>
        <v>0.19800569800569801</v>
      </c>
      <c r="I703">
        <f ca="1">_xlfn.VAR.P($G$2:G703)</f>
        <v>15.529169811933345</v>
      </c>
      <c r="AE703">
        <f t="shared" si="76"/>
        <v>701</v>
      </c>
      <c r="AF703" s="66">
        <f t="shared" si="75"/>
        <v>1</v>
      </c>
    </row>
    <row r="704" spans="1:32" x14ac:dyDescent="0.3">
      <c r="A704">
        <f t="shared" ca="1" si="70"/>
        <v>0.5412785040160748</v>
      </c>
      <c r="B704">
        <f t="shared" ca="1" si="71"/>
        <v>2</v>
      </c>
      <c r="C704">
        <f ca="1">AVERAGE($B$2:B704)</f>
        <v>2.4423897581792318</v>
      </c>
      <c r="D704">
        <f ca="1">_xlfn.VAR.P($B$2:B704)</f>
        <v>7.4131106475195718</v>
      </c>
      <c r="E704">
        <f t="shared" ca="1" si="72"/>
        <v>0.81102491206029437</v>
      </c>
      <c r="F704">
        <f t="shared" ca="1" si="73"/>
        <v>4</v>
      </c>
      <c r="G704">
        <f t="shared" ca="1" si="74"/>
        <v>-2</v>
      </c>
      <c r="H704">
        <f ca="1">AVERAGE($G$2:G704)</f>
        <v>0.19487908961593173</v>
      </c>
      <c r="I704">
        <f ca="1">_xlfn.VAR.P($G$2:G704)</f>
        <v>15.513942481824492</v>
      </c>
      <c r="AE704">
        <f t="shared" si="76"/>
        <v>702</v>
      </c>
      <c r="AF704" s="66">
        <f t="shared" si="75"/>
        <v>1</v>
      </c>
    </row>
    <row r="705" spans="1:32" x14ac:dyDescent="0.3">
      <c r="A705">
        <f t="shared" ca="1" si="70"/>
        <v>0.19411658129022014</v>
      </c>
      <c r="B705">
        <f t="shared" ca="1" si="71"/>
        <v>0</v>
      </c>
      <c r="C705">
        <f ca="1">AVERAGE($B$2:B705)</f>
        <v>2.4389204545454546</v>
      </c>
      <c r="D705">
        <f ca="1">_xlfn.VAR.P($B$2:B705)</f>
        <v>7.4110420163997937</v>
      </c>
      <c r="E705">
        <f t="shared" ca="1" si="72"/>
        <v>0.69183005637118689</v>
      </c>
      <c r="F705">
        <f t="shared" ca="1" si="73"/>
        <v>3</v>
      </c>
      <c r="G705">
        <f t="shared" ca="1" si="74"/>
        <v>-3</v>
      </c>
      <c r="H705">
        <f ca="1">AVERAGE($G$2:G705)</f>
        <v>0.19034090909090909</v>
      </c>
      <c r="I705">
        <f ca="1">_xlfn.VAR.P($G$2:G705)</f>
        <v>15.506383974690083</v>
      </c>
      <c r="AE705">
        <f t="shared" si="76"/>
        <v>703</v>
      </c>
      <c r="AF705" s="66">
        <f t="shared" si="75"/>
        <v>1</v>
      </c>
    </row>
    <row r="706" spans="1:32" x14ac:dyDescent="0.3">
      <c r="A706">
        <f t="shared" ca="1" si="70"/>
        <v>0.88699207087735854</v>
      </c>
      <c r="B706">
        <f t="shared" ca="1" si="71"/>
        <v>6</v>
      </c>
      <c r="C706">
        <f ca="1">AVERAGE($B$2:B706)</f>
        <v>2.4439716312056738</v>
      </c>
      <c r="D706">
        <f ca="1">_xlfn.VAR.P($B$2:B706)</f>
        <v>7.4184920275640058</v>
      </c>
      <c r="E706">
        <f t="shared" ca="1" si="72"/>
        <v>0.58790562695703208</v>
      </c>
      <c r="F706">
        <f t="shared" ca="1" si="73"/>
        <v>2</v>
      </c>
      <c r="G706">
        <f t="shared" ca="1" si="74"/>
        <v>4</v>
      </c>
      <c r="H706">
        <f ca="1">AVERAGE($G$2:G706)</f>
        <v>0.19574468085106383</v>
      </c>
      <c r="I706">
        <f ca="1">_xlfn.VAR.P($G$2:G706)</f>
        <v>15.504946431266033</v>
      </c>
      <c r="AE706">
        <f t="shared" si="76"/>
        <v>704</v>
      </c>
      <c r="AF706" s="66">
        <f t="shared" si="75"/>
        <v>1</v>
      </c>
    </row>
    <row r="707" spans="1:32" x14ac:dyDescent="0.3">
      <c r="A707">
        <f t="shared" ref="A707:A770" ca="1" si="77">RAND()</f>
        <v>0.84725585236329093</v>
      </c>
      <c r="B707">
        <f t="shared" ref="B707:B770" ca="1" si="78">LOOKUP(A707,$AF$2:$AF$1002,$AE$2:$AE$1002)</f>
        <v>5</v>
      </c>
      <c r="C707">
        <f ca="1">AVERAGE($B$2:B707)</f>
        <v>2.4475920679886687</v>
      </c>
      <c r="D707">
        <f ca="1">_xlfn.VAR.P($B$2:B707)</f>
        <v>7.4172250800503976</v>
      </c>
      <c r="E707">
        <f t="shared" ref="E707:E770" ca="1" si="79">RAND()</f>
        <v>0.45195312317573355</v>
      </c>
      <c r="F707">
        <f t="shared" ref="F707:F770" ca="1" si="80">LOOKUP(E707,$AF$2:$AF$1002,$AE$2:$AE$1002)</f>
        <v>1</v>
      </c>
      <c r="G707">
        <f t="shared" ref="G707:G770" ca="1" si="81">B707-F707</f>
        <v>4</v>
      </c>
      <c r="H707">
        <f ca="1">AVERAGE($G$2:G707)</f>
        <v>0.20113314447592068</v>
      </c>
      <c r="I707">
        <f ca="1">_xlfn.VAR.P($G$2:G707)</f>
        <v>15.503454806635155</v>
      </c>
      <c r="AE707">
        <f t="shared" si="76"/>
        <v>705</v>
      </c>
      <c r="AF707" s="66">
        <f t="shared" ref="AF707:AF770" si="82">_xlfn.NEGBINOM.DIST(AE707-1,1,$K$1,TRUE)</f>
        <v>1</v>
      </c>
    </row>
    <row r="708" spans="1:32" x14ac:dyDescent="0.3">
      <c r="A708">
        <f t="shared" ca="1" si="77"/>
        <v>0.18165814061867946</v>
      </c>
      <c r="B708">
        <f t="shared" ca="1" si="78"/>
        <v>0</v>
      </c>
      <c r="C708">
        <f ca="1">AVERAGE($B$2:B708)</f>
        <v>2.4441301272984441</v>
      </c>
      <c r="D708">
        <f ca="1">_xlfn.VAR.P($B$2:B708)</f>
        <v>7.4151953890074802</v>
      </c>
      <c r="E708">
        <f t="shared" ca="1" si="79"/>
        <v>2.0133229397074737E-2</v>
      </c>
      <c r="F708">
        <f t="shared" ca="1" si="80"/>
        <v>0</v>
      </c>
      <c r="G708">
        <f t="shared" ca="1" si="81"/>
        <v>0</v>
      </c>
      <c r="H708">
        <f ca="1">AVERAGE($G$2:G708)</f>
        <v>0.20084865629420084</v>
      </c>
      <c r="I708">
        <f ca="1">_xlfn.VAR.P($G$2:G708)</f>
        <v>15.481583438198335</v>
      </c>
      <c r="AE708">
        <f t="shared" si="76"/>
        <v>706</v>
      </c>
      <c r="AF708" s="66">
        <f t="shared" si="82"/>
        <v>1</v>
      </c>
    </row>
    <row r="709" spans="1:32" x14ac:dyDescent="0.3">
      <c r="A709">
        <f t="shared" ca="1" si="77"/>
        <v>0.30082942238933275</v>
      </c>
      <c r="B709">
        <f t="shared" ca="1" si="78"/>
        <v>1</v>
      </c>
      <c r="C709">
        <f ca="1">AVERAGE($B$2:B709)</f>
        <v>2.4420903954802258</v>
      </c>
      <c r="D709">
        <f ca="1">_xlfn.VAR.P($B$2:B709)</f>
        <v>7.4076634268569057</v>
      </c>
      <c r="E709">
        <f t="shared" ca="1" si="79"/>
        <v>0.49796828198417808</v>
      </c>
      <c r="F709">
        <f t="shared" ca="1" si="80"/>
        <v>1</v>
      </c>
      <c r="G709">
        <f t="shared" ca="1" si="81"/>
        <v>0</v>
      </c>
      <c r="H709">
        <f ca="1">AVERAGE($G$2:G709)</f>
        <v>0.20056497175141244</v>
      </c>
      <c r="I709">
        <f ca="1">_xlfn.VAR.P($G$2:G709)</f>
        <v>15.459773692106355</v>
      </c>
      <c r="AE709">
        <f t="shared" ref="AE709:AE772" si="83">AE708+1</f>
        <v>707</v>
      </c>
      <c r="AF709" s="66">
        <f t="shared" si="82"/>
        <v>1</v>
      </c>
    </row>
    <row r="710" spans="1:32" x14ac:dyDescent="0.3">
      <c r="A710">
        <f t="shared" ca="1" si="77"/>
        <v>0.99434353481904514</v>
      </c>
      <c r="B710">
        <f t="shared" ca="1" si="78"/>
        <v>14</v>
      </c>
      <c r="C710">
        <f ca="1">AVERAGE($B$2:B710)</f>
        <v>2.4583921015514809</v>
      </c>
      <c r="D710">
        <f ca="1">_xlfn.VAR.P($B$2:B710)</f>
        <v>7.5853632820814791</v>
      </c>
      <c r="E710">
        <f t="shared" ca="1" si="79"/>
        <v>0.66341549942070765</v>
      </c>
      <c r="F710">
        <f t="shared" ca="1" si="80"/>
        <v>3</v>
      </c>
      <c r="G710">
        <f t="shared" ca="1" si="81"/>
        <v>11</v>
      </c>
      <c r="H710">
        <f ca="1">AVERAGE($G$2:G710)</f>
        <v>0.2157968970380818</v>
      </c>
      <c r="I710">
        <f ca="1">_xlfn.VAR.P($G$2:G710)</f>
        <v>15.602232827578524</v>
      </c>
      <c r="AE710">
        <f t="shared" si="83"/>
        <v>708</v>
      </c>
      <c r="AF710" s="66">
        <f t="shared" si="82"/>
        <v>1</v>
      </c>
    </row>
    <row r="711" spans="1:32" x14ac:dyDescent="0.3">
      <c r="A711">
        <f t="shared" ca="1" si="77"/>
        <v>0.65708987162773236</v>
      </c>
      <c r="B711">
        <f t="shared" ca="1" si="78"/>
        <v>3</v>
      </c>
      <c r="C711">
        <f ca="1">AVERAGE($B$2:B711)</f>
        <v>2.4591549295774646</v>
      </c>
      <c r="D711">
        <f ca="1">_xlfn.VAR.P($B$2:B711)</f>
        <v>7.5750922436024597</v>
      </c>
      <c r="E711">
        <f t="shared" ca="1" si="79"/>
        <v>0.35277850341244077</v>
      </c>
      <c r="F711">
        <f t="shared" ca="1" si="80"/>
        <v>1</v>
      </c>
      <c r="G711">
        <f t="shared" ca="1" si="81"/>
        <v>2</v>
      </c>
      <c r="H711">
        <f ca="1">AVERAGE($G$2:G711)</f>
        <v>0.21830985915492956</v>
      </c>
      <c r="I711">
        <f ca="1">_xlfn.VAR.P($G$2:G711)</f>
        <v>15.584735171592937</v>
      </c>
      <c r="AE711">
        <f t="shared" si="83"/>
        <v>709</v>
      </c>
      <c r="AF711" s="66">
        <f t="shared" si="82"/>
        <v>1</v>
      </c>
    </row>
    <row r="712" spans="1:32" x14ac:dyDescent="0.3">
      <c r="A712">
        <f t="shared" ca="1" si="77"/>
        <v>0.52462820995880222</v>
      </c>
      <c r="B712">
        <f t="shared" ca="1" si="78"/>
        <v>2</v>
      </c>
      <c r="C712">
        <f ca="1">AVERAGE($B$2:B712)</f>
        <v>2.4585091420534457</v>
      </c>
      <c r="D712">
        <f ca="1">_xlfn.VAR.P($B$2:B712)</f>
        <v>7.5647342049093904</v>
      </c>
      <c r="E712">
        <f t="shared" ca="1" si="79"/>
        <v>0.30691076887822988</v>
      </c>
      <c r="F712">
        <f t="shared" ca="1" si="80"/>
        <v>1</v>
      </c>
      <c r="G712">
        <f t="shared" ca="1" si="81"/>
        <v>1</v>
      </c>
      <c r="H712">
        <f ca="1">AVERAGE($G$2:G712)</f>
        <v>0.21940928270042195</v>
      </c>
      <c r="I712">
        <f ca="1">_xlfn.VAR.P($G$2:G712)</f>
        <v>15.563673912656448</v>
      </c>
      <c r="AE712">
        <f t="shared" si="83"/>
        <v>710</v>
      </c>
      <c r="AF712" s="66">
        <f t="shared" si="82"/>
        <v>1</v>
      </c>
    </row>
    <row r="713" spans="1:32" x14ac:dyDescent="0.3">
      <c r="A713">
        <f t="shared" ca="1" si="77"/>
        <v>0.17151288583056246</v>
      </c>
      <c r="B713">
        <f t="shared" ca="1" si="78"/>
        <v>0</v>
      </c>
      <c r="C713">
        <f ca="1">AVERAGE($B$2:B713)</f>
        <v>2.4550561797752808</v>
      </c>
      <c r="D713">
        <f ca="1">_xlfn.VAR.P($B$2:B713)</f>
        <v>7.5625867945966414</v>
      </c>
      <c r="E713">
        <f t="shared" ca="1" si="79"/>
        <v>0.70416311859931502</v>
      </c>
      <c r="F713">
        <f t="shared" ca="1" si="80"/>
        <v>3</v>
      </c>
      <c r="G713">
        <f t="shared" ca="1" si="81"/>
        <v>-3</v>
      </c>
      <c r="H713">
        <f ca="1">AVERAGE($G$2:G713)</f>
        <v>0.2148876404494382</v>
      </c>
      <c r="I713">
        <f ca="1">_xlfn.VAR.P($G$2:G713)</f>
        <v>15.556351391869713</v>
      </c>
      <c r="AE713">
        <f t="shared" si="83"/>
        <v>711</v>
      </c>
      <c r="AF713" s="66">
        <f t="shared" si="82"/>
        <v>1</v>
      </c>
    </row>
    <row r="714" spans="1:32" x14ac:dyDescent="0.3">
      <c r="A714">
        <f t="shared" ca="1" si="77"/>
        <v>0.51147903317882726</v>
      </c>
      <c r="B714">
        <f t="shared" ca="1" si="78"/>
        <v>2</v>
      </c>
      <c r="C714">
        <f ca="1">AVERAGE($B$2:B714)</f>
        <v>2.4544179523141656</v>
      </c>
      <c r="D714">
        <f ca="1">_xlfn.VAR.P($B$2:B714)</f>
        <v>7.5522701030157231</v>
      </c>
      <c r="E714">
        <f t="shared" ca="1" si="79"/>
        <v>0.96953173502160606</v>
      </c>
      <c r="F714">
        <f t="shared" ca="1" si="80"/>
        <v>9</v>
      </c>
      <c r="G714">
        <f t="shared" ca="1" si="81"/>
        <v>-7</v>
      </c>
      <c r="H714">
        <f ca="1">AVERAGE($G$2:G714)</f>
        <v>0.20476858345021037</v>
      </c>
      <c r="I714">
        <f ca="1">_xlfn.VAR.P($G$2:G714)</f>
        <v>15.607438691186914</v>
      </c>
      <c r="AE714">
        <f t="shared" si="83"/>
        <v>712</v>
      </c>
      <c r="AF714" s="66">
        <f t="shared" si="82"/>
        <v>1</v>
      </c>
    </row>
    <row r="715" spans="1:32" x14ac:dyDescent="0.3">
      <c r="A715">
        <f t="shared" ca="1" si="77"/>
        <v>0.32374761736270297</v>
      </c>
      <c r="B715">
        <f t="shared" ca="1" si="78"/>
        <v>1</v>
      </c>
      <c r="C715">
        <f ca="1">AVERAGE($B$2:B715)</f>
        <v>2.4523809523809526</v>
      </c>
      <c r="D715">
        <f ca="1">_xlfn.VAR.P($B$2:B715)</f>
        <v>7.544651193810858</v>
      </c>
      <c r="E715">
        <f t="shared" ca="1" si="79"/>
        <v>0.85760853895925793</v>
      </c>
      <c r="F715">
        <f t="shared" ca="1" si="80"/>
        <v>5</v>
      </c>
      <c r="G715">
        <f t="shared" ca="1" si="81"/>
        <v>-4</v>
      </c>
      <c r="H715">
        <f ca="1">AVERAGE($G$2:G715)</f>
        <v>0.19887955182072828</v>
      </c>
      <c r="I715">
        <f ca="1">_xlfn.VAR.P($G$2:G715)</f>
        <v>15.610306867845177</v>
      </c>
      <c r="AE715">
        <f t="shared" si="83"/>
        <v>713</v>
      </c>
      <c r="AF715" s="66">
        <f t="shared" si="82"/>
        <v>1</v>
      </c>
    </row>
    <row r="716" spans="1:32" x14ac:dyDescent="0.3">
      <c r="A716">
        <f t="shared" ca="1" si="77"/>
        <v>0.28983511819842556</v>
      </c>
      <c r="B716">
        <f t="shared" ca="1" si="78"/>
        <v>0</v>
      </c>
      <c r="C716">
        <f ca="1">AVERAGE($B$2:B716)</f>
        <v>2.4489510489510491</v>
      </c>
      <c r="D716">
        <f ca="1">_xlfn.VAR.P($B$2:B716)</f>
        <v>7.5424988997016973</v>
      </c>
      <c r="E716">
        <f t="shared" ca="1" si="79"/>
        <v>0.55155432356451184</v>
      </c>
      <c r="F716">
        <f t="shared" ca="1" si="80"/>
        <v>2</v>
      </c>
      <c r="G716">
        <f t="shared" ca="1" si="81"/>
        <v>-2</v>
      </c>
      <c r="H716">
        <f ca="1">AVERAGE($G$2:G716)</f>
        <v>0.19580419580419581</v>
      </c>
      <c r="I716">
        <f ca="1">_xlfn.VAR.P($G$2:G716)</f>
        <v>15.595227150471906</v>
      </c>
      <c r="AE716">
        <f t="shared" si="83"/>
        <v>714</v>
      </c>
      <c r="AF716" s="66">
        <f t="shared" si="82"/>
        <v>1</v>
      </c>
    </row>
    <row r="717" spans="1:32" x14ac:dyDescent="0.3">
      <c r="A717">
        <f t="shared" ca="1" si="77"/>
        <v>0.37489259806790043</v>
      </c>
      <c r="B717">
        <f t="shared" ca="1" si="78"/>
        <v>1</v>
      </c>
      <c r="C717">
        <f ca="1">AVERAGE($B$2:B717)</f>
        <v>2.446927374301676</v>
      </c>
      <c r="D717">
        <f ca="1">_xlfn.VAR.P($B$2:B717)</f>
        <v>7.5348927936081891</v>
      </c>
      <c r="E717">
        <f t="shared" ca="1" si="79"/>
        <v>0.53082207682212312</v>
      </c>
      <c r="F717">
        <f t="shared" ca="1" si="80"/>
        <v>2</v>
      </c>
      <c r="G717">
        <f t="shared" ca="1" si="81"/>
        <v>-1</v>
      </c>
      <c r="H717">
        <f ca="1">AVERAGE($G$2:G717)</f>
        <v>0.19413407821229051</v>
      </c>
      <c r="I717">
        <f ca="1">_xlfn.VAR.P($G$2:G717)</f>
        <v>15.575440451296776</v>
      </c>
      <c r="AE717">
        <f t="shared" si="83"/>
        <v>715</v>
      </c>
      <c r="AF717" s="66">
        <f t="shared" si="82"/>
        <v>1</v>
      </c>
    </row>
    <row r="718" spans="1:32" x14ac:dyDescent="0.3">
      <c r="A718">
        <f t="shared" ca="1" si="77"/>
        <v>0.19934021700513405</v>
      </c>
      <c r="B718">
        <f t="shared" ca="1" si="78"/>
        <v>0</v>
      </c>
      <c r="C718">
        <f ca="1">AVERAGE($B$2:B718)</f>
        <v>2.4435146443514646</v>
      </c>
      <c r="D718">
        <f ca="1">_xlfn.VAR.P($B$2:B718)</f>
        <v>7.5327229331886114</v>
      </c>
      <c r="E718">
        <f t="shared" ca="1" si="79"/>
        <v>0.12164845108586675</v>
      </c>
      <c r="F718">
        <f t="shared" ca="1" si="80"/>
        <v>0</v>
      </c>
      <c r="G718">
        <f t="shared" ca="1" si="81"/>
        <v>0</v>
      </c>
      <c r="H718">
        <f ca="1">AVERAGE($G$2:G718)</f>
        <v>0.19386331938633194</v>
      </c>
      <c r="I718">
        <f ca="1">_xlfn.VAR.P($G$2:G718)</f>
        <v>15.553769872531799</v>
      </c>
      <c r="AE718">
        <f t="shared" si="83"/>
        <v>716</v>
      </c>
      <c r="AF718" s="66">
        <f t="shared" si="82"/>
        <v>1</v>
      </c>
    </row>
    <row r="719" spans="1:32" x14ac:dyDescent="0.3">
      <c r="A719">
        <f t="shared" ca="1" si="77"/>
        <v>0.86071391635411643</v>
      </c>
      <c r="B719">
        <f t="shared" ca="1" si="78"/>
        <v>5</v>
      </c>
      <c r="C719">
        <f ca="1">AVERAGE($B$2:B719)</f>
        <v>2.4470752089136489</v>
      </c>
      <c r="D719">
        <f ca="1">_xlfn.VAR.P($B$2:B719)</f>
        <v>7.531321529162561</v>
      </c>
      <c r="E719">
        <f t="shared" ca="1" si="79"/>
        <v>0.28081610603825335</v>
      </c>
      <c r="F719">
        <f t="shared" ca="1" si="80"/>
        <v>0</v>
      </c>
      <c r="G719">
        <f t="shared" ca="1" si="81"/>
        <v>5</v>
      </c>
      <c r="H719">
        <f ca="1">AVERAGE($G$2:G719)</f>
        <v>0.20055710306406685</v>
      </c>
      <c r="I719">
        <f ca="1">_xlfn.VAR.P($G$2:G719)</f>
        <v>15.564233672923084</v>
      </c>
      <c r="AE719">
        <f t="shared" si="83"/>
        <v>717</v>
      </c>
      <c r="AF719" s="66">
        <f t="shared" si="82"/>
        <v>1</v>
      </c>
    </row>
    <row r="720" spans="1:32" x14ac:dyDescent="0.3">
      <c r="A720">
        <f t="shared" ca="1" si="77"/>
        <v>0.43230913157459594</v>
      </c>
      <c r="B720">
        <f t="shared" ca="1" si="78"/>
        <v>1</v>
      </c>
      <c r="C720">
        <f ca="1">AVERAGE($B$2:B720)</f>
        <v>2.4450625869262863</v>
      </c>
      <c r="D720">
        <f ca="1">_xlfn.VAR.P($B$2:B720)</f>
        <v>7.5237551768895523</v>
      </c>
      <c r="E720">
        <f t="shared" ca="1" si="79"/>
        <v>0.21050351385288613</v>
      </c>
      <c r="F720">
        <f t="shared" ca="1" si="80"/>
        <v>0</v>
      </c>
      <c r="G720">
        <f t="shared" ca="1" si="81"/>
        <v>1</v>
      </c>
      <c r="H720">
        <f ca="1">AVERAGE($G$2:G720)</f>
        <v>0.20166898470097358</v>
      </c>
      <c r="I720">
        <f ca="1">_xlfn.VAR.P($G$2:G720)</f>
        <v>15.543474265950429</v>
      </c>
      <c r="AE720">
        <f t="shared" si="83"/>
        <v>718</v>
      </c>
      <c r="AF720" s="66">
        <f t="shared" si="82"/>
        <v>1</v>
      </c>
    </row>
    <row r="721" spans="1:32" x14ac:dyDescent="0.3">
      <c r="A721">
        <f t="shared" ca="1" si="77"/>
        <v>0.49186580009220349</v>
      </c>
      <c r="B721">
        <f t="shared" ca="1" si="78"/>
        <v>1</v>
      </c>
      <c r="C721">
        <f ca="1">AVERAGE($B$2:B721)</f>
        <v>2.4430555555555555</v>
      </c>
      <c r="D721">
        <f ca="1">_xlfn.VAR.P($B$2:B721)</f>
        <v>7.5162017746913579</v>
      </c>
      <c r="E721">
        <f t="shared" ca="1" si="79"/>
        <v>2.2434222601196874E-2</v>
      </c>
      <c r="F721">
        <f t="shared" ca="1" si="80"/>
        <v>0</v>
      </c>
      <c r="G721">
        <f t="shared" ca="1" si="81"/>
        <v>1</v>
      </c>
      <c r="H721">
        <f ca="1">AVERAGE($G$2:G721)</f>
        <v>0.20277777777777778</v>
      </c>
      <c r="I721">
        <f ca="1">_xlfn.VAR.P($G$2:G721)</f>
        <v>15.522770061728394</v>
      </c>
      <c r="AE721">
        <f t="shared" si="83"/>
        <v>719</v>
      </c>
      <c r="AF721" s="66">
        <f t="shared" si="82"/>
        <v>1</v>
      </c>
    </row>
    <row r="722" spans="1:32" x14ac:dyDescent="0.3">
      <c r="A722">
        <f t="shared" ca="1" si="77"/>
        <v>0.13835232890029459</v>
      </c>
      <c r="B722">
        <f t="shared" ca="1" si="78"/>
        <v>0</v>
      </c>
      <c r="C722">
        <f ca="1">AVERAGE($B$2:B722)</f>
        <v>2.4396671289875171</v>
      </c>
      <c r="D722">
        <f ca="1">_xlfn.VAR.P($B$2:B722)</f>
        <v>7.514043717213533</v>
      </c>
      <c r="E722">
        <f t="shared" ca="1" si="79"/>
        <v>0.10301554072100783</v>
      </c>
      <c r="F722">
        <f t="shared" ca="1" si="80"/>
        <v>0</v>
      </c>
      <c r="G722">
        <f t="shared" ca="1" si="81"/>
        <v>0</v>
      </c>
      <c r="H722">
        <f ca="1">AVERAGE($G$2:G722)</f>
        <v>0.20249653259361997</v>
      </c>
      <c r="I722">
        <f ca="1">_xlfn.VAR.P($G$2:G722)</f>
        <v>15.5012975121239</v>
      </c>
      <c r="AE722">
        <f t="shared" si="83"/>
        <v>720</v>
      </c>
      <c r="AF722" s="66">
        <f t="shared" si="82"/>
        <v>1</v>
      </c>
    </row>
    <row r="723" spans="1:32" x14ac:dyDescent="0.3">
      <c r="A723">
        <f t="shared" ca="1" si="77"/>
        <v>0.54195396191904577</v>
      </c>
      <c r="B723">
        <f t="shared" ca="1" si="78"/>
        <v>2</v>
      </c>
      <c r="C723">
        <f ca="1">AVERAGE($B$2:B723)</f>
        <v>2.4390581717451525</v>
      </c>
      <c r="D723">
        <f ca="1">_xlfn.VAR.P($B$2:B723)</f>
        <v>7.5039038221008125</v>
      </c>
      <c r="E723">
        <f t="shared" ca="1" si="79"/>
        <v>0.21618970962682149</v>
      </c>
      <c r="F723">
        <f t="shared" ca="1" si="80"/>
        <v>0</v>
      </c>
      <c r="G723">
        <f t="shared" ca="1" si="81"/>
        <v>2</v>
      </c>
      <c r="H723">
        <f ca="1">AVERAGE($G$2:G723)</f>
        <v>0.20498614958448755</v>
      </c>
      <c r="I723">
        <f ca="1">_xlfn.VAR.P($G$2:G723)</f>
        <v>15.484296467952211</v>
      </c>
      <c r="AE723">
        <f t="shared" si="83"/>
        <v>721</v>
      </c>
      <c r="AF723" s="66">
        <f t="shared" si="82"/>
        <v>1</v>
      </c>
    </row>
    <row r="724" spans="1:32" x14ac:dyDescent="0.3">
      <c r="A724">
        <f t="shared" ca="1" si="77"/>
        <v>0.59993129372552567</v>
      </c>
      <c r="B724">
        <f t="shared" ca="1" si="78"/>
        <v>2</v>
      </c>
      <c r="C724">
        <f ca="1">AVERAGE($B$2:B724)</f>
        <v>2.4384508990318121</v>
      </c>
      <c r="D724">
        <f ca="1">_xlfn.VAR.P($B$2:B724)</f>
        <v>7.4937912379072138</v>
      </c>
      <c r="E724">
        <f t="shared" ca="1" si="79"/>
        <v>0.1626881211538771</v>
      </c>
      <c r="F724">
        <f t="shared" ca="1" si="80"/>
        <v>0</v>
      </c>
      <c r="G724">
        <f t="shared" ca="1" si="81"/>
        <v>2</v>
      </c>
      <c r="H724">
        <f ca="1">AVERAGE($G$2:G724)</f>
        <v>0.2074688796680498</v>
      </c>
      <c r="I724">
        <f ca="1">_xlfn.VAR.P($G$2:G724)</f>
        <v>15.467330107952687</v>
      </c>
      <c r="AE724">
        <f t="shared" si="83"/>
        <v>722</v>
      </c>
      <c r="AF724" s="66">
        <f t="shared" si="82"/>
        <v>1</v>
      </c>
    </row>
    <row r="725" spans="1:32" x14ac:dyDescent="0.3">
      <c r="A725">
        <f t="shared" ca="1" si="77"/>
        <v>0.49077068522872902</v>
      </c>
      <c r="B725">
        <f t="shared" ca="1" si="78"/>
        <v>1</v>
      </c>
      <c r="C725">
        <f ca="1">AVERAGE($B$2:B725)</f>
        <v>2.4364640883977899</v>
      </c>
      <c r="D725">
        <f ca="1">_xlfn.VAR.P($B$2:B725)</f>
        <v>7.4862946796495837</v>
      </c>
      <c r="E725">
        <f t="shared" ca="1" si="79"/>
        <v>0.51780617396553696</v>
      </c>
      <c r="F725">
        <f t="shared" ca="1" si="80"/>
        <v>2</v>
      </c>
      <c r="G725">
        <f t="shared" ca="1" si="81"/>
        <v>-1</v>
      </c>
      <c r="H725">
        <f ca="1">AVERAGE($G$2:G725)</f>
        <v>0.20580110497237569</v>
      </c>
      <c r="I725">
        <f ca="1">_xlfn.VAR.P($G$2:G725)</f>
        <v>15.447977396904857</v>
      </c>
      <c r="AE725">
        <f t="shared" si="83"/>
        <v>723</v>
      </c>
      <c r="AF725" s="66">
        <f t="shared" si="82"/>
        <v>1</v>
      </c>
    </row>
    <row r="726" spans="1:32" x14ac:dyDescent="0.3">
      <c r="A726">
        <f t="shared" ca="1" si="77"/>
        <v>0.47408892237574596</v>
      </c>
      <c r="B726">
        <f t="shared" ca="1" si="78"/>
        <v>1</v>
      </c>
      <c r="C726">
        <f ca="1">AVERAGE($B$2:B726)</f>
        <v>2.4344827586206899</v>
      </c>
      <c r="D726">
        <f ca="1">_xlfn.VAR.P($B$2:B726)</f>
        <v>7.4788109393579072</v>
      </c>
      <c r="E726">
        <f t="shared" ca="1" si="79"/>
        <v>0.79414936868704755</v>
      </c>
      <c r="F726">
        <f t="shared" ca="1" si="80"/>
        <v>4</v>
      </c>
      <c r="G726">
        <f t="shared" ca="1" si="81"/>
        <v>-3</v>
      </c>
      <c r="H726">
        <f ca="1">AVERAGE($G$2:G726)</f>
        <v>0.20137931034482759</v>
      </c>
      <c r="I726">
        <f ca="1">_xlfn.VAR.P($G$2:G726)</f>
        <v>15.440825683709869</v>
      </c>
      <c r="AE726">
        <f t="shared" si="83"/>
        <v>724</v>
      </c>
      <c r="AF726" s="66">
        <f t="shared" si="82"/>
        <v>1</v>
      </c>
    </row>
    <row r="727" spans="1:32" x14ac:dyDescent="0.3">
      <c r="A727">
        <f t="shared" ca="1" si="77"/>
        <v>0.52916985658965909</v>
      </c>
      <c r="B727">
        <f t="shared" ca="1" si="78"/>
        <v>2</v>
      </c>
      <c r="C727">
        <f ca="1">AVERAGE($B$2:B727)</f>
        <v>2.4338842975206614</v>
      </c>
      <c r="D727">
        <f ca="1">_xlfn.VAR.P($B$2:B727)</f>
        <v>7.4687692097534324</v>
      </c>
      <c r="E727">
        <f t="shared" ca="1" si="79"/>
        <v>0.26781602389340875</v>
      </c>
      <c r="F727">
        <f t="shared" ca="1" si="80"/>
        <v>0</v>
      </c>
      <c r="G727">
        <f t="shared" ca="1" si="81"/>
        <v>2</v>
      </c>
      <c r="H727">
        <f ca="1">AVERAGE($G$2:G727)</f>
        <v>0.20385674931129477</v>
      </c>
      <c r="I727">
        <f ca="1">_xlfn.VAR.P($G$2:G727)</f>
        <v>15.424007164052243</v>
      </c>
      <c r="AE727">
        <f t="shared" si="83"/>
        <v>725</v>
      </c>
      <c r="AF727" s="66">
        <f t="shared" si="82"/>
        <v>1</v>
      </c>
    </row>
    <row r="728" spans="1:32" x14ac:dyDescent="0.3">
      <c r="A728">
        <f t="shared" ca="1" si="77"/>
        <v>0.5174714651679394</v>
      </c>
      <c r="B728">
        <f t="shared" ca="1" si="78"/>
        <v>2</v>
      </c>
      <c r="C728">
        <f ca="1">AVERAGE($B$2:B728)</f>
        <v>2.4332874828060524</v>
      </c>
      <c r="D728">
        <f ca="1">_xlfn.VAR.P($B$2:B728)</f>
        <v>7.4587543919065933</v>
      </c>
      <c r="E728">
        <f t="shared" ca="1" si="79"/>
        <v>0.35561640121321159</v>
      </c>
      <c r="F728">
        <f t="shared" ca="1" si="80"/>
        <v>1</v>
      </c>
      <c r="G728">
        <f t="shared" ca="1" si="81"/>
        <v>1</v>
      </c>
      <c r="H728">
        <f ca="1">AVERAGE($G$2:G728)</f>
        <v>0.20495185694635487</v>
      </c>
      <c r="I728">
        <f ca="1">_xlfn.VAR.P($G$2:G728)</f>
        <v>15.40366186150618</v>
      </c>
      <c r="AE728">
        <f t="shared" si="83"/>
        <v>726</v>
      </c>
      <c r="AF728" s="66">
        <f t="shared" si="82"/>
        <v>1</v>
      </c>
    </row>
    <row r="729" spans="1:32" x14ac:dyDescent="0.3">
      <c r="A729">
        <f t="shared" ca="1" si="77"/>
        <v>0.13943879889911925</v>
      </c>
      <c r="B729">
        <f t="shared" ca="1" si="78"/>
        <v>0</v>
      </c>
      <c r="C729">
        <f ca="1">AVERAGE($B$2:B729)</f>
        <v>2.4299450549450547</v>
      </c>
      <c r="D729">
        <f ca="1">_xlfn.VAR.P($B$2:B729)</f>
        <v>7.4566307662118101</v>
      </c>
      <c r="E729">
        <f t="shared" ca="1" si="79"/>
        <v>6.7403583682800194E-3</v>
      </c>
      <c r="F729">
        <f t="shared" ca="1" si="80"/>
        <v>0</v>
      </c>
      <c r="G729">
        <f t="shared" ca="1" si="81"/>
        <v>0</v>
      </c>
      <c r="H729">
        <f ca="1">AVERAGE($G$2:G729)</f>
        <v>0.20467032967032966</v>
      </c>
      <c r="I729">
        <f ca="1">_xlfn.VAR.P($G$2:G729)</f>
        <v>15.382560605603189</v>
      </c>
      <c r="AE729">
        <f t="shared" si="83"/>
        <v>727</v>
      </c>
      <c r="AF729" s="66">
        <f t="shared" si="82"/>
        <v>1</v>
      </c>
    </row>
    <row r="730" spans="1:32" x14ac:dyDescent="0.3">
      <c r="A730">
        <f t="shared" ca="1" si="77"/>
        <v>0.67433164177785176</v>
      </c>
      <c r="B730">
        <f t="shared" ca="1" si="78"/>
        <v>3</v>
      </c>
      <c r="C730">
        <f ca="1">AVERAGE($B$2:B730)</f>
        <v>2.4307270233196161</v>
      </c>
      <c r="D730">
        <f ca="1">_xlfn.VAR.P($B$2:B730)</f>
        <v>7.4468473452368187</v>
      </c>
      <c r="E730">
        <f t="shared" ca="1" si="79"/>
        <v>0.69540755938147925</v>
      </c>
      <c r="F730">
        <f t="shared" ca="1" si="80"/>
        <v>3</v>
      </c>
      <c r="G730">
        <f t="shared" ca="1" si="81"/>
        <v>0</v>
      </c>
      <c r="H730">
        <f ca="1">AVERAGE($G$2:G730)</f>
        <v>0.20438957475994513</v>
      </c>
      <c r="I730">
        <f ca="1">_xlfn.VAR.P($G$2:G730)</f>
        <v>15.361517082799407</v>
      </c>
      <c r="AE730">
        <f t="shared" si="83"/>
        <v>728</v>
      </c>
      <c r="AF730" s="66">
        <f t="shared" si="82"/>
        <v>1</v>
      </c>
    </row>
    <row r="731" spans="1:32" x14ac:dyDescent="0.3">
      <c r="A731">
        <f t="shared" ca="1" si="77"/>
        <v>0.99289955757887971</v>
      </c>
      <c r="B731">
        <f t="shared" ca="1" si="78"/>
        <v>13</v>
      </c>
      <c r="C731">
        <f ca="1">AVERAGE($B$2:B731)</f>
        <v>2.4452054794520546</v>
      </c>
      <c r="D731">
        <f ca="1">_xlfn.VAR.P($B$2:B731)</f>
        <v>7.589463313942578</v>
      </c>
      <c r="E731">
        <f t="shared" ca="1" si="79"/>
        <v>1.0709750568710041E-2</v>
      </c>
      <c r="F731">
        <f t="shared" ca="1" si="80"/>
        <v>0</v>
      </c>
      <c r="G731">
        <f t="shared" ca="1" si="81"/>
        <v>13</v>
      </c>
      <c r="H731">
        <f ca="1">AVERAGE($G$2:G731)</f>
        <v>0.22191780821917809</v>
      </c>
      <c r="I731">
        <f ca="1">_xlfn.VAR.P($G$2:G731)</f>
        <v>15.564451116532183</v>
      </c>
      <c r="AE731">
        <f t="shared" si="83"/>
        <v>729</v>
      </c>
      <c r="AF731" s="66">
        <f t="shared" si="82"/>
        <v>1</v>
      </c>
    </row>
    <row r="732" spans="1:32" x14ac:dyDescent="0.3">
      <c r="A732">
        <f t="shared" ca="1" si="77"/>
        <v>0.91994847348750441</v>
      </c>
      <c r="B732">
        <f t="shared" ca="1" si="78"/>
        <v>7</v>
      </c>
      <c r="C732">
        <f ca="1">AVERAGE($B$2:B732)</f>
        <v>2.4514363885088919</v>
      </c>
      <c r="D732">
        <f ca="1">_xlfn.VAR.P($B$2:B732)</f>
        <v>7.6074226973899668</v>
      </c>
      <c r="E732">
        <f t="shared" ca="1" si="79"/>
        <v>0.91692207014274196</v>
      </c>
      <c r="F732">
        <f t="shared" ca="1" si="80"/>
        <v>6</v>
      </c>
      <c r="G732">
        <f t="shared" ca="1" si="81"/>
        <v>1</v>
      </c>
      <c r="H732">
        <f ca="1">AVERAGE($G$2:G732)</f>
        <v>0.22298221614227087</v>
      </c>
      <c r="I732">
        <f ca="1">_xlfn.VAR.P($G$2:G732)</f>
        <v>15.543986181626279</v>
      </c>
      <c r="AE732">
        <f t="shared" si="83"/>
        <v>730</v>
      </c>
      <c r="AF732" s="66">
        <f t="shared" si="82"/>
        <v>1</v>
      </c>
    </row>
    <row r="733" spans="1:32" x14ac:dyDescent="0.3">
      <c r="A733">
        <f t="shared" ca="1" si="77"/>
        <v>0.70147959689252837</v>
      </c>
      <c r="B733">
        <f t="shared" ca="1" si="78"/>
        <v>3</v>
      </c>
      <c r="C733">
        <f ca="1">AVERAGE($B$2:B733)</f>
        <v>2.4521857923497268</v>
      </c>
      <c r="D733">
        <f ca="1">_xlfn.VAR.P($B$2:B733)</f>
        <v>7.5974405775030611</v>
      </c>
      <c r="E733">
        <f t="shared" ca="1" si="79"/>
        <v>3.3844554618615907E-2</v>
      </c>
      <c r="F733">
        <f t="shared" ca="1" si="80"/>
        <v>0</v>
      </c>
      <c r="G733">
        <f t="shared" ca="1" si="81"/>
        <v>3</v>
      </c>
      <c r="H733">
        <f ca="1">AVERAGE($G$2:G733)</f>
        <v>0.22677595628415301</v>
      </c>
      <c r="I733">
        <f ca="1">_xlfn.VAR.P($G$2:G733)</f>
        <v>15.533272119203321</v>
      </c>
      <c r="AE733">
        <f t="shared" si="83"/>
        <v>731</v>
      </c>
      <c r="AF733" s="66">
        <f t="shared" si="82"/>
        <v>1</v>
      </c>
    </row>
    <row r="734" spans="1:32" x14ac:dyDescent="0.3">
      <c r="A734">
        <f t="shared" ca="1" si="77"/>
        <v>0.21459128916568082</v>
      </c>
      <c r="B734">
        <f t="shared" ca="1" si="78"/>
        <v>0</v>
      </c>
      <c r="C734">
        <f ca="1">AVERAGE($B$2:B734)</f>
        <v>2.4488403819918143</v>
      </c>
      <c r="D734">
        <f ca="1">_xlfn.VAR.P($B$2:B734)</f>
        <v>7.5952680959409182</v>
      </c>
      <c r="E734">
        <f t="shared" ca="1" si="79"/>
        <v>0.58581697914583053</v>
      </c>
      <c r="F734">
        <f t="shared" ca="1" si="80"/>
        <v>2</v>
      </c>
      <c r="G734">
        <f t="shared" ca="1" si="81"/>
        <v>-2</v>
      </c>
      <c r="H734">
        <f ca="1">AVERAGE($G$2:G734)</f>
        <v>0.22373806275579808</v>
      </c>
      <c r="I734">
        <f ca="1">_xlfn.VAR.P($G$2:G734)</f>
        <v>15.518836231525306</v>
      </c>
      <c r="AE734">
        <f t="shared" si="83"/>
        <v>732</v>
      </c>
      <c r="AF734" s="66">
        <f t="shared" si="82"/>
        <v>1</v>
      </c>
    </row>
    <row r="735" spans="1:32" x14ac:dyDescent="0.3">
      <c r="A735">
        <f t="shared" ca="1" si="77"/>
        <v>0.3344186903045383</v>
      </c>
      <c r="B735">
        <f t="shared" ca="1" si="78"/>
        <v>1</v>
      </c>
      <c r="C735">
        <f ca="1">AVERAGE($B$2:B735)</f>
        <v>2.4468664850136239</v>
      </c>
      <c r="D735">
        <f ca="1">_xlfn.VAR.P($B$2:B735)</f>
        <v>7.5877762846260648</v>
      </c>
      <c r="E735">
        <f t="shared" ca="1" si="79"/>
        <v>0.90661935519920256</v>
      </c>
      <c r="F735">
        <f t="shared" ca="1" si="80"/>
        <v>6</v>
      </c>
      <c r="G735">
        <f t="shared" ca="1" si="81"/>
        <v>-5</v>
      </c>
      <c r="H735">
        <f ca="1">AVERAGE($G$2:G735)</f>
        <v>0.21662125340599456</v>
      </c>
      <c r="I735">
        <f ca="1">_xlfn.VAR.P($G$2:G735)</f>
        <v>15.534819101782626</v>
      </c>
      <c r="AE735">
        <f t="shared" si="83"/>
        <v>733</v>
      </c>
      <c r="AF735" s="66">
        <f t="shared" si="82"/>
        <v>1</v>
      </c>
    </row>
    <row r="736" spans="1:32" x14ac:dyDescent="0.3">
      <c r="A736">
        <f t="shared" ca="1" si="77"/>
        <v>0.59450047210129997</v>
      </c>
      <c r="B736">
        <f t="shared" ca="1" si="78"/>
        <v>2</v>
      </c>
      <c r="C736">
        <f ca="1">AVERAGE($B$2:B736)</f>
        <v>2.4462585034013604</v>
      </c>
      <c r="D736">
        <f ca="1">_xlfn.VAR.P($B$2:B736)</f>
        <v>7.5777240964412975</v>
      </c>
      <c r="E736">
        <f t="shared" ca="1" si="79"/>
        <v>0.8715438643982315</v>
      </c>
      <c r="F736">
        <f t="shared" ca="1" si="80"/>
        <v>5</v>
      </c>
      <c r="G736">
        <f t="shared" ca="1" si="81"/>
        <v>-3</v>
      </c>
      <c r="H736">
        <f ca="1">AVERAGE($G$2:G736)</f>
        <v>0.21224489795918366</v>
      </c>
      <c r="I736">
        <f ca="1">_xlfn.VAR.P($G$2:G736)</f>
        <v>15.527741218936555</v>
      </c>
      <c r="AE736">
        <f t="shared" si="83"/>
        <v>734</v>
      </c>
      <c r="AF736" s="66">
        <f t="shared" si="82"/>
        <v>1</v>
      </c>
    </row>
    <row r="737" spans="1:32" x14ac:dyDescent="0.3">
      <c r="A737">
        <f t="shared" ca="1" si="77"/>
        <v>0.6854014203335228</v>
      </c>
      <c r="B737">
        <f t="shared" ca="1" si="78"/>
        <v>3</v>
      </c>
      <c r="C737">
        <f ca="1">AVERAGE($B$2:B737)</f>
        <v>2.4470108695652173</v>
      </c>
      <c r="D737">
        <f ca="1">_xlfn.VAR.P($B$2:B737)</f>
        <v>7.5678443259688093</v>
      </c>
      <c r="E737">
        <f t="shared" ca="1" si="79"/>
        <v>0.14634183629626263</v>
      </c>
      <c r="F737">
        <f t="shared" ca="1" si="80"/>
        <v>0</v>
      </c>
      <c r="G737">
        <f t="shared" ca="1" si="81"/>
        <v>3</v>
      </c>
      <c r="H737">
        <f ca="1">AVERAGE($G$2:G737)</f>
        <v>0.21603260869565216</v>
      </c>
      <c r="I737">
        <f ca="1">_xlfn.VAR.P($G$2:G737)</f>
        <v>15.517188607632326</v>
      </c>
      <c r="AE737">
        <f t="shared" si="83"/>
        <v>735</v>
      </c>
      <c r="AF737" s="66">
        <f t="shared" si="82"/>
        <v>1</v>
      </c>
    </row>
    <row r="738" spans="1:32" x14ac:dyDescent="0.3">
      <c r="A738">
        <f t="shared" ca="1" si="77"/>
        <v>0.68071203155709126</v>
      </c>
      <c r="B738">
        <f t="shared" ca="1" si="78"/>
        <v>3</v>
      </c>
      <c r="C738">
        <f ca="1">AVERAGE($B$2:B738)</f>
        <v>2.4477611940298507</v>
      </c>
      <c r="D738">
        <f ca="1">_xlfn.VAR.P($B$2:B738)</f>
        <v>7.5579902387654672</v>
      </c>
      <c r="E738">
        <f t="shared" ca="1" si="79"/>
        <v>0.18722262391838251</v>
      </c>
      <c r="F738">
        <f t="shared" ca="1" si="80"/>
        <v>0</v>
      </c>
      <c r="G738">
        <f t="shared" ca="1" si="81"/>
        <v>3</v>
      </c>
      <c r="H738">
        <f ca="1">AVERAGE($G$2:G738)</f>
        <v>0.21981004070556309</v>
      </c>
      <c r="I738">
        <f ca="1">_xlfn.VAR.P($G$2:G738)</f>
        <v>15.50663605618141</v>
      </c>
      <c r="AE738">
        <f t="shared" si="83"/>
        <v>736</v>
      </c>
      <c r="AF738" s="66">
        <f t="shared" si="82"/>
        <v>1</v>
      </c>
    </row>
    <row r="739" spans="1:32" x14ac:dyDescent="0.3">
      <c r="A739">
        <f t="shared" ca="1" si="77"/>
        <v>0.86930044115659144</v>
      </c>
      <c r="B739">
        <f t="shared" ca="1" si="78"/>
        <v>5</v>
      </c>
      <c r="C739">
        <f ca="1">AVERAGE($B$2:B739)</f>
        <v>2.4512195121951219</v>
      </c>
      <c r="D739">
        <f ca="1">_xlfn.VAR.P($B$2:B739)</f>
        <v>7.5565635534404123</v>
      </c>
      <c r="E739">
        <f t="shared" ca="1" si="79"/>
        <v>0.68648367341058369</v>
      </c>
      <c r="F739">
        <f t="shared" ca="1" si="80"/>
        <v>3</v>
      </c>
      <c r="G739">
        <f t="shared" ca="1" si="81"/>
        <v>2</v>
      </c>
      <c r="H739">
        <f ca="1">AVERAGE($G$2:G739)</f>
        <v>0.22222222222222221</v>
      </c>
      <c r="I739">
        <f ca="1">_xlfn.VAR.P($G$2:G739)</f>
        <v>15.489912676904547</v>
      </c>
      <c r="AE739">
        <f t="shared" si="83"/>
        <v>737</v>
      </c>
      <c r="AF739" s="66">
        <f t="shared" si="82"/>
        <v>1</v>
      </c>
    </row>
    <row r="740" spans="1:32" x14ac:dyDescent="0.3">
      <c r="A740">
        <f t="shared" ca="1" si="77"/>
        <v>0.16795984434463418</v>
      </c>
      <c r="B740">
        <f t="shared" ca="1" si="78"/>
        <v>0</v>
      </c>
      <c r="C740">
        <f ca="1">AVERAGE($B$2:B740)</f>
        <v>2.4479025710419484</v>
      </c>
      <c r="D740">
        <f ca="1">_xlfn.VAR.P($B$2:B740)</f>
        <v>7.5544577117525238</v>
      </c>
      <c r="E740">
        <f t="shared" ca="1" si="79"/>
        <v>0.20476707154819973</v>
      </c>
      <c r="F740">
        <f t="shared" ca="1" si="80"/>
        <v>0</v>
      </c>
      <c r="G740">
        <f t="shared" ca="1" si="81"/>
        <v>0</v>
      </c>
      <c r="H740">
        <f ca="1">AVERAGE($G$2:G740)</f>
        <v>0.22192151556156969</v>
      </c>
      <c r="I740">
        <f ca="1">_xlfn.VAR.P($G$2:G740)</f>
        <v>15.469018770565498</v>
      </c>
      <c r="AE740">
        <f t="shared" si="83"/>
        <v>738</v>
      </c>
      <c r="AF740" s="66">
        <f t="shared" si="82"/>
        <v>1</v>
      </c>
    </row>
    <row r="741" spans="1:32" x14ac:dyDescent="0.3">
      <c r="A741">
        <f t="shared" ca="1" si="77"/>
        <v>0.29017132766710529</v>
      </c>
      <c r="B741">
        <f t="shared" ca="1" si="78"/>
        <v>0</v>
      </c>
      <c r="C741">
        <f ca="1">AVERAGE($B$2:B741)</f>
        <v>2.4445945945945944</v>
      </c>
      <c r="D741">
        <f ca="1">_xlfn.VAR.P($B$2:B741)</f>
        <v>7.5523356464572684</v>
      </c>
      <c r="E741">
        <f t="shared" ca="1" si="79"/>
        <v>0.59643952800452071</v>
      </c>
      <c r="F741">
        <f t="shared" ca="1" si="80"/>
        <v>2</v>
      </c>
      <c r="G741">
        <f t="shared" ca="1" si="81"/>
        <v>-2</v>
      </c>
      <c r="H741">
        <f ca="1">AVERAGE($G$2:G741)</f>
        <v>0.21891891891891893</v>
      </c>
      <c r="I741">
        <f ca="1">_xlfn.VAR.P($G$2:G741)</f>
        <v>15.454777209642074</v>
      </c>
      <c r="AE741">
        <f t="shared" si="83"/>
        <v>739</v>
      </c>
      <c r="AF741" s="66">
        <f t="shared" si="82"/>
        <v>1</v>
      </c>
    </row>
    <row r="742" spans="1:32" x14ac:dyDescent="0.3">
      <c r="A742">
        <f t="shared" ca="1" si="77"/>
        <v>0.34331634483184259</v>
      </c>
      <c r="B742">
        <f t="shared" ca="1" si="78"/>
        <v>1</v>
      </c>
      <c r="C742">
        <f ca="1">AVERAGE($B$2:B742)</f>
        <v>2.4426450742240218</v>
      </c>
      <c r="D742">
        <f ca="1">_xlfn.VAR.P($B$2:B742)</f>
        <v>7.5449560265243196</v>
      </c>
      <c r="E742">
        <f t="shared" ca="1" si="79"/>
        <v>0.69687744702510646</v>
      </c>
      <c r="F742">
        <f t="shared" ca="1" si="80"/>
        <v>3</v>
      </c>
      <c r="G742">
        <f t="shared" ca="1" si="81"/>
        <v>-2</v>
      </c>
      <c r="H742">
        <f ca="1">AVERAGE($G$2:G742)</f>
        <v>0.21592442645074225</v>
      </c>
      <c r="I742">
        <f ca="1">_xlfn.VAR.P($G$2:G742)</f>
        <v>15.440556129241406</v>
      </c>
      <c r="AE742">
        <f t="shared" si="83"/>
        <v>740</v>
      </c>
      <c r="AF742" s="66">
        <f t="shared" si="82"/>
        <v>1</v>
      </c>
    </row>
    <row r="743" spans="1:32" x14ac:dyDescent="0.3">
      <c r="A743">
        <f t="shared" ca="1" si="77"/>
        <v>0.54466217280460416</v>
      </c>
      <c r="B743">
        <f t="shared" ca="1" si="78"/>
        <v>2</v>
      </c>
      <c r="C743">
        <f ca="1">AVERAGE($B$2:B743)</f>
        <v>2.4420485175202158</v>
      </c>
      <c r="D743">
        <f ca="1">_xlfn.VAR.P($B$2:B743)</f>
        <v>7.5350513291824388</v>
      </c>
      <c r="E743">
        <f t="shared" ca="1" si="79"/>
        <v>0.92696989484244663</v>
      </c>
      <c r="F743">
        <f t="shared" ca="1" si="80"/>
        <v>7</v>
      </c>
      <c r="G743">
        <f t="shared" ca="1" si="81"/>
        <v>-5</v>
      </c>
      <c r="H743">
        <f ca="1">AVERAGE($G$2:G743)</f>
        <v>0.20889487870619947</v>
      </c>
      <c r="I743">
        <f ca="1">_xlfn.VAR.P($G$2:G743)</f>
        <v>15.456362929650322</v>
      </c>
      <c r="AE743">
        <f t="shared" si="83"/>
        <v>741</v>
      </c>
      <c r="AF743" s="66">
        <f t="shared" si="82"/>
        <v>1</v>
      </c>
    </row>
    <row r="744" spans="1:32" x14ac:dyDescent="0.3">
      <c r="A744">
        <f t="shared" ca="1" si="77"/>
        <v>0.9383371880363589</v>
      </c>
      <c r="B744">
        <f t="shared" ca="1" si="78"/>
        <v>7</v>
      </c>
      <c r="C744">
        <f ca="1">AVERAGE($B$2:B744)</f>
        <v>2.4481830417227455</v>
      </c>
      <c r="D744">
        <f ca="1">_xlfn.VAR.P($B$2:B744)</f>
        <v>7.5528331724176656</v>
      </c>
      <c r="E744">
        <f t="shared" ca="1" si="79"/>
        <v>4.0281537942400414E-2</v>
      </c>
      <c r="F744">
        <f t="shared" ca="1" si="80"/>
        <v>0</v>
      </c>
      <c r="G744">
        <f t="shared" ca="1" si="81"/>
        <v>7</v>
      </c>
      <c r="H744">
        <f ca="1">AVERAGE($G$2:G744)</f>
        <v>0.21803499327052489</v>
      </c>
      <c r="I744">
        <f ca="1">_xlfn.VAR.P($G$2:G744)</f>
        <v>15.497548224885835</v>
      </c>
      <c r="AE744">
        <f t="shared" si="83"/>
        <v>742</v>
      </c>
      <c r="AF744" s="66">
        <f t="shared" si="82"/>
        <v>1</v>
      </c>
    </row>
    <row r="745" spans="1:32" x14ac:dyDescent="0.3">
      <c r="A745">
        <f t="shared" ca="1" si="77"/>
        <v>0.32394534158137289</v>
      </c>
      <c r="B745">
        <f t="shared" ca="1" si="78"/>
        <v>1</v>
      </c>
      <c r="C745">
        <f ca="1">AVERAGE($B$2:B745)</f>
        <v>2.446236559139785</v>
      </c>
      <c r="D745">
        <f ca="1">_xlfn.VAR.P($B$2:B745)</f>
        <v>7.5454965892010639</v>
      </c>
      <c r="E745">
        <f t="shared" ca="1" si="79"/>
        <v>0.3111656099151987</v>
      </c>
      <c r="F745">
        <f t="shared" ca="1" si="80"/>
        <v>1</v>
      </c>
      <c r="G745">
        <f t="shared" ca="1" si="81"/>
        <v>0</v>
      </c>
      <c r="H745">
        <f ca="1">AVERAGE($G$2:G745)</f>
        <v>0.21774193548387097</v>
      </c>
      <c r="I745">
        <f ca="1">_xlfn.VAR.P($G$2:G745)</f>
        <v>15.476781997918835</v>
      </c>
      <c r="AE745">
        <f t="shared" si="83"/>
        <v>743</v>
      </c>
      <c r="AF745" s="66">
        <f t="shared" si="82"/>
        <v>1</v>
      </c>
    </row>
    <row r="746" spans="1:32" x14ac:dyDescent="0.3">
      <c r="A746">
        <f t="shared" ca="1" si="77"/>
        <v>0.7932498588853788</v>
      </c>
      <c r="B746">
        <f t="shared" ca="1" si="78"/>
        <v>4</v>
      </c>
      <c r="C746">
        <f ca="1">AVERAGE($B$2:B746)</f>
        <v>2.4483221476510066</v>
      </c>
      <c r="D746">
        <f ca="1">_xlfn.VAR.P($B$2:B746)</f>
        <v>7.5386045673618307</v>
      </c>
      <c r="E746">
        <f t="shared" ca="1" si="79"/>
        <v>0.42045355154550645</v>
      </c>
      <c r="F746">
        <f t="shared" ca="1" si="80"/>
        <v>1</v>
      </c>
      <c r="G746">
        <f t="shared" ca="1" si="81"/>
        <v>3</v>
      </c>
      <c r="H746">
        <f ca="1">AVERAGE($G$2:G746)</f>
        <v>0.22147651006711411</v>
      </c>
      <c r="I746">
        <f ca="1">_xlfn.VAR.P($G$2:G746)</f>
        <v>15.46638439709923</v>
      </c>
      <c r="AE746">
        <f t="shared" si="83"/>
        <v>744</v>
      </c>
      <c r="AF746" s="66">
        <f t="shared" si="82"/>
        <v>1</v>
      </c>
    </row>
    <row r="747" spans="1:32" x14ac:dyDescent="0.3">
      <c r="A747">
        <f t="shared" ca="1" si="77"/>
        <v>8.9310236596153669E-2</v>
      </c>
      <c r="B747">
        <f t="shared" ca="1" si="78"/>
        <v>0</v>
      </c>
      <c r="C747">
        <f ca="1">AVERAGE($B$2:B747)</f>
        <v>2.4450402144772116</v>
      </c>
      <c r="D747">
        <f ca="1">_xlfn.VAR.P($B$2:B747)</f>
        <v>7.5365236579002222</v>
      </c>
      <c r="E747">
        <f t="shared" ca="1" si="79"/>
        <v>0.28348056030524615</v>
      </c>
      <c r="F747">
        <f t="shared" ca="1" si="80"/>
        <v>0</v>
      </c>
      <c r="G747">
        <f t="shared" ca="1" si="81"/>
        <v>0</v>
      </c>
      <c r="H747">
        <f ca="1">AVERAGE($G$2:G747)</f>
        <v>0.22117962466487937</v>
      </c>
      <c r="I747">
        <f ca="1">_xlfn.VAR.P($G$2:G747)</f>
        <v>15.445717643338197</v>
      </c>
      <c r="AE747">
        <f t="shared" si="83"/>
        <v>745</v>
      </c>
      <c r="AF747" s="66">
        <f t="shared" si="82"/>
        <v>1</v>
      </c>
    </row>
    <row r="748" spans="1:32" x14ac:dyDescent="0.3">
      <c r="A748">
        <f t="shared" ca="1" si="77"/>
        <v>0.55094271805193595</v>
      </c>
      <c r="B748">
        <f t="shared" ca="1" si="78"/>
        <v>2</v>
      </c>
      <c r="C748">
        <f ca="1">AVERAGE($B$2:B748)</f>
        <v>2.4444444444444446</v>
      </c>
      <c r="D748">
        <f ca="1">_xlfn.VAR.P($B$2:B748)</f>
        <v>7.5266993901532055</v>
      </c>
      <c r="E748">
        <f t="shared" ca="1" si="79"/>
        <v>0.40156450641002817</v>
      </c>
      <c r="F748">
        <f t="shared" ca="1" si="80"/>
        <v>1</v>
      </c>
      <c r="G748">
        <f t="shared" ca="1" si="81"/>
        <v>1</v>
      </c>
      <c r="H748">
        <f ca="1">AVERAGE($G$2:G748)</f>
        <v>0.22222222222222221</v>
      </c>
      <c r="I748">
        <f ca="1">_xlfn.VAR.P($G$2:G748)</f>
        <v>15.425851554365611</v>
      </c>
      <c r="AE748">
        <f t="shared" si="83"/>
        <v>746</v>
      </c>
      <c r="AF748" s="66">
        <f t="shared" si="82"/>
        <v>1</v>
      </c>
    </row>
    <row r="749" spans="1:32" x14ac:dyDescent="0.3">
      <c r="A749">
        <f t="shared" ca="1" si="77"/>
        <v>0.17453806121309179</v>
      </c>
      <c r="B749">
        <f t="shared" ca="1" si="78"/>
        <v>0</v>
      </c>
      <c r="C749">
        <f ca="1">AVERAGE($B$2:B749)</f>
        <v>2.4411764705882355</v>
      </c>
      <c r="D749">
        <f ca="1">_xlfn.VAR.P($B$2:B749)</f>
        <v>7.5246146586977041</v>
      </c>
      <c r="E749">
        <f t="shared" ca="1" si="79"/>
        <v>0.83086947069717254</v>
      </c>
      <c r="F749">
        <f t="shared" ca="1" si="80"/>
        <v>4</v>
      </c>
      <c r="G749">
        <f t="shared" ca="1" si="81"/>
        <v>-4</v>
      </c>
      <c r="H749">
        <f ca="1">AVERAGE($G$2:G749)</f>
        <v>0.21657754010695188</v>
      </c>
      <c r="I749">
        <f ca="1">_xlfn.VAR.P($G$2:G749)</f>
        <v>15.429029997998226</v>
      </c>
      <c r="AE749">
        <f t="shared" si="83"/>
        <v>747</v>
      </c>
      <c r="AF749" s="66">
        <f t="shared" si="82"/>
        <v>1</v>
      </c>
    </row>
    <row r="750" spans="1:32" x14ac:dyDescent="0.3">
      <c r="A750">
        <f t="shared" ca="1" si="77"/>
        <v>0.91918467671930115</v>
      </c>
      <c r="B750">
        <f t="shared" ca="1" si="78"/>
        <v>7</v>
      </c>
      <c r="C750">
        <f ca="1">AVERAGE($B$2:B750)</f>
        <v>2.4472630173564753</v>
      </c>
      <c r="D750">
        <f ca="1">_xlfn.VAR.P($B$2:B750)</f>
        <v>7.5422788907684657</v>
      </c>
      <c r="E750">
        <f t="shared" ca="1" si="79"/>
        <v>0.23733832562995827</v>
      </c>
      <c r="F750">
        <f t="shared" ca="1" si="80"/>
        <v>0</v>
      </c>
      <c r="G750">
        <f t="shared" ca="1" si="81"/>
        <v>7</v>
      </c>
      <c r="H750">
        <f ca="1">AVERAGE($G$2:G750)</f>
        <v>0.22563417890520696</v>
      </c>
      <c r="I750">
        <f ca="1">_xlfn.VAR.P($G$2:G750)</f>
        <v>15.469783476321789</v>
      </c>
      <c r="AE750">
        <f t="shared" si="83"/>
        <v>748</v>
      </c>
      <c r="AF750" s="66">
        <f t="shared" si="82"/>
        <v>1</v>
      </c>
    </row>
    <row r="751" spans="1:32" x14ac:dyDescent="0.3">
      <c r="A751">
        <f t="shared" ca="1" si="77"/>
        <v>0.8851588711073719</v>
      </c>
      <c r="B751">
        <f t="shared" ca="1" si="78"/>
        <v>6</v>
      </c>
      <c r="C751">
        <f ca="1">AVERAGE($B$2:B751)</f>
        <v>2.452</v>
      </c>
      <c r="D751">
        <f ca="1">_xlfn.VAR.P($B$2:B751)</f>
        <v>7.5490293333333334</v>
      </c>
      <c r="E751">
        <f t="shared" ca="1" si="79"/>
        <v>0.30899177459801519</v>
      </c>
      <c r="F751">
        <f t="shared" ca="1" si="80"/>
        <v>1</v>
      </c>
      <c r="G751">
        <f t="shared" ca="1" si="81"/>
        <v>5</v>
      </c>
      <c r="H751">
        <f ca="1">AVERAGE($G$2:G751)</f>
        <v>0.23200000000000001</v>
      </c>
      <c r="I751">
        <f ca="1">_xlfn.VAR.P($G$2:G751)</f>
        <v>15.479509333333333</v>
      </c>
      <c r="AE751">
        <f t="shared" si="83"/>
        <v>749</v>
      </c>
      <c r="AF751" s="66">
        <f t="shared" si="82"/>
        <v>1</v>
      </c>
    </row>
    <row r="752" spans="1:32" x14ac:dyDescent="0.3">
      <c r="A752">
        <f t="shared" ca="1" si="77"/>
        <v>0.13545928251865624</v>
      </c>
      <c r="B752">
        <f t="shared" ca="1" si="78"/>
        <v>0</v>
      </c>
      <c r="C752">
        <f ca="1">AVERAGE($B$2:B752)</f>
        <v>2.4487350199733688</v>
      </c>
      <c r="D752">
        <f ca="1">_xlfn.VAR.P($B$2:B752)</f>
        <v>7.5469724344460385</v>
      </c>
      <c r="E752">
        <f t="shared" ca="1" si="79"/>
        <v>0.53195883575193592</v>
      </c>
      <c r="F752">
        <f t="shared" ca="1" si="80"/>
        <v>2</v>
      </c>
      <c r="G752">
        <f t="shared" ca="1" si="81"/>
        <v>-2</v>
      </c>
      <c r="H752">
        <f ca="1">AVERAGE($G$2:G752)</f>
        <v>0.22902796271637815</v>
      </c>
      <c r="I752">
        <f ca="1">_xlfn.VAR.P($G$2:G752)</f>
        <v>15.465522224251375</v>
      </c>
      <c r="AE752">
        <f t="shared" si="83"/>
        <v>750</v>
      </c>
      <c r="AF752" s="66">
        <f t="shared" si="82"/>
        <v>1</v>
      </c>
    </row>
    <row r="753" spans="1:32" x14ac:dyDescent="0.3">
      <c r="A753">
        <f t="shared" ca="1" si="77"/>
        <v>0.85168360301263846</v>
      </c>
      <c r="B753">
        <f t="shared" ca="1" si="78"/>
        <v>5</v>
      </c>
      <c r="C753">
        <f ca="1">AVERAGE($B$2:B753)</f>
        <v>2.4521276595744679</v>
      </c>
      <c r="D753">
        <f ca="1">_xlfn.VAR.P($B$2:B753)</f>
        <v>7.545580579447714</v>
      </c>
      <c r="E753">
        <f t="shared" ca="1" si="79"/>
        <v>4.3422767074265956E-2</v>
      </c>
      <c r="F753">
        <f t="shared" ca="1" si="80"/>
        <v>0</v>
      </c>
      <c r="G753">
        <f t="shared" ca="1" si="81"/>
        <v>5</v>
      </c>
      <c r="H753">
        <f ca="1">AVERAGE($G$2:G753)</f>
        <v>0.23537234042553193</v>
      </c>
      <c r="I753">
        <f ca="1">_xlfn.VAR.P($G$2:G753)</f>
        <v>15.475184967745585</v>
      </c>
      <c r="AE753">
        <f t="shared" si="83"/>
        <v>751</v>
      </c>
      <c r="AF753" s="66">
        <f t="shared" si="82"/>
        <v>1</v>
      </c>
    </row>
    <row r="754" spans="1:32" x14ac:dyDescent="0.3">
      <c r="A754">
        <f t="shared" ca="1" si="77"/>
        <v>0.12536399511580698</v>
      </c>
      <c r="B754">
        <f t="shared" ca="1" si="78"/>
        <v>0</v>
      </c>
      <c r="C754">
        <f ca="1">AVERAGE($B$2:B754)</f>
        <v>2.4488711819389111</v>
      </c>
      <c r="D754">
        <f ca="1">_xlfn.VAR.P($B$2:B754)</f>
        <v>7.5435345823434901</v>
      </c>
      <c r="E754">
        <f t="shared" ca="1" si="79"/>
        <v>0.74535673299768446</v>
      </c>
      <c r="F754">
        <f t="shared" ca="1" si="80"/>
        <v>3</v>
      </c>
      <c r="G754">
        <f t="shared" ca="1" si="81"/>
        <v>-3</v>
      </c>
      <c r="H754">
        <f ca="1">AVERAGE($G$2:G754)</f>
        <v>0.23107569721115537</v>
      </c>
      <c r="I754">
        <f ca="1">_xlfn.VAR.P($G$2:G754)</f>
        <v>15.468516372755987</v>
      </c>
      <c r="AE754">
        <f t="shared" si="83"/>
        <v>752</v>
      </c>
      <c r="AF754" s="66">
        <f t="shared" si="82"/>
        <v>1</v>
      </c>
    </row>
    <row r="755" spans="1:32" x14ac:dyDescent="0.3">
      <c r="A755">
        <f t="shared" ca="1" si="77"/>
        <v>0.6301278945951192</v>
      </c>
      <c r="B755">
        <f t="shared" ca="1" si="78"/>
        <v>2</v>
      </c>
      <c r="C755">
        <f ca="1">AVERAGE($B$2:B755)</f>
        <v>2.4482758620689653</v>
      </c>
      <c r="D755">
        <f ca="1">_xlfn.VAR.P($B$2:B755)</f>
        <v>7.5337967620964053</v>
      </c>
      <c r="E755">
        <f t="shared" ca="1" si="79"/>
        <v>0.89657270881143614</v>
      </c>
      <c r="F755">
        <f t="shared" ca="1" si="80"/>
        <v>6</v>
      </c>
      <c r="G755">
        <f t="shared" ca="1" si="81"/>
        <v>-4</v>
      </c>
      <c r="H755">
        <f ca="1">AVERAGE($G$2:G755)</f>
        <v>0.22546419098143236</v>
      </c>
      <c r="I755">
        <f ca="1">_xlfn.VAR.P($G$2:G755)</f>
        <v>15.471712317683231</v>
      </c>
      <c r="AE755">
        <f t="shared" si="83"/>
        <v>753</v>
      </c>
      <c r="AF755" s="66">
        <f t="shared" si="82"/>
        <v>1</v>
      </c>
    </row>
    <row r="756" spans="1:32" x14ac:dyDescent="0.3">
      <c r="A756">
        <f t="shared" ca="1" si="77"/>
        <v>0.73468935702346783</v>
      </c>
      <c r="B756">
        <f t="shared" ca="1" si="78"/>
        <v>3</v>
      </c>
      <c r="C756">
        <f ca="1">AVERAGE($B$2:B756)</f>
        <v>2.4490066225165563</v>
      </c>
      <c r="D756">
        <f ca="1">_xlfn.VAR.P($B$2:B756)</f>
        <v>7.5242208675058109</v>
      </c>
      <c r="E756">
        <f t="shared" ca="1" si="79"/>
        <v>7.6634042151567994E-2</v>
      </c>
      <c r="F756">
        <f t="shared" ca="1" si="80"/>
        <v>0</v>
      </c>
      <c r="G756">
        <f t="shared" ca="1" si="81"/>
        <v>3</v>
      </c>
      <c r="H756">
        <f ca="1">AVERAGE($G$2:G756)</f>
        <v>0.22913907284768212</v>
      </c>
      <c r="I756">
        <f ca="1">_xlfn.VAR.P($G$2:G756)</f>
        <v>15.461402570062717</v>
      </c>
      <c r="AE756">
        <f t="shared" si="83"/>
        <v>754</v>
      </c>
      <c r="AF756" s="66">
        <f t="shared" si="82"/>
        <v>1</v>
      </c>
    </row>
    <row r="757" spans="1:32" x14ac:dyDescent="0.3">
      <c r="A757">
        <f t="shared" ca="1" si="77"/>
        <v>0.18447197864413534</v>
      </c>
      <c r="B757">
        <f t="shared" ca="1" si="78"/>
        <v>0</v>
      </c>
      <c r="C757">
        <f ca="1">AVERAGE($B$2:B757)</f>
        <v>2.4457671957671958</v>
      </c>
      <c r="D757">
        <f ca="1">_xlfn.VAR.P($B$2:B757)</f>
        <v>7.5221910780773218</v>
      </c>
      <c r="E757">
        <f t="shared" ca="1" si="79"/>
        <v>0.9887341713419473</v>
      </c>
      <c r="F757">
        <f t="shared" ca="1" si="80"/>
        <v>12</v>
      </c>
      <c r="G757">
        <f t="shared" ca="1" si="81"/>
        <v>-12</v>
      </c>
      <c r="H757">
        <f ca="1">AVERAGE($G$2:G757)</f>
        <v>0.21296296296296297</v>
      </c>
      <c r="I757">
        <f ca="1">_xlfn.VAR.P($G$2:G757)</f>
        <v>15.63850921026847</v>
      </c>
      <c r="AE757">
        <f t="shared" si="83"/>
        <v>755</v>
      </c>
      <c r="AF757" s="66">
        <f t="shared" si="82"/>
        <v>1</v>
      </c>
    </row>
    <row r="758" spans="1:32" x14ac:dyDescent="0.3">
      <c r="A758">
        <f t="shared" ca="1" si="77"/>
        <v>0.7314440016192354</v>
      </c>
      <c r="B758">
        <f t="shared" ca="1" si="78"/>
        <v>3</v>
      </c>
      <c r="C758">
        <f ca="1">AVERAGE($B$2:B758)</f>
        <v>2.4464993394980183</v>
      </c>
      <c r="D758">
        <f ca="1">_xlfn.VAR.P($B$2:B758)</f>
        <v>7.5126594758912413</v>
      </c>
      <c r="E758">
        <f t="shared" ca="1" si="79"/>
        <v>5.3132023805162132E-2</v>
      </c>
      <c r="F758">
        <f t="shared" ca="1" si="80"/>
        <v>0</v>
      </c>
      <c r="G758">
        <f t="shared" ca="1" si="81"/>
        <v>3</v>
      </c>
      <c r="H758">
        <f ca="1">AVERAGE($G$2:G758)</f>
        <v>0.2166446499339498</v>
      </c>
      <c r="I758">
        <f ca="1">_xlfn.VAR.P($G$2:G758)</f>
        <v>15.628098120754071</v>
      </c>
      <c r="AE758">
        <f t="shared" si="83"/>
        <v>756</v>
      </c>
      <c r="AF758" s="66">
        <f t="shared" si="82"/>
        <v>1</v>
      </c>
    </row>
    <row r="759" spans="1:32" x14ac:dyDescent="0.3">
      <c r="A759">
        <f t="shared" ca="1" si="77"/>
        <v>0.15626951064874972</v>
      </c>
      <c r="B759">
        <f t="shared" ca="1" si="78"/>
        <v>0</v>
      </c>
      <c r="C759">
        <f ca="1">AVERAGE($B$2:B759)</f>
        <v>2.4432717678100264</v>
      </c>
      <c r="D759">
        <f ca="1">_xlfn.VAR.P($B$2:B759)</f>
        <v>7.5106341504166636</v>
      </c>
      <c r="E759">
        <f t="shared" ca="1" si="79"/>
        <v>0.26076265052755043</v>
      </c>
      <c r="F759">
        <f t="shared" ca="1" si="80"/>
        <v>0</v>
      </c>
      <c r="G759">
        <f t="shared" ca="1" si="81"/>
        <v>0</v>
      </c>
      <c r="H759">
        <f ca="1">AVERAGE($G$2:G759)</f>
        <v>0.21635883905013192</v>
      </c>
      <c r="I759">
        <f ca="1">_xlfn.VAR.P($G$2:G759)</f>
        <v>15.607542414770156</v>
      </c>
      <c r="AE759">
        <f t="shared" si="83"/>
        <v>757</v>
      </c>
      <c r="AF759" s="66">
        <f t="shared" si="82"/>
        <v>1</v>
      </c>
    </row>
    <row r="760" spans="1:32" x14ac:dyDescent="0.3">
      <c r="A760">
        <f t="shared" ca="1" si="77"/>
        <v>0.68499611512161396</v>
      </c>
      <c r="B760">
        <f t="shared" ca="1" si="78"/>
        <v>3</v>
      </c>
      <c r="C760">
        <f ca="1">AVERAGE($B$2:B760)</f>
        <v>2.4440052700922266</v>
      </c>
      <c r="D760">
        <f ca="1">_xlfn.VAR.P($B$2:B760)</f>
        <v>7.5011465401566797</v>
      </c>
      <c r="E760">
        <f t="shared" ca="1" si="79"/>
        <v>0.51816967861033092</v>
      </c>
      <c r="F760">
        <f t="shared" ca="1" si="80"/>
        <v>2</v>
      </c>
      <c r="G760">
        <f t="shared" ca="1" si="81"/>
        <v>1</v>
      </c>
      <c r="H760">
        <f ca="1">AVERAGE($G$2:G760)</f>
        <v>0.21739130434782608</v>
      </c>
      <c r="I760">
        <f ca="1">_xlfn.VAR.P($G$2:G760)</f>
        <v>15.587787134100934</v>
      </c>
      <c r="AE760">
        <f t="shared" si="83"/>
        <v>758</v>
      </c>
      <c r="AF760" s="66">
        <f t="shared" si="82"/>
        <v>1</v>
      </c>
    </row>
    <row r="761" spans="1:32" x14ac:dyDescent="0.3">
      <c r="A761">
        <f t="shared" ca="1" si="77"/>
        <v>0.26677131549024113</v>
      </c>
      <c r="B761">
        <f t="shared" ca="1" si="78"/>
        <v>0</v>
      </c>
      <c r="C761">
        <f ca="1">AVERAGE($B$2:B761)</f>
        <v>2.4407894736842106</v>
      </c>
      <c r="D761">
        <f ca="1">_xlfn.VAR.P($B$2:B761)</f>
        <v>7.4991256925207752</v>
      </c>
      <c r="E761">
        <f t="shared" ca="1" si="79"/>
        <v>8.5230978869041962E-3</v>
      </c>
      <c r="F761">
        <f t="shared" ca="1" si="80"/>
        <v>0</v>
      </c>
      <c r="G761">
        <f t="shared" ca="1" si="81"/>
        <v>0</v>
      </c>
      <c r="H761">
        <f ca="1">AVERAGE($G$2:G761)</f>
        <v>0.21710526315789475</v>
      </c>
      <c r="I761">
        <f ca="1">_xlfn.VAR.P($G$2:G761)</f>
        <v>15.567338988919667</v>
      </c>
      <c r="AE761">
        <f t="shared" si="83"/>
        <v>759</v>
      </c>
      <c r="AF761" s="66">
        <f t="shared" si="82"/>
        <v>1</v>
      </c>
    </row>
    <row r="762" spans="1:32" x14ac:dyDescent="0.3">
      <c r="A762">
        <f t="shared" ca="1" si="77"/>
        <v>0.99435719620832586</v>
      </c>
      <c r="B762">
        <f t="shared" ca="1" si="78"/>
        <v>14</v>
      </c>
      <c r="C762">
        <f ca="1">AVERAGE($B$2:B762)</f>
        <v>2.4559789750328513</v>
      </c>
      <c r="D762">
        <f ca="1">_xlfn.VAR.P($B$2:B762)</f>
        <v>7.6646193109902763</v>
      </c>
      <c r="E762">
        <f t="shared" ca="1" si="79"/>
        <v>0.94789272568397986</v>
      </c>
      <c r="F762">
        <f t="shared" ca="1" si="80"/>
        <v>8</v>
      </c>
      <c r="G762">
        <f t="shared" ca="1" si="81"/>
        <v>6</v>
      </c>
      <c r="H762">
        <f ca="1">AVERAGE($G$2:G762)</f>
        <v>0.22470433639947437</v>
      </c>
      <c r="I762">
        <f ca="1">_xlfn.VAR.P($G$2:G762)</f>
        <v>15.590769459232181</v>
      </c>
      <c r="AE762">
        <f t="shared" si="83"/>
        <v>760</v>
      </c>
      <c r="AF762" s="66">
        <f t="shared" si="82"/>
        <v>1</v>
      </c>
    </row>
    <row r="763" spans="1:32" x14ac:dyDescent="0.3">
      <c r="A763">
        <f t="shared" ca="1" si="77"/>
        <v>0.42697918185963391</v>
      </c>
      <c r="B763">
        <f t="shared" ca="1" si="78"/>
        <v>1</v>
      </c>
      <c r="C763">
        <f ca="1">AVERAGE($B$2:B763)</f>
        <v>2.4540682414698161</v>
      </c>
      <c r="D763">
        <f ca="1">_xlfn.VAR.P($B$2:B763)</f>
        <v>7.6573390924559623</v>
      </c>
      <c r="E763">
        <f t="shared" ca="1" si="79"/>
        <v>0.56235304166151889</v>
      </c>
      <c r="F763">
        <f t="shared" ca="1" si="80"/>
        <v>2</v>
      </c>
      <c r="G763">
        <f t="shared" ca="1" si="81"/>
        <v>-1</v>
      </c>
      <c r="H763">
        <f ca="1">AVERAGE($G$2:G763)</f>
        <v>0.2230971128608924</v>
      </c>
      <c r="I763">
        <f ca="1">_xlfn.VAR.P($G$2:G763)</f>
        <v>15.572274922327622</v>
      </c>
      <c r="AE763">
        <f t="shared" si="83"/>
        <v>761</v>
      </c>
      <c r="AF763" s="66">
        <f t="shared" si="82"/>
        <v>1</v>
      </c>
    </row>
    <row r="764" spans="1:32" x14ac:dyDescent="0.3">
      <c r="A764">
        <f t="shared" ca="1" si="77"/>
        <v>5.665808914226067E-2</v>
      </c>
      <c r="B764">
        <f t="shared" ca="1" si="78"/>
        <v>0</v>
      </c>
      <c r="C764">
        <f ca="1">AVERAGE($B$2:B764)</f>
        <v>2.450851900393185</v>
      </c>
      <c r="D764">
        <f ca="1">_xlfn.VAR.P($B$2:B764)</f>
        <v>7.655186037044226</v>
      </c>
      <c r="E764">
        <f t="shared" ca="1" si="79"/>
        <v>0.98893844194058489</v>
      </c>
      <c r="F764">
        <f t="shared" ca="1" si="80"/>
        <v>12</v>
      </c>
      <c r="G764">
        <f t="shared" ca="1" si="81"/>
        <v>-12</v>
      </c>
      <c r="H764">
        <f ca="1">AVERAGE($G$2:G764)</f>
        <v>0.20707732634338138</v>
      </c>
      <c r="I764">
        <f ca="1">_xlfn.VAR.P($G$2:G764)</f>
        <v>15.747420422592064</v>
      </c>
      <c r="AE764">
        <f t="shared" si="83"/>
        <v>762</v>
      </c>
      <c r="AF764" s="66">
        <f t="shared" si="82"/>
        <v>1</v>
      </c>
    </row>
    <row r="765" spans="1:32" x14ac:dyDescent="0.3">
      <c r="A765">
        <f t="shared" ca="1" si="77"/>
        <v>0.10178337511878099</v>
      </c>
      <c r="B765">
        <f t="shared" ca="1" si="78"/>
        <v>0</v>
      </c>
      <c r="C765">
        <f ca="1">AVERAGE($B$2:B765)</f>
        <v>2.4476439790575917</v>
      </c>
      <c r="D765">
        <f ca="1">_xlfn.VAR.P($B$2:B765)</f>
        <v>7.6530180093747431</v>
      </c>
      <c r="E765">
        <f t="shared" ca="1" si="79"/>
        <v>0.4973625179122374</v>
      </c>
      <c r="F765">
        <f t="shared" ca="1" si="80"/>
        <v>1</v>
      </c>
      <c r="G765">
        <f t="shared" ca="1" si="81"/>
        <v>-1</v>
      </c>
      <c r="H765">
        <f ca="1">AVERAGE($G$2:G765)</f>
        <v>0.20549738219895289</v>
      </c>
      <c r="I765">
        <f ca="1">_xlfn.VAR.P($G$2:G765)</f>
        <v>15.72871323428634</v>
      </c>
      <c r="AE765">
        <f t="shared" si="83"/>
        <v>763</v>
      </c>
      <c r="AF765" s="66">
        <f t="shared" si="82"/>
        <v>1</v>
      </c>
    </row>
    <row r="766" spans="1:32" x14ac:dyDescent="0.3">
      <c r="A766">
        <f t="shared" ca="1" si="77"/>
        <v>7.4737537283289357E-2</v>
      </c>
      <c r="B766">
        <f t="shared" ca="1" si="78"/>
        <v>0</v>
      </c>
      <c r="C766">
        <f ca="1">AVERAGE($B$2:B766)</f>
        <v>2.4444444444444446</v>
      </c>
      <c r="D766">
        <f ca="1">_xlfn.VAR.P($B$2:B766)</f>
        <v>7.6508351488743642</v>
      </c>
      <c r="E766">
        <f t="shared" ca="1" si="79"/>
        <v>0.57258790377181856</v>
      </c>
      <c r="F766">
        <f t="shared" ca="1" si="80"/>
        <v>2</v>
      </c>
      <c r="G766">
        <f t="shared" ca="1" si="81"/>
        <v>-2</v>
      </c>
      <c r="H766">
        <f ca="1">AVERAGE($G$2:G766)</f>
        <v>0.20261437908496732</v>
      </c>
      <c r="I766">
        <f ca="1">_xlfn.VAR.P($G$2:G766)</f>
        <v>15.714502968943568</v>
      </c>
      <c r="AE766">
        <f t="shared" si="83"/>
        <v>764</v>
      </c>
      <c r="AF766" s="66">
        <f t="shared" si="82"/>
        <v>1</v>
      </c>
    </row>
    <row r="767" spans="1:32" x14ac:dyDescent="0.3">
      <c r="A767">
        <f t="shared" ca="1" si="77"/>
        <v>0.64157403275193481</v>
      </c>
      <c r="B767">
        <f t="shared" ca="1" si="78"/>
        <v>2</v>
      </c>
      <c r="C767">
        <f ca="1">AVERAGE($B$2:B767)</f>
        <v>2.4438642297650133</v>
      </c>
      <c r="D767">
        <f ca="1">_xlfn.VAR.P($B$2:B767)</f>
        <v>7.6411046499737543</v>
      </c>
      <c r="E767">
        <f t="shared" ca="1" si="79"/>
        <v>0.84183843717528106</v>
      </c>
      <c r="F767">
        <f t="shared" ca="1" si="80"/>
        <v>5</v>
      </c>
      <c r="G767">
        <f t="shared" ca="1" si="81"/>
        <v>-3</v>
      </c>
      <c r="H767">
        <f ca="1">AVERAGE($G$2:G767)</f>
        <v>0.19843342036553524</v>
      </c>
      <c r="I767">
        <f ca="1">_xlfn.VAR.P($G$2:G767)</f>
        <v>15.707360470110233</v>
      </c>
      <c r="AE767">
        <f t="shared" si="83"/>
        <v>765</v>
      </c>
      <c r="AF767" s="66">
        <f t="shared" si="82"/>
        <v>1</v>
      </c>
    </row>
    <row r="768" spans="1:32" x14ac:dyDescent="0.3">
      <c r="A768">
        <f t="shared" ca="1" si="77"/>
        <v>0.72057819722631777</v>
      </c>
      <c r="B768">
        <f t="shared" ca="1" si="78"/>
        <v>3</v>
      </c>
      <c r="C768">
        <f ca="1">AVERAGE($B$2:B768)</f>
        <v>2.4445893089960888</v>
      </c>
      <c r="D768">
        <f ca="1">_xlfn.VAR.P($B$2:B768)</f>
        <v>7.6315450399378539</v>
      </c>
      <c r="E768">
        <f t="shared" ca="1" si="79"/>
        <v>0.98939237916935741</v>
      </c>
      <c r="F768">
        <f t="shared" ca="1" si="80"/>
        <v>12</v>
      </c>
      <c r="G768">
        <f t="shared" ca="1" si="81"/>
        <v>-9</v>
      </c>
      <c r="H768">
        <f ca="1">AVERAGE($G$2:G768)</f>
        <v>0.1864406779661017</v>
      </c>
      <c r="I768">
        <f ca="1">_xlfn.VAR.P($G$2:G768)</f>
        <v>15.79705212914061</v>
      </c>
      <c r="AE768">
        <f t="shared" si="83"/>
        <v>766</v>
      </c>
      <c r="AF768" s="66">
        <f t="shared" si="82"/>
        <v>1</v>
      </c>
    </row>
    <row r="769" spans="1:32" x14ac:dyDescent="0.3">
      <c r="A769">
        <f t="shared" ca="1" si="77"/>
        <v>0.92007860809726871</v>
      </c>
      <c r="B769">
        <f t="shared" ca="1" si="78"/>
        <v>7</v>
      </c>
      <c r="C769">
        <f ca="1">AVERAGE($B$2:B769)</f>
        <v>2.4505208333333335</v>
      </c>
      <c r="D769">
        <f ca="1">_xlfn.VAR.P($B$2:B769)</f>
        <v>7.6485934787326393</v>
      </c>
      <c r="E769">
        <f t="shared" ca="1" si="79"/>
        <v>0.60774380588216381</v>
      </c>
      <c r="F769">
        <f t="shared" ca="1" si="80"/>
        <v>2</v>
      </c>
      <c r="G769">
        <f t="shared" ca="1" si="81"/>
        <v>5</v>
      </c>
      <c r="H769">
        <f ca="1">AVERAGE($G$2:G769)</f>
        <v>0.19270833333333334</v>
      </c>
      <c r="I769">
        <f ca="1">_xlfn.VAR.P($G$2:G769)</f>
        <v>15.806613498263889</v>
      </c>
      <c r="AE769">
        <f t="shared" si="83"/>
        <v>767</v>
      </c>
      <c r="AF769" s="66">
        <f t="shared" si="82"/>
        <v>1</v>
      </c>
    </row>
    <row r="770" spans="1:32" x14ac:dyDescent="0.3">
      <c r="A770">
        <f t="shared" ca="1" si="77"/>
        <v>2.9291213971763153E-2</v>
      </c>
      <c r="B770">
        <f t="shared" ca="1" si="78"/>
        <v>0</v>
      </c>
      <c r="C770">
        <f ca="1">AVERAGE($B$2:B770)</f>
        <v>2.447334200260078</v>
      </c>
      <c r="D770">
        <f ca="1">_xlfn.VAR.P($B$2:B770)</f>
        <v>7.6464460794675331</v>
      </c>
      <c r="E770">
        <f t="shared" ca="1" si="79"/>
        <v>0.98060167716346214</v>
      </c>
      <c r="F770">
        <f t="shared" ca="1" si="80"/>
        <v>11</v>
      </c>
      <c r="G770">
        <f t="shared" ca="1" si="81"/>
        <v>-11</v>
      </c>
      <c r="H770">
        <f ca="1">AVERAGE($G$2:G770)</f>
        <v>0.17815344603381014</v>
      </c>
      <c r="I770">
        <f ca="1">_xlfn.VAR.P($G$2:G770)</f>
        <v>15.948755497910751</v>
      </c>
      <c r="AE770">
        <f t="shared" si="83"/>
        <v>768</v>
      </c>
      <c r="AF770" s="66">
        <f t="shared" si="82"/>
        <v>1</v>
      </c>
    </row>
    <row r="771" spans="1:32" x14ac:dyDescent="0.3">
      <c r="A771">
        <f t="shared" ref="A771:A834" ca="1" si="84">RAND()</f>
        <v>0.92435744848801082</v>
      </c>
      <c r="B771">
        <f t="shared" ref="B771:B834" ca="1" si="85">LOOKUP(A771,$AF$2:$AF$1002,$AE$2:$AE$1002)</f>
        <v>7</v>
      </c>
      <c r="C771">
        <f ca="1">AVERAGE($B$2:B771)</f>
        <v>2.4532467532467535</v>
      </c>
      <c r="D771">
        <f ca="1">_xlfn.VAR.P($B$2:B771)</f>
        <v>7.6633985495024453</v>
      </c>
      <c r="E771">
        <f t="shared" ref="E771:E834" ca="1" si="86">RAND()</f>
        <v>0.95991282156592661</v>
      </c>
      <c r="F771">
        <f t="shared" ref="F771:F834" ca="1" si="87">LOOKUP(E771,$AF$2:$AF$1002,$AE$2:$AE$1002)</f>
        <v>9</v>
      </c>
      <c r="G771">
        <f t="shared" ref="G771:G834" ca="1" si="88">B771-F771</f>
        <v>-2</v>
      </c>
      <c r="H771">
        <f ca="1">AVERAGE($G$2:G771)</f>
        <v>0.17532467532467533</v>
      </c>
      <c r="I771">
        <f ca="1">_xlfn.VAR.P($G$2:G771)</f>
        <v>15.934196323157362</v>
      </c>
      <c r="AE771">
        <f t="shared" si="83"/>
        <v>769</v>
      </c>
      <c r="AF771" s="66">
        <f t="shared" ref="AF771:AF834" si="89">_xlfn.NEGBINOM.DIST(AE771-1,1,$K$1,TRUE)</f>
        <v>1</v>
      </c>
    </row>
    <row r="772" spans="1:32" x14ac:dyDescent="0.3">
      <c r="A772">
        <f t="shared" ca="1" si="84"/>
        <v>0.85478552388260598</v>
      </c>
      <c r="B772">
        <f t="shared" ca="1" si="85"/>
        <v>5</v>
      </c>
      <c r="C772">
        <f ca="1">AVERAGE($B$2:B772)</f>
        <v>2.4565499351491571</v>
      </c>
      <c r="D772">
        <f ca="1">_xlfn.VAR.P($B$2:B772)</f>
        <v>7.661860470593381</v>
      </c>
      <c r="E772">
        <f t="shared" ca="1" si="86"/>
        <v>0.15474203049605018</v>
      </c>
      <c r="F772">
        <f t="shared" ca="1" si="87"/>
        <v>0</v>
      </c>
      <c r="G772">
        <f t="shared" ca="1" si="88"/>
        <v>5</v>
      </c>
      <c r="H772">
        <f ca="1">AVERAGE($G$2:G772)</f>
        <v>0.18158236057068741</v>
      </c>
      <c r="I772">
        <f ca="1">_xlfn.VAR.P($G$2:G772)</f>
        <v>15.943681542827632</v>
      </c>
      <c r="AE772">
        <f t="shared" si="83"/>
        <v>770</v>
      </c>
      <c r="AF772" s="66">
        <f t="shared" si="89"/>
        <v>1</v>
      </c>
    </row>
    <row r="773" spans="1:32" x14ac:dyDescent="0.3">
      <c r="A773">
        <f t="shared" ca="1" si="84"/>
        <v>0.54039731510050459</v>
      </c>
      <c r="B773">
        <f t="shared" ca="1" si="85"/>
        <v>2</v>
      </c>
      <c r="C773">
        <f ca="1">AVERAGE($B$2:B773)</f>
        <v>2.4559585492227978</v>
      </c>
      <c r="D773">
        <f ca="1">_xlfn.VAR.P($B$2:B773)</f>
        <v>7.6522054283336463</v>
      </c>
      <c r="E773">
        <f t="shared" ca="1" si="86"/>
        <v>0.52301375841273279</v>
      </c>
      <c r="F773">
        <f t="shared" ca="1" si="87"/>
        <v>2</v>
      </c>
      <c r="G773">
        <f t="shared" ca="1" si="88"/>
        <v>0</v>
      </c>
      <c r="H773">
        <f ca="1">AVERAGE($G$2:G773)</f>
        <v>0.18134715025906736</v>
      </c>
      <c r="I773">
        <f ca="1">_xlfn.VAR.P($G$2:G773)</f>
        <v>15.923071760315713</v>
      </c>
      <c r="AE773">
        <f t="shared" ref="AE773:AE836" si="90">AE772+1</f>
        <v>771</v>
      </c>
      <c r="AF773" s="66">
        <f t="shared" si="89"/>
        <v>1</v>
      </c>
    </row>
    <row r="774" spans="1:32" x14ac:dyDescent="0.3">
      <c r="A774">
        <f t="shared" ca="1" si="84"/>
        <v>0.27115223956561874</v>
      </c>
      <c r="B774">
        <f t="shared" ca="1" si="85"/>
        <v>0</v>
      </c>
      <c r="C774">
        <f ca="1">AVERAGE($B$2:B774)</f>
        <v>2.4527813712807243</v>
      </c>
      <c r="D774">
        <f ca="1">_xlfn.VAR.P($B$2:B774)</f>
        <v>7.6500989910113146</v>
      </c>
      <c r="E774">
        <f t="shared" ca="1" si="86"/>
        <v>0.57905023100984976</v>
      </c>
      <c r="F774">
        <f t="shared" ca="1" si="87"/>
        <v>2</v>
      </c>
      <c r="G774">
        <f t="shared" ca="1" si="88"/>
        <v>-2</v>
      </c>
      <c r="H774">
        <f ca="1">AVERAGE($G$2:G774)</f>
        <v>0.17852522639068563</v>
      </c>
      <c r="I774">
        <f ca="1">_xlfn.VAR.P($G$2:G774)</f>
        <v>15.90862033474526</v>
      </c>
      <c r="AE774">
        <f t="shared" si="90"/>
        <v>772</v>
      </c>
      <c r="AF774" s="66">
        <f t="shared" si="89"/>
        <v>1</v>
      </c>
    </row>
    <row r="775" spans="1:32" x14ac:dyDescent="0.3">
      <c r="A775">
        <f t="shared" ca="1" si="84"/>
        <v>0.25872081565855232</v>
      </c>
      <c r="B775">
        <f t="shared" ca="1" si="85"/>
        <v>0</v>
      </c>
      <c r="C775">
        <f ca="1">AVERAGE($B$2:B775)</f>
        <v>2.4496124031007751</v>
      </c>
      <c r="D775">
        <f ca="1">_xlfn.VAR.P($B$2:B775)</f>
        <v>7.6479778859443543</v>
      </c>
      <c r="E775">
        <f t="shared" ca="1" si="86"/>
        <v>3.9489084818817299E-2</v>
      </c>
      <c r="F775">
        <f t="shared" ca="1" si="87"/>
        <v>0</v>
      </c>
      <c r="G775">
        <f t="shared" ca="1" si="88"/>
        <v>0</v>
      </c>
      <c r="H775">
        <f ca="1">AVERAGE($G$2:G775)</f>
        <v>0.17829457364341086</v>
      </c>
      <c r="I775">
        <f ca="1">_xlfn.VAR.P($G$2:G775)</f>
        <v>15.888107685836188</v>
      </c>
      <c r="AE775">
        <f t="shared" si="90"/>
        <v>773</v>
      </c>
      <c r="AF775" s="66">
        <f t="shared" si="89"/>
        <v>1</v>
      </c>
    </row>
    <row r="776" spans="1:32" x14ac:dyDescent="0.3">
      <c r="A776">
        <f t="shared" ca="1" si="84"/>
        <v>0.56201279741375487</v>
      </c>
      <c r="B776">
        <f t="shared" ca="1" si="85"/>
        <v>2</v>
      </c>
      <c r="C776">
        <f ca="1">AVERAGE($B$2:B776)</f>
        <v>2.4490322580645163</v>
      </c>
      <c r="D776">
        <f ca="1">_xlfn.VAR.P($B$2:B776)</f>
        <v>7.638370031217482</v>
      </c>
      <c r="E776">
        <f t="shared" ca="1" si="86"/>
        <v>7.9938399039480634E-2</v>
      </c>
      <c r="F776">
        <f t="shared" ca="1" si="87"/>
        <v>0</v>
      </c>
      <c r="G776">
        <f t="shared" ca="1" si="88"/>
        <v>2</v>
      </c>
      <c r="H776">
        <f ca="1">AVERAGE($G$2:G776)</f>
        <v>0.18064516129032257</v>
      </c>
      <c r="I776">
        <f ca="1">_xlfn.VAR.P($G$2:G776)</f>
        <v>15.871883454734652</v>
      </c>
      <c r="AE776">
        <f t="shared" si="90"/>
        <v>774</v>
      </c>
      <c r="AF776" s="66">
        <f t="shared" si="89"/>
        <v>1</v>
      </c>
    </row>
    <row r="777" spans="1:32" x14ac:dyDescent="0.3">
      <c r="A777">
        <f t="shared" ca="1" si="84"/>
        <v>0.2781318924734314</v>
      </c>
      <c r="B777">
        <f t="shared" ca="1" si="85"/>
        <v>0</v>
      </c>
      <c r="C777">
        <f ca="1">AVERAGE($B$2:B777)</f>
        <v>2.445876288659794</v>
      </c>
      <c r="D777">
        <f ca="1">_xlfn.VAR.P($B$2:B777)</f>
        <v>7.6362458816027212</v>
      </c>
      <c r="E777">
        <f t="shared" ca="1" si="86"/>
        <v>0.96016736897360777</v>
      </c>
      <c r="F777">
        <f t="shared" ca="1" si="87"/>
        <v>9</v>
      </c>
      <c r="G777">
        <f t="shared" ca="1" si="88"/>
        <v>-9</v>
      </c>
      <c r="H777">
        <f ca="1">AVERAGE($G$2:G777)</f>
        <v>0.16881443298969073</v>
      </c>
      <c r="I777">
        <f ca="1">_xlfn.VAR.P($G$2:G777)</f>
        <v>15.959903749070039</v>
      </c>
      <c r="AE777">
        <f t="shared" si="90"/>
        <v>775</v>
      </c>
      <c r="AF777" s="66">
        <f t="shared" si="89"/>
        <v>1</v>
      </c>
    </row>
    <row r="778" spans="1:32" x14ac:dyDescent="0.3">
      <c r="A778">
        <f t="shared" ca="1" si="84"/>
        <v>6.3852362760100867E-2</v>
      </c>
      <c r="B778">
        <f t="shared" ca="1" si="85"/>
        <v>0</v>
      </c>
      <c r="C778">
        <f ca="1">AVERAGE($B$2:B778)</f>
        <v>2.4427284427284426</v>
      </c>
      <c r="D778">
        <f ca="1">_xlfn.VAR.P($B$2:B778)</f>
        <v>7.6341073561150781</v>
      </c>
      <c r="E778">
        <f t="shared" ca="1" si="86"/>
        <v>0.17234459518311163</v>
      </c>
      <c r="F778">
        <f t="shared" ca="1" si="87"/>
        <v>0</v>
      </c>
      <c r="G778">
        <f t="shared" ca="1" si="88"/>
        <v>0</v>
      </c>
      <c r="H778">
        <f ca="1">AVERAGE($G$2:G778)</f>
        <v>0.16859716859716858</v>
      </c>
      <c r="I778">
        <f ca="1">_xlfn.VAR.P($G$2:G778)</f>
        <v>15.939399962565986</v>
      </c>
      <c r="AE778">
        <f t="shared" si="90"/>
        <v>776</v>
      </c>
      <c r="AF778" s="66">
        <f t="shared" si="89"/>
        <v>1</v>
      </c>
    </row>
    <row r="779" spans="1:32" x14ac:dyDescent="0.3">
      <c r="A779">
        <f t="shared" ca="1" si="84"/>
        <v>0.17718254706406789</v>
      </c>
      <c r="B779">
        <f t="shared" ca="1" si="85"/>
        <v>0</v>
      </c>
      <c r="C779">
        <f ca="1">AVERAGE($B$2:B779)</f>
        <v>2.4395886889460154</v>
      </c>
      <c r="D779">
        <f ca="1">_xlfn.VAR.P($B$2:B779)</f>
        <v>7.6319545866072787</v>
      </c>
      <c r="E779">
        <f t="shared" ca="1" si="86"/>
        <v>0.88517270300729289</v>
      </c>
      <c r="F779">
        <f t="shared" ca="1" si="87"/>
        <v>6</v>
      </c>
      <c r="G779">
        <f t="shared" ca="1" si="88"/>
        <v>-6</v>
      </c>
      <c r="H779">
        <f ca="1">AVERAGE($G$2:G779)</f>
        <v>0.16066838046272494</v>
      </c>
      <c r="I779">
        <f ca="1">_xlfn.VAR.P($G$2:G779)</f>
        <v>15.967758936300976</v>
      </c>
      <c r="AE779">
        <f t="shared" si="90"/>
        <v>777</v>
      </c>
      <c r="AF779" s="66">
        <f t="shared" si="89"/>
        <v>1</v>
      </c>
    </row>
    <row r="780" spans="1:32" x14ac:dyDescent="0.3">
      <c r="A780">
        <f t="shared" ca="1" si="84"/>
        <v>0.60639093723780779</v>
      </c>
      <c r="B780">
        <f t="shared" ca="1" si="85"/>
        <v>2</v>
      </c>
      <c r="C780">
        <f ca="1">AVERAGE($B$2:B780)</f>
        <v>2.4390243902439024</v>
      </c>
      <c r="D780">
        <f ca="1">_xlfn.VAR.P($B$2:B780)</f>
        <v>7.6224052099314319</v>
      </c>
      <c r="E780">
        <f t="shared" ca="1" si="86"/>
        <v>0.92660008912688918</v>
      </c>
      <c r="F780">
        <f t="shared" ca="1" si="87"/>
        <v>7</v>
      </c>
      <c r="G780">
        <f t="shared" ca="1" si="88"/>
        <v>-5</v>
      </c>
      <c r="H780">
        <f ca="1">AVERAGE($G$2:G780)</f>
        <v>0.1540436456996149</v>
      </c>
      <c r="I780">
        <f ca="1">_xlfn.VAR.P($G$2:G780)</f>
        <v>15.981405343409559</v>
      </c>
      <c r="AE780">
        <f t="shared" si="90"/>
        <v>778</v>
      </c>
      <c r="AF780" s="66">
        <f t="shared" si="89"/>
        <v>1</v>
      </c>
    </row>
    <row r="781" spans="1:32" x14ac:dyDescent="0.3">
      <c r="A781">
        <f t="shared" ca="1" si="84"/>
        <v>0.24651093815751235</v>
      </c>
      <c r="B781">
        <f t="shared" ca="1" si="85"/>
        <v>0</v>
      </c>
      <c r="C781">
        <f ca="1">AVERAGE($B$2:B781)</f>
        <v>2.4358974358974357</v>
      </c>
      <c r="D781">
        <f ca="1">_xlfn.VAR.P($B$2:B781)</f>
        <v>7.6202498356344508</v>
      </c>
      <c r="E781">
        <f t="shared" ca="1" si="86"/>
        <v>0.96938932341922424</v>
      </c>
      <c r="F781">
        <f t="shared" ca="1" si="87"/>
        <v>9</v>
      </c>
      <c r="G781">
        <f t="shared" ca="1" si="88"/>
        <v>-9</v>
      </c>
      <c r="H781">
        <f ca="1">AVERAGE($G$2:G781)</f>
        <v>0.1423076923076923</v>
      </c>
      <c r="I781">
        <f ca="1">_xlfn.VAR.P($G$2:G781)</f>
        <v>16.068210059171598</v>
      </c>
      <c r="AE781">
        <f t="shared" si="90"/>
        <v>779</v>
      </c>
      <c r="AF781" s="66">
        <f t="shared" si="89"/>
        <v>1</v>
      </c>
    </row>
    <row r="782" spans="1:32" x14ac:dyDescent="0.3">
      <c r="A782">
        <f t="shared" ca="1" si="84"/>
        <v>0.6375346724336407</v>
      </c>
      <c r="B782">
        <f t="shared" ca="1" si="85"/>
        <v>2</v>
      </c>
      <c r="C782">
        <f ca="1">AVERAGE($B$2:B782)</f>
        <v>2.4353393085787451</v>
      </c>
      <c r="D782">
        <f ca="1">_xlfn.VAR.P($B$2:B782)</f>
        <v>7.6107357683524031</v>
      </c>
      <c r="E782">
        <f t="shared" ca="1" si="86"/>
        <v>0.89081658443234113</v>
      </c>
      <c r="F782">
        <f t="shared" ca="1" si="87"/>
        <v>6</v>
      </c>
      <c r="G782">
        <f t="shared" ca="1" si="88"/>
        <v>-4</v>
      </c>
      <c r="H782">
        <f ca="1">AVERAGE($G$2:G782)</f>
        <v>0.13700384122919335</v>
      </c>
      <c r="I782">
        <f ca="1">_xlfn.VAR.P($G$2:G782)</f>
        <v>16.069578218935309</v>
      </c>
      <c r="AE782">
        <f t="shared" si="90"/>
        <v>780</v>
      </c>
      <c r="AF782" s="66">
        <f t="shared" si="89"/>
        <v>1</v>
      </c>
    </row>
    <row r="783" spans="1:32" x14ac:dyDescent="0.3">
      <c r="A783">
        <f t="shared" ca="1" si="84"/>
        <v>0.94157752307324005</v>
      </c>
      <c r="B783">
        <f t="shared" ca="1" si="85"/>
        <v>7</v>
      </c>
      <c r="C783">
        <f ca="1">AVERAGE($B$2:B783)</f>
        <v>2.4411764705882355</v>
      </c>
      <c r="D783">
        <f ca="1">_xlfn.VAR.P($B$2:B783)</f>
        <v>7.6276139611854976</v>
      </c>
      <c r="E783">
        <f t="shared" ca="1" si="86"/>
        <v>8.4183365903364948E-2</v>
      </c>
      <c r="F783">
        <f t="shared" ca="1" si="87"/>
        <v>0</v>
      </c>
      <c r="G783">
        <f t="shared" ca="1" si="88"/>
        <v>7</v>
      </c>
      <c r="H783">
        <f ca="1">AVERAGE($G$2:G783)</f>
        <v>0.14578005115089515</v>
      </c>
      <c r="I783">
        <f ca="1">_xlfn.VAR.P($G$2:G783)</f>
        <v>16.109182959295136</v>
      </c>
      <c r="AE783">
        <f t="shared" si="90"/>
        <v>781</v>
      </c>
      <c r="AF783" s="66">
        <f t="shared" si="89"/>
        <v>1</v>
      </c>
    </row>
    <row r="784" spans="1:32" x14ac:dyDescent="0.3">
      <c r="A784">
        <f t="shared" ca="1" si="84"/>
        <v>0.99522350651054736</v>
      </c>
      <c r="B784">
        <f t="shared" ca="1" si="85"/>
        <v>14</v>
      </c>
      <c r="C784">
        <f ca="1">AVERAGE($B$2:B784)</f>
        <v>2.4559386973180075</v>
      </c>
      <c r="D784">
        <f ca="1">_xlfn.VAR.P($B$2:B784)</f>
        <v>7.7882884866634372</v>
      </c>
      <c r="E784">
        <f t="shared" ca="1" si="86"/>
        <v>0.82531952479460968</v>
      </c>
      <c r="F784">
        <f t="shared" ca="1" si="87"/>
        <v>4</v>
      </c>
      <c r="G784">
        <f t="shared" ca="1" si="88"/>
        <v>10</v>
      </c>
      <c r="H784">
        <f ca="1">AVERAGE($G$2:G784)</f>
        <v>0.15836526181353769</v>
      </c>
      <c r="I784">
        <f ca="1">_xlfn.VAR.P($G$2:G784)</f>
        <v>16.212468336571035</v>
      </c>
      <c r="AE784">
        <f t="shared" si="90"/>
        <v>782</v>
      </c>
      <c r="AF784" s="66">
        <f t="shared" si="89"/>
        <v>1</v>
      </c>
    </row>
    <row r="785" spans="1:32" x14ac:dyDescent="0.3">
      <c r="A785">
        <f t="shared" ca="1" si="84"/>
        <v>0.16572766418579177</v>
      </c>
      <c r="B785">
        <f t="shared" ca="1" si="85"/>
        <v>0</v>
      </c>
      <c r="C785">
        <f ca="1">AVERAGE($B$2:B785)</f>
        <v>2.4528061224489797</v>
      </c>
      <c r="D785">
        <f ca="1">_xlfn.VAR.P($B$2:B785)</f>
        <v>7.7860380440441483</v>
      </c>
      <c r="E785">
        <f t="shared" ca="1" si="86"/>
        <v>0.94077183484070592</v>
      </c>
      <c r="F785">
        <f t="shared" ca="1" si="87"/>
        <v>7</v>
      </c>
      <c r="G785">
        <f t="shared" ca="1" si="88"/>
        <v>-7</v>
      </c>
      <c r="H785">
        <f ca="1">AVERAGE($G$2:G785)</f>
        <v>0.14923469387755103</v>
      </c>
      <c r="I785">
        <f ca="1">_xlfn.VAR.P($G$2:G785)</f>
        <v>16.257065740837152</v>
      </c>
      <c r="AE785">
        <f t="shared" si="90"/>
        <v>783</v>
      </c>
      <c r="AF785" s="66">
        <f t="shared" si="89"/>
        <v>1</v>
      </c>
    </row>
    <row r="786" spans="1:32" x14ac:dyDescent="0.3">
      <c r="A786">
        <f t="shared" ca="1" si="84"/>
        <v>0.82266421175158577</v>
      </c>
      <c r="B786">
        <f t="shared" ca="1" si="85"/>
        <v>4</v>
      </c>
      <c r="C786">
        <f ca="1">AVERAGE($B$2:B786)</f>
        <v>2.4547770700636944</v>
      </c>
      <c r="D786">
        <f ca="1">_xlfn.VAR.P($B$2:B786)</f>
        <v>7.7791650776907781</v>
      </c>
      <c r="E786">
        <f t="shared" ca="1" si="86"/>
        <v>0.45084605579102444</v>
      </c>
      <c r="F786">
        <f t="shared" ca="1" si="87"/>
        <v>1</v>
      </c>
      <c r="G786">
        <f t="shared" ca="1" si="88"/>
        <v>3</v>
      </c>
      <c r="H786">
        <f ca="1">AVERAGE($G$2:G786)</f>
        <v>0.15286624203821655</v>
      </c>
      <c r="I786">
        <f ca="1">_xlfn.VAR.P($G$2:G786)</f>
        <v>16.246695606312628</v>
      </c>
      <c r="AE786">
        <f t="shared" si="90"/>
        <v>784</v>
      </c>
      <c r="AF786" s="66">
        <f t="shared" si="89"/>
        <v>1</v>
      </c>
    </row>
    <row r="787" spans="1:32" x14ac:dyDescent="0.3">
      <c r="A787">
        <f t="shared" ca="1" si="84"/>
        <v>0.66731204191250704</v>
      </c>
      <c r="B787">
        <f t="shared" ca="1" si="85"/>
        <v>3</v>
      </c>
      <c r="C787">
        <f ca="1">AVERAGE($B$2:B787)</f>
        <v>2.4554707379134859</v>
      </c>
      <c r="D787">
        <f ca="1">_xlfn.VAR.P($B$2:B787)</f>
        <v>7.7696456435457657</v>
      </c>
      <c r="E787">
        <f t="shared" ca="1" si="86"/>
        <v>0.64127456994237531</v>
      </c>
      <c r="F787">
        <f t="shared" ca="1" si="87"/>
        <v>2</v>
      </c>
      <c r="G787">
        <f t="shared" ca="1" si="88"/>
        <v>1</v>
      </c>
      <c r="H787">
        <f ca="1">AVERAGE($G$2:G787)</f>
        <v>0.15394402035623408</v>
      </c>
      <c r="I787">
        <f ca="1">_xlfn.VAR.P($G$2:G787)</f>
        <v>16.226937370912083</v>
      </c>
      <c r="AE787">
        <f t="shared" si="90"/>
        <v>785</v>
      </c>
      <c r="AF787" s="66">
        <f t="shared" si="89"/>
        <v>1</v>
      </c>
    </row>
    <row r="788" spans="1:32" x14ac:dyDescent="0.3">
      <c r="A788">
        <f t="shared" ca="1" si="84"/>
        <v>0.28092579222568281</v>
      </c>
      <c r="B788">
        <f t="shared" ca="1" si="85"/>
        <v>0</v>
      </c>
      <c r="C788">
        <f ca="1">AVERAGE($B$2:B788)</f>
        <v>2.4523506988564168</v>
      </c>
      <c r="D788">
        <f ca="1">_xlfn.VAR.P($B$2:B788)</f>
        <v>7.7674245885732089</v>
      </c>
      <c r="E788">
        <f t="shared" ca="1" si="86"/>
        <v>0.74506125264537515</v>
      </c>
      <c r="F788">
        <f t="shared" ca="1" si="87"/>
        <v>3</v>
      </c>
      <c r="G788">
        <f t="shared" ca="1" si="88"/>
        <v>-3</v>
      </c>
      <c r="H788">
        <f ca="1">AVERAGE($G$2:G788)</f>
        <v>0.14993646759847523</v>
      </c>
      <c r="I788">
        <f ca="1">_xlfn.VAR.P($G$2:G788)</f>
        <v>16.218942181478248</v>
      </c>
      <c r="AE788">
        <f t="shared" si="90"/>
        <v>786</v>
      </c>
      <c r="AF788" s="66">
        <f t="shared" si="89"/>
        <v>1</v>
      </c>
    </row>
    <row r="789" spans="1:32" x14ac:dyDescent="0.3">
      <c r="A789">
        <f t="shared" ca="1" si="84"/>
        <v>0.78427341655438987</v>
      </c>
      <c r="B789">
        <f t="shared" ca="1" si="85"/>
        <v>4</v>
      </c>
      <c r="C789">
        <f ca="1">AVERAGE($B$2:B789)</f>
        <v>2.4543147208121829</v>
      </c>
      <c r="D789">
        <f ca="1">_xlfn.VAR.P($B$2:B789)</f>
        <v>7.7606032105954803</v>
      </c>
      <c r="E789">
        <f t="shared" ca="1" si="86"/>
        <v>0.19930794124510465</v>
      </c>
      <c r="F789">
        <f t="shared" ca="1" si="87"/>
        <v>0</v>
      </c>
      <c r="G789">
        <f t="shared" ca="1" si="88"/>
        <v>4</v>
      </c>
      <c r="H789">
        <f ca="1">AVERAGE($G$2:G789)</f>
        <v>0.1548223350253807</v>
      </c>
      <c r="I789">
        <f ca="1">_xlfn.VAR.P($G$2:G789)</f>
        <v>16.217146795846325</v>
      </c>
      <c r="AE789">
        <f t="shared" si="90"/>
        <v>787</v>
      </c>
      <c r="AF789" s="66">
        <f t="shared" si="89"/>
        <v>1</v>
      </c>
    </row>
    <row r="790" spans="1:32" x14ac:dyDescent="0.3">
      <c r="A790">
        <f t="shared" ca="1" si="84"/>
        <v>0.45022054630074804</v>
      </c>
      <c r="B790">
        <f t="shared" ca="1" si="85"/>
        <v>1</v>
      </c>
      <c r="C790">
        <f ca="1">AVERAGE($B$2:B790)</f>
        <v>2.452471482889734</v>
      </c>
      <c r="D790">
        <f ca="1">_xlfn.VAR.P($B$2:B790)</f>
        <v>7.7534444621145306</v>
      </c>
      <c r="E790">
        <f t="shared" ca="1" si="86"/>
        <v>0.78017552410056834</v>
      </c>
      <c r="F790">
        <f t="shared" ca="1" si="87"/>
        <v>4</v>
      </c>
      <c r="G790">
        <f t="shared" ca="1" si="88"/>
        <v>-3</v>
      </c>
      <c r="H790">
        <f ca="1">AVERAGE($G$2:G790)</f>
        <v>0.15082382762991128</v>
      </c>
      <c r="I790">
        <f ca="1">_xlfn.VAR.P($G$2:G790)</f>
        <v>16.209191336517161</v>
      </c>
      <c r="AE790">
        <f t="shared" si="90"/>
        <v>788</v>
      </c>
      <c r="AF790" s="66">
        <f t="shared" si="89"/>
        <v>1</v>
      </c>
    </row>
    <row r="791" spans="1:32" x14ac:dyDescent="0.3">
      <c r="A791">
        <f t="shared" ca="1" si="84"/>
        <v>0.91593597973040008</v>
      </c>
      <c r="B791">
        <f t="shared" ca="1" si="85"/>
        <v>6</v>
      </c>
      <c r="C791">
        <f ca="1">AVERAGE($B$2:B791)</f>
        <v>2.4569620253164559</v>
      </c>
      <c r="D791">
        <f ca="1">_xlfn.VAR.P($B$2:B791)</f>
        <v>7.7595401377984299</v>
      </c>
      <c r="E791">
        <f t="shared" ca="1" si="86"/>
        <v>0.68029102676754472</v>
      </c>
      <c r="F791">
        <f t="shared" ca="1" si="87"/>
        <v>3</v>
      </c>
      <c r="G791">
        <f t="shared" ca="1" si="88"/>
        <v>3</v>
      </c>
      <c r="H791">
        <f ca="1">AVERAGE($G$2:G791)</f>
        <v>0.15443037974683543</v>
      </c>
      <c r="I791">
        <f ca="1">_xlfn.VAR.P($G$2:G791)</f>
        <v>16.198936067937829</v>
      </c>
      <c r="AE791">
        <f t="shared" si="90"/>
        <v>789</v>
      </c>
      <c r="AF791" s="66">
        <f t="shared" si="89"/>
        <v>1</v>
      </c>
    </row>
    <row r="792" spans="1:32" x14ac:dyDescent="0.3">
      <c r="A792">
        <f t="shared" ca="1" si="84"/>
        <v>0.58508998484987029</v>
      </c>
      <c r="B792">
        <f t="shared" ca="1" si="85"/>
        <v>2</v>
      </c>
      <c r="C792">
        <f ca="1">AVERAGE($B$2:B792)</f>
        <v>2.4563843236409606</v>
      </c>
      <c r="D792">
        <f ca="1">_xlfn.VAR.P($B$2:B792)</f>
        <v>7.7499940065304846</v>
      </c>
      <c r="E792">
        <f t="shared" ca="1" si="86"/>
        <v>0.84188998323815578</v>
      </c>
      <c r="F792">
        <f t="shared" ca="1" si="87"/>
        <v>5</v>
      </c>
      <c r="G792">
        <f t="shared" ca="1" si="88"/>
        <v>-3</v>
      </c>
      <c r="H792">
        <f ca="1">AVERAGE($G$2:G792)</f>
        <v>0.15044247787610621</v>
      </c>
      <c r="I792">
        <f ca="1">_xlfn.VAR.P($G$2:G792)</f>
        <v>16.191020663884633</v>
      </c>
      <c r="AE792">
        <f t="shared" si="90"/>
        <v>790</v>
      </c>
      <c r="AF792" s="66">
        <f t="shared" si="89"/>
        <v>1</v>
      </c>
    </row>
    <row r="793" spans="1:32" x14ac:dyDescent="0.3">
      <c r="A793">
        <f t="shared" ca="1" si="84"/>
        <v>0.88155178309311255</v>
      </c>
      <c r="B793">
        <f t="shared" ca="1" si="85"/>
        <v>5</v>
      </c>
      <c r="C793">
        <f ca="1">AVERAGE($B$2:B793)</f>
        <v>2.4595959595959598</v>
      </c>
      <c r="D793">
        <f ca="1">_xlfn.VAR.P($B$2:B793)</f>
        <v>7.7483675135190291</v>
      </c>
      <c r="E793">
        <f t="shared" ca="1" si="86"/>
        <v>0.18211273266691319</v>
      </c>
      <c r="F793">
        <f t="shared" ca="1" si="87"/>
        <v>0</v>
      </c>
      <c r="G793">
        <f t="shared" ca="1" si="88"/>
        <v>5</v>
      </c>
      <c r="H793">
        <f ca="1">AVERAGE($G$2:G793)</f>
        <v>0.15656565656565657</v>
      </c>
      <c r="I793">
        <f ca="1">_xlfn.VAR.P($G$2:G793)</f>
        <v>16.200234669931639</v>
      </c>
      <c r="AE793">
        <f t="shared" si="90"/>
        <v>791</v>
      </c>
      <c r="AF793" s="66">
        <f t="shared" si="89"/>
        <v>1</v>
      </c>
    </row>
    <row r="794" spans="1:32" x14ac:dyDescent="0.3">
      <c r="A794">
        <f t="shared" ca="1" si="84"/>
        <v>0.92311704773145975</v>
      </c>
      <c r="B794">
        <f t="shared" ca="1" si="85"/>
        <v>7</v>
      </c>
      <c r="C794">
        <f ca="1">AVERAGE($B$2:B794)</f>
        <v>2.4653215636822194</v>
      </c>
      <c r="D794">
        <f ca="1">_xlfn.VAR.P($B$2:B794)</f>
        <v>7.764560331653545</v>
      </c>
      <c r="E794">
        <f t="shared" ca="1" si="86"/>
        <v>0.31695116698788572</v>
      </c>
      <c r="F794">
        <f t="shared" ca="1" si="87"/>
        <v>1</v>
      </c>
      <c r="G794">
        <f t="shared" ca="1" si="88"/>
        <v>6</v>
      </c>
      <c r="H794">
        <f ca="1">AVERAGE($G$2:G794)</f>
        <v>0.16393442622950818</v>
      </c>
      <c r="I794">
        <f ca="1">_xlfn.VAR.P($G$2:G794)</f>
        <v>16.222810245384821</v>
      </c>
      <c r="AE794">
        <f t="shared" si="90"/>
        <v>792</v>
      </c>
      <c r="AF794" s="66">
        <f t="shared" si="89"/>
        <v>1</v>
      </c>
    </row>
    <row r="795" spans="1:32" x14ac:dyDescent="0.3">
      <c r="A795">
        <f t="shared" ca="1" si="84"/>
        <v>0.37552252977986478</v>
      </c>
      <c r="B795">
        <f t="shared" ca="1" si="85"/>
        <v>1</v>
      </c>
      <c r="C795">
        <f ca="1">AVERAGE($B$2:B795)</f>
        <v>2.4634760705289671</v>
      </c>
      <c r="D795">
        <f ca="1">_xlfn.VAR.P($B$2:B795)</f>
        <v>7.757482123482796</v>
      </c>
      <c r="E795">
        <f t="shared" ca="1" si="86"/>
        <v>0.9224393801122609</v>
      </c>
      <c r="F795">
        <f t="shared" ca="1" si="87"/>
        <v>7</v>
      </c>
      <c r="G795">
        <f t="shared" ca="1" si="88"/>
        <v>-6</v>
      </c>
      <c r="H795">
        <f ca="1">AVERAGE($G$2:G795)</f>
        <v>0.15617128463476071</v>
      </c>
      <c r="I795">
        <f ca="1">_xlfn.VAR.P($G$2:G795)</f>
        <v>16.250169723810188</v>
      </c>
      <c r="AE795">
        <f t="shared" si="90"/>
        <v>793</v>
      </c>
      <c r="AF795" s="66">
        <f t="shared" si="89"/>
        <v>1</v>
      </c>
    </row>
    <row r="796" spans="1:32" x14ac:dyDescent="0.3">
      <c r="A796">
        <f t="shared" ca="1" si="84"/>
        <v>0.80354390100306183</v>
      </c>
      <c r="B796">
        <f t="shared" ca="1" si="85"/>
        <v>4</v>
      </c>
      <c r="C796">
        <f ca="1">AVERAGE($B$2:B796)</f>
        <v>2.4654088050314464</v>
      </c>
      <c r="D796">
        <f ca="1">_xlfn.VAR.P($B$2:B796)</f>
        <v>7.7506902416834773</v>
      </c>
      <c r="E796">
        <f t="shared" ca="1" si="86"/>
        <v>0.60338816486081115</v>
      </c>
      <c r="F796">
        <f t="shared" ca="1" si="87"/>
        <v>2</v>
      </c>
      <c r="G796">
        <f t="shared" ca="1" si="88"/>
        <v>2</v>
      </c>
      <c r="H796">
        <f ca="1">AVERAGE($G$2:G796)</f>
        <v>0.15849056603773584</v>
      </c>
      <c r="I796">
        <f ca="1">_xlfn.VAR.P($G$2:G796)</f>
        <v>16.234000237332385</v>
      </c>
      <c r="AE796">
        <f t="shared" si="90"/>
        <v>794</v>
      </c>
      <c r="AF796" s="66">
        <f t="shared" si="89"/>
        <v>1</v>
      </c>
    </row>
    <row r="797" spans="1:32" x14ac:dyDescent="0.3">
      <c r="A797">
        <f t="shared" ca="1" si="84"/>
        <v>0.85898179394714436</v>
      </c>
      <c r="B797">
        <f t="shared" ca="1" si="85"/>
        <v>5</v>
      </c>
      <c r="C797">
        <f ca="1">AVERAGE($B$2:B797)</f>
        <v>2.4685929648241207</v>
      </c>
      <c r="D797">
        <f ca="1">_xlfn.VAR.P($B$2:B797)</f>
        <v>7.7490135981414614</v>
      </c>
      <c r="E797">
        <f t="shared" ca="1" si="86"/>
        <v>0.73093119147195229</v>
      </c>
      <c r="F797">
        <f t="shared" ca="1" si="87"/>
        <v>3</v>
      </c>
      <c r="G797">
        <f t="shared" ca="1" si="88"/>
        <v>2</v>
      </c>
      <c r="H797">
        <f ca="1">AVERAGE($G$2:G797)</f>
        <v>0.16080402010050251</v>
      </c>
      <c r="I797">
        <f ca="1">_xlfn.VAR.P($G$2:G797)</f>
        <v>16.217860660084341</v>
      </c>
      <c r="AE797">
        <f t="shared" si="90"/>
        <v>795</v>
      </c>
      <c r="AF797" s="66">
        <f t="shared" si="89"/>
        <v>1</v>
      </c>
    </row>
    <row r="798" spans="1:32" x14ac:dyDescent="0.3">
      <c r="A798">
        <f t="shared" ca="1" si="84"/>
        <v>0.89036820856598575</v>
      </c>
      <c r="B798">
        <f t="shared" ca="1" si="85"/>
        <v>6</v>
      </c>
      <c r="C798">
        <f ca="1">AVERAGE($B$2:B798)</f>
        <v>2.4730238393977415</v>
      </c>
      <c r="D798">
        <f ca="1">_xlfn.VAR.P($B$2:B798)</f>
        <v>7.7549184599084713</v>
      </c>
      <c r="E798">
        <f t="shared" ca="1" si="86"/>
        <v>0.56714402255127594</v>
      </c>
      <c r="F798">
        <f t="shared" ca="1" si="87"/>
        <v>2</v>
      </c>
      <c r="G798">
        <f t="shared" ca="1" si="88"/>
        <v>4</v>
      </c>
      <c r="H798">
        <f ca="1">AVERAGE($G$2:G798)</f>
        <v>0.16562107904642409</v>
      </c>
      <c r="I798">
        <f ca="1">_xlfn.VAR.P($G$2:G798)</f>
        <v>16.215982456167971</v>
      </c>
      <c r="AE798">
        <f t="shared" si="90"/>
        <v>796</v>
      </c>
      <c r="AF798" s="66">
        <f t="shared" si="89"/>
        <v>1</v>
      </c>
    </row>
    <row r="799" spans="1:32" x14ac:dyDescent="0.3">
      <c r="A799">
        <f t="shared" ca="1" si="84"/>
        <v>0.90111378796090558</v>
      </c>
      <c r="B799">
        <f t="shared" ca="1" si="85"/>
        <v>6</v>
      </c>
      <c r="C799">
        <f ca="1">AVERAGE($B$2:B799)</f>
        <v>2.4774436090225564</v>
      </c>
      <c r="D799">
        <f ca="1">_xlfn.VAR.P($B$2:B799)</f>
        <v>7.7607694047147948</v>
      </c>
      <c r="E799">
        <f t="shared" ca="1" si="86"/>
        <v>0.71197719366212864</v>
      </c>
      <c r="F799">
        <f t="shared" ca="1" si="87"/>
        <v>3</v>
      </c>
      <c r="G799">
        <f t="shared" ca="1" si="88"/>
        <v>3</v>
      </c>
      <c r="H799">
        <f ca="1">AVERAGE($G$2:G799)</f>
        <v>0.16917293233082706</v>
      </c>
      <c r="I799">
        <f ca="1">_xlfn.VAR.P($G$2:G799)</f>
        <v>16.205716358565589</v>
      </c>
      <c r="AE799">
        <f t="shared" si="90"/>
        <v>797</v>
      </c>
      <c r="AF799" s="66">
        <f t="shared" si="89"/>
        <v>1</v>
      </c>
    </row>
    <row r="800" spans="1:32" x14ac:dyDescent="0.3">
      <c r="A800">
        <f t="shared" ca="1" si="84"/>
        <v>0.53061872361547802</v>
      </c>
      <c r="B800">
        <f t="shared" ca="1" si="85"/>
        <v>2</v>
      </c>
      <c r="C800">
        <f ca="1">AVERAGE($B$2:B800)</f>
        <v>2.4768460575719651</v>
      </c>
      <c r="D800">
        <f ca="1">_xlfn.VAR.P($B$2:B800)</f>
        <v>7.7513412416333933</v>
      </c>
      <c r="E800">
        <f t="shared" ca="1" si="86"/>
        <v>0.39744280157306211</v>
      </c>
      <c r="F800">
        <f t="shared" ca="1" si="87"/>
        <v>1</v>
      </c>
      <c r="G800">
        <f t="shared" ca="1" si="88"/>
        <v>1</v>
      </c>
      <c r="H800">
        <f ca="1">AVERAGE($G$2:G800)</f>
        <v>0.1702127659574468</v>
      </c>
      <c r="I800">
        <f ca="1">_xlfn.VAR.P($G$2:G800)</f>
        <v>16.186296700663064</v>
      </c>
      <c r="AE800">
        <f t="shared" si="90"/>
        <v>798</v>
      </c>
      <c r="AF800" s="66">
        <f t="shared" si="89"/>
        <v>1</v>
      </c>
    </row>
    <row r="801" spans="1:32" x14ac:dyDescent="0.3">
      <c r="A801">
        <f t="shared" ca="1" si="84"/>
        <v>0.80856117308041098</v>
      </c>
      <c r="B801">
        <f t="shared" ca="1" si="85"/>
        <v>4</v>
      </c>
      <c r="C801">
        <f ca="1">AVERAGE($B$2:B801)</f>
        <v>2.4787499999999998</v>
      </c>
      <c r="D801">
        <f ca="1">_xlfn.VAR.P($B$2:B801)</f>
        <v>7.7445484374999998</v>
      </c>
      <c r="E801">
        <f t="shared" ca="1" si="86"/>
        <v>0.12002995869899513</v>
      </c>
      <c r="F801">
        <f t="shared" ca="1" si="87"/>
        <v>0</v>
      </c>
      <c r="G801">
        <f t="shared" ca="1" si="88"/>
        <v>4</v>
      </c>
      <c r="H801">
        <f ca="1">AVERAGE($G$2:G801)</f>
        <v>0.17499999999999999</v>
      </c>
      <c r="I801">
        <f ca="1">_xlfn.VAR.P($G$2:G801)</f>
        <v>16.184374999999999</v>
      </c>
      <c r="AE801">
        <f t="shared" si="90"/>
        <v>799</v>
      </c>
      <c r="AF801" s="66">
        <f t="shared" si="89"/>
        <v>1</v>
      </c>
    </row>
    <row r="802" spans="1:32" x14ac:dyDescent="0.3">
      <c r="A802">
        <f t="shared" ca="1" si="84"/>
        <v>0.23745921081413979</v>
      </c>
      <c r="B802">
        <f t="shared" ca="1" si="85"/>
        <v>0</v>
      </c>
      <c r="C802">
        <f ca="1">AVERAGE($B$2:B802)</f>
        <v>2.4756554307116105</v>
      </c>
      <c r="D802">
        <f ca="1">_xlfn.VAR.P($B$2:B802)</f>
        <v>7.7425409249673862</v>
      </c>
      <c r="E802">
        <f t="shared" ca="1" si="86"/>
        <v>0.50504670788707495</v>
      </c>
      <c r="F802">
        <f t="shared" ca="1" si="87"/>
        <v>1</v>
      </c>
      <c r="G802">
        <f t="shared" ca="1" si="88"/>
        <v>-1</v>
      </c>
      <c r="H802">
        <f ca="1">AVERAGE($G$2:G802)</f>
        <v>0.1735330836454432</v>
      </c>
      <c r="I802">
        <f ca="1">_xlfn.VAR.P($G$2:G802)</f>
        <v>16.165891262638308</v>
      </c>
      <c r="AE802">
        <f t="shared" si="90"/>
        <v>800</v>
      </c>
      <c r="AF802" s="66">
        <f t="shared" si="89"/>
        <v>1</v>
      </c>
    </row>
    <row r="803" spans="1:32" x14ac:dyDescent="0.3">
      <c r="A803">
        <f t="shared" ca="1" si="84"/>
        <v>5.1231070421678182E-2</v>
      </c>
      <c r="B803">
        <f t="shared" ca="1" si="85"/>
        <v>0</v>
      </c>
      <c r="C803">
        <f ca="1">AVERAGE($B$2:B803)</f>
        <v>2.472568578553616</v>
      </c>
      <c r="D803">
        <f ca="1">_xlfn.VAR.P($B$2:B803)</f>
        <v>7.7405193375663091</v>
      </c>
      <c r="E803">
        <f t="shared" ca="1" si="86"/>
        <v>0.41184532912224148</v>
      </c>
      <c r="F803">
        <f t="shared" ca="1" si="87"/>
        <v>1</v>
      </c>
      <c r="G803">
        <f t="shared" ca="1" si="88"/>
        <v>-1</v>
      </c>
      <c r="H803">
        <f ca="1">AVERAGE($G$2:G803)</f>
        <v>0.17206982543640897</v>
      </c>
      <c r="I803">
        <f ca="1">_xlfn.VAR.P($G$2:G803)</f>
        <v>16.147449331782763</v>
      </c>
      <c r="AE803">
        <f t="shared" si="90"/>
        <v>801</v>
      </c>
      <c r="AF803" s="66">
        <f t="shared" si="89"/>
        <v>1</v>
      </c>
    </row>
    <row r="804" spans="1:32" x14ac:dyDescent="0.3">
      <c r="A804">
        <f t="shared" ca="1" si="84"/>
        <v>0.31062455596037941</v>
      </c>
      <c r="B804">
        <f t="shared" ca="1" si="85"/>
        <v>1</v>
      </c>
      <c r="C804">
        <f ca="1">AVERAGE($B$2:B804)</f>
        <v>2.4707347447073476</v>
      </c>
      <c r="D804">
        <f ca="1">_xlfn.VAR.P($B$2:B804)</f>
        <v>7.7335769196769899</v>
      </c>
      <c r="E804">
        <f t="shared" ca="1" si="86"/>
        <v>0.51941698963509675</v>
      </c>
      <c r="F804">
        <f t="shared" ca="1" si="87"/>
        <v>2</v>
      </c>
      <c r="G804">
        <f t="shared" ca="1" si="88"/>
        <v>-1</v>
      </c>
      <c r="H804">
        <f ca="1">AVERAGE($G$2:G804)</f>
        <v>0.17061021170610211</v>
      </c>
      <c r="I804">
        <f ca="1">_xlfn.VAR.P($G$2:G804)</f>
        <v>16.129049067243169</v>
      </c>
      <c r="AE804">
        <f t="shared" si="90"/>
        <v>802</v>
      </c>
      <c r="AF804" s="66">
        <f t="shared" si="89"/>
        <v>1</v>
      </c>
    </row>
    <row r="805" spans="1:32" x14ac:dyDescent="0.3">
      <c r="A805">
        <f t="shared" ca="1" si="84"/>
        <v>0.44419016053462956</v>
      </c>
      <c r="B805">
        <f t="shared" ca="1" si="85"/>
        <v>1</v>
      </c>
      <c r="C805">
        <f ca="1">AVERAGE($B$2:B805)</f>
        <v>2.4689054726368158</v>
      </c>
      <c r="D805">
        <f ca="1">_xlfn.VAR.P($B$2:B805)</f>
        <v>7.7266450706665672</v>
      </c>
      <c r="E805">
        <f t="shared" ca="1" si="86"/>
        <v>0.35357585848391981</v>
      </c>
      <c r="F805">
        <f t="shared" ca="1" si="87"/>
        <v>1</v>
      </c>
      <c r="G805">
        <f t="shared" ca="1" si="88"/>
        <v>0</v>
      </c>
      <c r="H805">
        <f ca="1">AVERAGE($G$2:G805)</f>
        <v>0.17039800995024876</v>
      </c>
      <c r="I805">
        <f ca="1">_xlfn.VAR.P($G$2:G805)</f>
        <v>16.109024219697531</v>
      </c>
      <c r="AE805">
        <f t="shared" si="90"/>
        <v>803</v>
      </c>
      <c r="AF805" s="66">
        <f t="shared" si="89"/>
        <v>1</v>
      </c>
    </row>
    <row r="806" spans="1:32" x14ac:dyDescent="0.3">
      <c r="A806">
        <f t="shared" ca="1" si="84"/>
        <v>6.8056631865030304E-2</v>
      </c>
      <c r="B806">
        <f t="shared" ca="1" si="85"/>
        <v>0</v>
      </c>
      <c r="C806">
        <f ca="1">AVERAGE($B$2:B806)</f>
        <v>2.4658385093167703</v>
      </c>
      <c r="D806">
        <f ca="1">_xlfn.VAR.P($B$2:B806)</f>
        <v>7.7246093900698272</v>
      </c>
      <c r="E806">
        <f t="shared" ca="1" si="86"/>
        <v>0.50172328853608927</v>
      </c>
      <c r="F806">
        <f t="shared" ca="1" si="87"/>
        <v>1</v>
      </c>
      <c r="G806">
        <f t="shared" ca="1" si="88"/>
        <v>-1</v>
      </c>
      <c r="H806">
        <f ca="1">AVERAGE($G$2:G806)</f>
        <v>0.168944099378882</v>
      </c>
      <c r="I806">
        <f ca="1">_xlfn.VAR.P($G$2:G806)</f>
        <v>16.090712549670151</v>
      </c>
      <c r="AE806">
        <f t="shared" si="90"/>
        <v>804</v>
      </c>
      <c r="AF806" s="66">
        <f t="shared" si="89"/>
        <v>1</v>
      </c>
    </row>
    <row r="807" spans="1:32" x14ac:dyDescent="0.3">
      <c r="A807">
        <f t="shared" ca="1" si="84"/>
        <v>0.47057236861916196</v>
      </c>
      <c r="B807">
        <f t="shared" ca="1" si="85"/>
        <v>1</v>
      </c>
      <c r="C807">
        <f ca="1">AVERAGE($B$2:B807)</f>
        <v>2.4640198511166251</v>
      </c>
      <c r="D807">
        <f ca="1">_xlfn.VAR.P($B$2:B807)</f>
        <v>7.7176880591592827</v>
      </c>
      <c r="E807">
        <f t="shared" ca="1" si="86"/>
        <v>0.44986209161932567</v>
      </c>
      <c r="F807">
        <f t="shared" ca="1" si="87"/>
        <v>1</v>
      </c>
      <c r="G807">
        <f t="shared" ca="1" si="88"/>
        <v>0</v>
      </c>
      <c r="H807">
        <f ca="1">AVERAGE($G$2:G807)</f>
        <v>0.16873449131513649</v>
      </c>
      <c r="I807">
        <f ca="1">_xlfn.VAR.P($G$2:G807)</f>
        <v>16.070784254567172</v>
      </c>
      <c r="AE807">
        <f t="shared" si="90"/>
        <v>805</v>
      </c>
      <c r="AF807" s="66">
        <f t="shared" si="89"/>
        <v>1</v>
      </c>
    </row>
    <row r="808" spans="1:32" x14ac:dyDescent="0.3">
      <c r="A808">
        <f t="shared" ca="1" si="84"/>
        <v>0.82512119051767718</v>
      </c>
      <c r="B808">
        <f t="shared" ca="1" si="85"/>
        <v>4</v>
      </c>
      <c r="C808">
        <f ca="1">AVERAGE($B$2:B808)</f>
        <v>2.4659231722428747</v>
      </c>
      <c r="D808">
        <f ca="1">_xlfn.VAR.P($B$2:B808)</f>
        <v>7.7110444699339267</v>
      </c>
      <c r="E808">
        <f t="shared" ca="1" si="86"/>
        <v>0.58309786860346458</v>
      </c>
      <c r="F808">
        <f t="shared" ca="1" si="87"/>
        <v>2</v>
      </c>
      <c r="G808">
        <f t="shared" ca="1" si="88"/>
        <v>2</v>
      </c>
      <c r="H808">
        <f ca="1">AVERAGE($G$2:G808)</f>
        <v>0.17100371747211895</v>
      </c>
      <c r="I808">
        <f ca="1">_xlfn.VAR.P($G$2:G808)</f>
        <v>16.055020429973787</v>
      </c>
      <c r="AE808">
        <f t="shared" si="90"/>
        <v>806</v>
      </c>
      <c r="AF808" s="66">
        <f t="shared" si="89"/>
        <v>1</v>
      </c>
    </row>
    <row r="809" spans="1:32" x14ac:dyDescent="0.3">
      <c r="A809">
        <f t="shared" ca="1" si="84"/>
        <v>0.53091533512597511</v>
      </c>
      <c r="B809">
        <f t="shared" ca="1" si="85"/>
        <v>2</v>
      </c>
      <c r="C809">
        <f ca="1">AVERAGE($B$2:B809)</f>
        <v>2.4653465346534653</v>
      </c>
      <c r="D809">
        <f ca="1">_xlfn.VAR.P($B$2:B809)</f>
        <v>7.7017694343691794</v>
      </c>
      <c r="E809">
        <f t="shared" ca="1" si="86"/>
        <v>0.96004667349469563</v>
      </c>
      <c r="F809">
        <f t="shared" ca="1" si="87"/>
        <v>9</v>
      </c>
      <c r="G809">
        <f t="shared" ca="1" si="88"/>
        <v>-7</v>
      </c>
      <c r="H809">
        <f ca="1">AVERAGE($G$2:G809)</f>
        <v>0.16212871287128713</v>
      </c>
      <c r="I809">
        <f ca="1">_xlfn.VAR.P($G$2:G809)</f>
        <v>16.098714280462701</v>
      </c>
      <c r="AE809">
        <f t="shared" si="90"/>
        <v>807</v>
      </c>
      <c r="AF809" s="66">
        <f t="shared" si="89"/>
        <v>1</v>
      </c>
    </row>
    <row r="810" spans="1:32" x14ac:dyDescent="0.3">
      <c r="A810">
        <f t="shared" ca="1" si="84"/>
        <v>0.83682578658782092</v>
      </c>
      <c r="B810">
        <f t="shared" ca="1" si="85"/>
        <v>5</v>
      </c>
      <c r="C810">
        <f ca="1">AVERAGE($B$2:B810)</f>
        <v>2.4684796044499384</v>
      </c>
      <c r="D810">
        <f ca="1">_xlfn.VAR.P($B$2:B810)</f>
        <v>7.7001807539103506</v>
      </c>
      <c r="E810">
        <f t="shared" ca="1" si="86"/>
        <v>2.0097907165213424E-2</v>
      </c>
      <c r="F810">
        <f t="shared" ca="1" si="87"/>
        <v>0</v>
      </c>
      <c r="G810">
        <f t="shared" ca="1" si="88"/>
        <v>5</v>
      </c>
      <c r="H810">
        <f ca="1">AVERAGE($G$2:G810)</f>
        <v>0.1681087762669963</v>
      </c>
      <c r="I810">
        <f ca="1">_xlfn.VAR.P($G$2:G810)</f>
        <v>16.107709773087379</v>
      </c>
      <c r="AE810">
        <f t="shared" si="90"/>
        <v>808</v>
      </c>
      <c r="AF810" s="66">
        <f t="shared" si="89"/>
        <v>1</v>
      </c>
    </row>
    <row r="811" spans="1:32" x14ac:dyDescent="0.3">
      <c r="A811">
        <f t="shared" ca="1" si="84"/>
        <v>0.46640687868152497</v>
      </c>
      <c r="B811">
        <f t="shared" ca="1" si="85"/>
        <v>1</v>
      </c>
      <c r="C811">
        <f ca="1">AVERAGE($B$2:B811)</f>
        <v>2.4666666666666668</v>
      </c>
      <c r="D811">
        <f ca="1">_xlfn.VAR.P($B$2:B811)</f>
        <v>7.6933333333333334</v>
      </c>
      <c r="E811">
        <f t="shared" ca="1" si="86"/>
        <v>0.40519091318668787</v>
      </c>
      <c r="F811">
        <f t="shared" ca="1" si="87"/>
        <v>1</v>
      </c>
      <c r="G811">
        <f t="shared" ca="1" si="88"/>
        <v>0</v>
      </c>
      <c r="H811">
        <f ca="1">AVERAGE($G$2:G811)</f>
        <v>0.16790123456790124</v>
      </c>
      <c r="I811">
        <f ca="1">_xlfn.VAR.P($G$2:G811)</f>
        <v>16.087858558146625</v>
      </c>
      <c r="AE811">
        <f t="shared" si="90"/>
        <v>809</v>
      </c>
      <c r="AF811" s="66">
        <f t="shared" si="89"/>
        <v>1</v>
      </c>
    </row>
    <row r="812" spans="1:32" x14ac:dyDescent="0.3">
      <c r="A812">
        <f t="shared" ca="1" si="84"/>
        <v>0.33428548975911065</v>
      </c>
      <c r="B812">
        <f t="shared" ca="1" si="85"/>
        <v>1</v>
      </c>
      <c r="C812">
        <f ca="1">AVERAGE($B$2:B812)</f>
        <v>2.4648581997533907</v>
      </c>
      <c r="D812">
        <f ca="1">_xlfn.VAR.P($B$2:B812)</f>
        <v>7.6864962499296814</v>
      </c>
      <c r="E812">
        <f t="shared" ca="1" si="86"/>
        <v>0.93282707038214852</v>
      </c>
      <c r="F812">
        <f t="shared" ca="1" si="87"/>
        <v>7</v>
      </c>
      <c r="G812">
        <f t="shared" ca="1" si="88"/>
        <v>-6</v>
      </c>
      <c r="H812">
        <f ca="1">AVERAGE($G$2:G812)</f>
        <v>0.16029593094944514</v>
      </c>
      <c r="I812">
        <f ca="1">_xlfn.VAR.P($G$2:G812)</f>
        <v>16.114872415507488</v>
      </c>
      <c r="AE812">
        <f t="shared" si="90"/>
        <v>810</v>
      </c>
      <c r="AF812" s="66">
        <f t="shared" si="89"/>
        <v>1</v>
      </c>
    </row>
    <row r="813" spans="1:32" x14ac:dyDescent="0.3">
      <c r="A813">
        <f t="shared" ca="1" si="84"/>
        <v>0.87635978281314331</v>
      </c>
      <c r="B813">
        <f t="shared" ca="1" si="85"/>
        <v>5</v>
      </c>
      <c r="C813">
        <f ca="1">AVERAGE($B$2:B813)</f>
        <v>2.4679802955665027</v>
      </c>
      <c r="D813">
        <f ca="1">_xlfn.VAR.P($B$2:B813)</f>
        <v>7.6849353296609966</v>
      </c>
      <c r="E813">
        <f t="shared" ca="1" si="86"/>
        <v>0.25217971784258875</v>
      </c>
      <c r="F813">
        <f t="shared" ca="1" si="87"/>
        <v>0</v>
      </c>
      <c r="G813">
        <f t="shared" ca="1" si="88"/>
        <v>5</v>
      </c>
      <c r="H813">
        <f ca="1">AVERAGE($G$2:G813)</f>
        <v>0.16625615763546797</v>
      </c>
      <c r="I813">
        <f ca="1">_xlfn.VAR.P($G$2:G813)</f>
        <v>16.123836722560604</v>
      </c>
      <c r="AE813">
        <f t="shared" si="90"/>
        <v>811</v>
      </c>
      <c r="AF813" s="66">
        <f t="shared" si="89"/>
        <v>1</v>
      </c>
    </row>
    <row r="814" spans="1:32" x14ac:dyDescent="0.3">
      <c r="A814">
        <f t="shared" ca="1" si="84"/>
        <v>0.39441601853169461</v>
      </c>
      <c r="B814">
        <f t="shared" ca="1" si="85"/>
        <v>1</v>
      </c>
      <c r="C814">
        <f ca="1">AVERAGE($B$2:B814)</f>
        <v>2.4661746617466176</v>
      </c>
      <c r="D814">
        <f ca="1">_xlfn.VAR.P($B$2:B814)</f>
        <v>7.6781301392349715</v>
      </c>
      <c r="E814">
        <f t="shared" ca="1" si="86"/>
        <v>0.17319284712233407</v>
      </c>
      <c r="F814">
        <f t="shared" ca="1" si="87"/>
        <v>0</v>
      </c>
      <c r="G814">
        <f t="shared" ca="1" si="88"/>
        <v>1</v>
      </c>
      <c r="H814">
        <f ca="1">AVERAGE($G$2:G814)</f>
        <v>0.16728167281672818</v>
      </c>
      <c r="I814">
        <f ca="1">_xlfn.VAR.P($G$2:G814)</f>
        <v>16.104858170352923</v>
      </c>
      <c r="AE814">
        <f t="shared" si="90"/>
        <v>812</v>
      </c>
      <c r="AF814" s="66">
        <f t="shared" si="89"/>
        <v>1</v>
      </c>
    </row>
    <row r="815" spans="1:32" x14ac:dyDescent="0.3">
      <c r="A815">
        <f t="shared" ca="1" si="84"/>
        <v>9.7159499807612848E-2</v>
      </c>
      <c r="B815">
        <f t="shared" ca="1" si="85"/>
        <v>0</v>
      </c>
      <c r="C815">
        <f ca="1">AVERAGE($B$2:B815)</f>
        <v>2.4631449631449631</v>
      </c>
      <c r="D815">
        <f ca="1">_xlfn.VAR.P($B$2:B815)</f>
        <v>7.6761601337768415</v>
      </c>
      <c r="E815">
        <f t="shared" ca="1" si="86"/>
        <v>0.89406226707194736</v>
      </c>
      <c r="F815">
        <f t="shared" ca="1" si="87"/>
        <v>6</v>
      </c>
      <c r="G815">
        <f t="shared" ca="1" si="88"/>
        <v>-6</v>
      </c>
      <c r="H815">
        <f ca="1">AVERAGE($G$2:G815)</f>
        <v>0.15970515970515969</v>
      </c>
      <c r="I815">
        <f ca="1">_xlfn.VAR.P($G$2:G815)</f>
        <v>16.131742419211708</v>
      </c>
      <c r="AE815">
        <f t="shared" si="90"/>
        <v>813</v>
      </c>
      <c r="AF815" s="66">
        <f t="shared" si="89"/>
        <v>1</v>
      </c>
    </row>
    <row r="816" spans="1:32" x14ac:dyDescent="0.3">
      <c r="A816">
        <f t="shared" ca="1" si="84"/>
        <v>0.1993141574111621</v>
      </c>
      <c r="B816">
        <f t="shared" ca="1" si="85"/>
        <v>0</v>
      </c>
      <c r="C816">
        <f ca="1">AVERAGE($B$2:B816)</f>
        <v>2.4601226993865031</v>
      </c>
      <c r="D816">
        <f ca="1">_xlfn.VAR.P($B$2:B816)</f>
        <v>7.6741766720614253</v>
      </c>
      <c r="E816">
        <f t="shared" ca="1" si="86"/>
        <v>0.72917346613654577</v>
      </c>
      <c r="F816">
        <f t="shared" ca="1" si="87"/>
        <v>3</v>
      </c>
      <c r="G816">
        <f t="shared" ca="1" si="88"/>
        <v>-3</v>
      </c>
      <c r="H816">
        <f ca="1">AVERAGE($G$2:G816)</f>
        <v>0.15582822085889569</v>
      </c>
      <c r="I816">
        <f ca="1">_xlfn.VAR.P($G$2:G816)</f>
        <v>16.124183823252665</v>
      </c>
      <c r="AE816">
        <f t="shared" si="90"/>
        <v>814</v>
      </c>
      <c r="AF816" s="66">
        <f t="shared" si="89"/>
        <v>1</v>
      </c>
    </row>
    <row r="817" spans="1:32" x14ac:dyDescent="0.3">
      <c r="A817">
        <f t="shared" ca="1" si="84"/>
        <v>0.46099027874323717</v>
      </c>
      <c r="B817">
        <f t="shared" ca="1" si="85"/>
        <v>1</v>
      </c>
      <c r="C817">
        <f ca="1">AVERAGE($B$2:B817)</f>
        <v>2.4583333333333335</v>
      </c>
      <c r="D817">
        <f ca="1">_xlfn.VAR.P($B$2:B817)</f>
        <v>7.6673815359477127</v>
      </c>
      <c r="E817">
        <f t="shared" ca="1" si="86"/>
        <v>0.96451938614661392</v>
      </c>
      <c r="F817">
        <f t="shared" ca="1" si="87"/>
        <v>9</v>
      </c>
      <c r="G817">
        <f t="shared" ca="1" si="88"/>
        <v>-8</v>
      </c>
      <c r="H817">
        <f ca="1">AVERAGE($G$2:G817)</f>
        <v>0.14583333333333334</v>
      </c>
      <c r="I817">
        <f ca="1">_xlfn.VAR.P($G$2:G817)</f>
        <v>16.185840482026144</v>
      </c>
      <c r="AE817">
        <f t="shared" si="90"/>
        <v>815</v>
      </c>
      <c r="AF817" s="66">
        <f t="shared" si="89"/>
        <v>1</v>
      </c>
    </row>
    <row r="818" spans="1:32" x14ac:dyDescent="0.3">
      <c r="A818">
        <f t="shared" ca="1" si="84"/>
        <v>0.86041460301655337</v>
      </c>
      <c r="B818">
        <f t="shared" ca="1" si="85"/>
        <v>5</v>
      </c>
      <c r="C818">
        <f ca="1">AVERAGE($B$2:B818)</f>
        <v>2.4614443084455324</v>
      </c>
      <c r="D818">
        <f ca="1">_xlfn.VAR.P($B$2:B818)</f>
        <v>7.6658941196034691</v>
      </c>
      <c r="E818">
        <f t="shared" ca="1" si="86"/>
        <v>2.8683978736000482E-3</v>
      </c>
      <c r="F818">
        <f t="shared" ca="1" si="87"/>
        <v>0</v>
      </c>
      <c r="G818">
        <f t="shared" ca="1" si="88"/>
        <v>5</v>
      </c>
      <c r="H818">
        <f ca="1">AVERAGE($G$2:G818)</f>
        <v>0.15177478580171358</v>
      </c>
      <c r="I818">
        <f ca="1">_xlfn.VAR.P($G$2:G818)</f>
        <v>16.194834671432787</v>
      </c>
      <c r="AE818">
        <f t="shared" si="90"/>
        <v>816</v>
      </c>
      <c r="AF818" s="66">
        <f t="shared" si="89"/>
        <v>1</v>
      </c>
    </row>
    <row r="819" spans="1:32" x14ac:dyDescent="0.3">
      <c r="A819">
        <f t="shared" ca="1" si="84"/>
        <v>0.26092751804543268</v>
      </c>
      <c r="B819">
        <f t="shared" ca="1" si="85"/>
        <v>0</v>
      </c>
      <c r="C819">
        <f ca="1">AVERAGE($B$2:B819)</f>
        <v>2.4584352078239609</v>
      </c>
      <c r="D819">
        <f ca="1">_xlfn.VAR.P($B$2:B819)</f>
        <v>7.6639202898117542</v>
      </c>
      <c r="E819">
        <f t="shared" ca="1" si="86"/>
        <v>0.64145497173201205</v>
      </c>
      <c r="F819">
        <f t="shared" ca="1" si="87"/>
        <v>2</v>
      </c>
      <c r="G819">
        <f t="shared" ca="1" si="88"/>
        <v>-2</v>
      </c>
      <c r="H819">
        <f ca="1">AVERAGE($G$2:G819)</f>
        <v>0.1491442542787286</v>
      </c>
      <c r="I819">
        <f ca="1">_xlfn.VAR.P($G$2:G819)</f>
        <v>16.180689976745715</v>
      </c>
      <c r="AE819">
        <f t="shared" si="90"/>
        <v>817</v>
      </c>
      <c r="AF819" s="66">
        <f t="shared" si="89"/>
        <v>1</v>
      </c>
    </row>
    <row r="820" spans="1:32" x14ac:dyDescent="0.3">
      <c r="A820">
        <f t="shared" ca="1" si="84"/>
        <v>0.35085131091155686</v>
      </c>
      <c r="B820">
        <f t="shared" ca="1" si="85"/>
        <v>1</v>
      </c>
      <c r="C820">
        <f ca="1">AVERAGE($B$2:B820)</f>
        <v>2.4566544566544568</v>
      </c>
      <c r="D820">
        <f ca="1">_xlfn.VAR.P($B$2:B820)</f>
        <v>7.6571565729074891</v>
      </c>
      <c r="E820">
        <f t="shared" ca="1" si="86"/>
        <v>0.22429325623106877</v>
      </c>
      <c r="F820">
        <f t="shared" ca="1" si="87"/>
        <v>0</v>
      </c>
      <c r="G820">
        <f t="shared" ca="1" si="88"/>
        <v>1</v>
      </c>
      <c r="H820">
        <f ca="1">AVERAGE($G$2:G820)</f>
        <v>0.15018315018315018</v>
      </c>
      <c r="I820">
        <f ca="1">_xlfn.VAR.P($G$2:G820)</f>
        <v>16.161816205772251</v>
      </c>
      <c r="AE820">
        <f t="shared" si="90"/>
        <v>818</v>
      </c>
      <c r="AF820" s="66">
        <f t="shared" si="89"/>
        <v>1</v>
      </c>
    </row>
    <row r="821" spans="1:32" x14ac:dyDescent="0.3">
      <c r="A821">
        <f t="shared" ca="1" si="84"/>
        <v>0.32803144115983318</v>
      </c>
      <c r="B821">
        <f t="shared" ca="1" si="85"/>
        <v>1</v>
      </c>
      <c r="C821">
        <f ca="1">AVERAGE($B$2:B821)</f>
        <v>2.454878048780488</v>
      </c>
      <c r="D821">
        <f ca="1">_xlfn.VAR.P($B$2:B821)</f>
        <v>7.6504030339083879</v>
      </c>
      <c r="E821">
        <f t="shared" ca="1" si="86"/>
        <v>0.70960366249912887</v>
      </c>
      <c r="F821">
        <f t="shared" ca="1" si="87"/>
        <v>3</v>
      </c>
      <c r="G821">
        <f t="shared" ca="1" si="88"/>
        <v>-2</v>
      </c>
      <c r="H821">
        <f ca="1">AVERAGE($G$2:G821)</f>
        <v>0.14756097560975609</v>
      </c>
      <c r="I821">
        <f ca="1">_xlfn.VAR.P($G$2:G821)</f>
        <v>16.147737953599048</v>
      </c>
      <c r="AE821">
        <f t="shared" si="90"/>
        <v>819</v>
      </c>
      <c r="AF821" s="66">
        <f t="shared" si="89"/>
        <v>1</v>
      </c>
    </row>
    <row r="822" spans="1:32" x14ac:dyDescent="0.3">
      <c r="A822">
        <f t="shared" ca="1" si="84"/>
        <v>0.98642113473216342</v>
      </c>
      <c r="B822">
        <f t="shared" ca="1" si="85"/>
        <v>12</v>
      </c>
      <c r="C822">
        <f ca="1">AVERAGE($B$2:B822)</f>
        <v>2.4665042630937881</v>
      </c>
      <c r="D822">
        <f ca="1">_xlfn.VAR.P($B$2:B822)</f>
        <v>7.7519231026005837</v>
      </c>
      <c r="E822">
        <f t="shared" ca="1" si="86"/>
        <v>0.89687478357365868</v>
      </c>
      <c r="F822">
        <f t="shared" ca="1" si="87"/>
        <v>6</v>
      </c>
      <c r="G822">
        <f t="shared" ca="1" si="88"/>
        <v>6</v>
      </c>
      <c r="H822">
        <f ca="1">AVERAGE($G$2:G822)</f>
        <v>0.15468940316686966</v>
      </c>
      <c r="I822">
        <f ca="1">_xlfn.VAR.P($G$2:G822)</f>
        <v>16.169737449205613</v>
      </c>
      <c r="AE822">
        <f t="shared" si="90"/>
        <v>820</v>
      </c>
      <c r="AF822" s="66">
        <f t="shared" si="89"/>
        <v>1</v>
      </c>
    </row>
    <row r="823" spans="1:32" x14ac:dyDescent="0.3">
      <c r="A823">
        <f t="shared" ca="1" si="84"/>
        <v>0.1591388892251463</v>
      </c>
      <c r="B823">
        <f t="shared" ca="1" si="85"/>
        <v>0</v>
      </c>
      <c r="C823">
        <f ca="1">AVERAGE($B$2:B823)</f>
        <v>2.4635036496350367</v>
      </c>
      <c r="D823">
        <f ca="1">_xlfn.VAR.P($B$2:B823)</f>
        <v>7.7498845614222036</v>
      </c>
      <c r="E823">
        <f t="shared" ca="1" si="86"/>
        <v>0.74337805550819325</v>
      </c>
      <c r="F823">
        <f t="shared" ca="1" si="87"/>
        <v>3</v>
      </c>
      <c r="G823">
        <f t="shared" ca="1" si="88"/>
        <v>-3</v>
      </c>
      <c r="H823">
        <f ca="1">AVERAGE($G$2:G823)</f>
        <v>0.15085158150851583</v>
      </c>
      <c r="I823">
        <f ca="1">_xlfn.VAR.P($G$2:G823)</f>
        <v>16.162158642205529</v>
      </c>
      <c r="AE823">
        <f t="shared" si="90"/>
        <v>821</v>
      </c>
      <c r="AF823" s="66">
        <f t="shared" si="89"/>
        <v>1</v>
      </c>
    </row>
    <row r="824" spans="1:32" x14ac:dyDescent="0.3">
      <c r="A824">
        <f t="shared" ca="1" si="84"/>
        <v>0.19377339864389886</v>
      </c>
      <c r="B824">
        <f t="shared" ca="1" si="85"/>
        <v>0</v>
      </c>
      <c r="C824">
        <f ca="1">AVERAGE($B$2:B824)</f>
        <v>2.4605103280680436</v>
      </c>
      <c r="D824">
        <f ca="1">_xlfn.VAR.P($B$2:B824)</f>
        <v>7.7478330323963691</v>
      </c>
      <c r="E824">
        <f t="shared" ca="1" si="86"/>
        <v>0.55469731750000606</v>
      </c>
      <c r="F824">
        <f t="shared" ca="1" si="87"/>
        <v>2</v>
      </c>
      <c r="G824">
        <f t="shared" ca="1" si="88"/>
        <v>-2</v>
      </c>
      <c r="H824">
        <f ca="1">AVERAGE($G$2:G824)</f>
        <v>0.14823815309842042</v>
      </c>
      <c r="I824">
        <f ca="1">_xlfn.VAR.P($G$2:G824)</f>
        <v>16.148134805980551</v>
      </c>
      <c r="AE824">
        <f t="shared" si="90"/>
        <v>822</v>
      </c>
      <c r="AF824" s="66">
        <f t="shared" si="89"/>
        <v>1</v>
      </c>
    </row>
    <row r="825" spans="1:32" x14ac:dyDescent="0.3">
      <c r="A825">
        <f t="shared" ca="1" si="84"/>
        <v>0.40436777386703981</v>
      </c>
      <c r="B825">
        <f t="shared" ca="1" si="85"/>
        <v>1</v>
      </c>
      <c r="C825">
        <f ca="1">AVERAGE($B$2:B825)</f>
        <v>2.45873786407767</v>
      </c>
      <c r="D825">
        <f ca="1">_xlfn.VAR.P($B$2:B825)</f>
        <v>7.7410158827410687</v>
      </c>
      <c r="E825">
        <f t="shared" ca="1" si="86"/>
        <v>0.7754256821008001</v>
      </c>
      <c r="F825">
        <f t="shared" ca="1" si="87"/>
        <v>4</v>
      </c>
      <c r="G825">
        <f t="shared" ca="1" si="88"/>
        <v>-3</v>
      </c>
      <c r="H825">
        <f ca="1">AVERAGE($G$2:G825)</f>
        <v>0.14441747572815533</v>
      </c>
      <c r="I825">
        <f ca="1">_xlfn.VAR.P($G$2:G825)</f>
        <v>16.140551359694598</v>
      </c>
      <c r="AE825">
        <f t="shared" si="90"/>
        <v>823</v>
      </c>
      <c r="AF825" s="66">
        <f t="shared" si="89"/>
        <v>1</v>
      </c>
    </row>
    <row r="826" spans="1:32" x14ac:dyDescent="0.3">
      <c r="A826">
        <f t="shared" ca="1" si="84"/>
        <v>0.97974754221633897</v>
      </c>
      <c r="B826">
        <f t="shared" ca="1" si="85"/>
        <v>10</v>
      </c>
      <c r="C826">
        <f ca="1">AVERAGE($B$2:B826)</f>
        <v>2.4678787878787878</v>
      </c>
      <c r="D826">
        <f ca="1">_xlfn.VAR.P($B$2:B826)</f>
        <v>7.8004833792470158</v>
      </c>
      <c r="E826">
        <f t="shared" ca="1" si="86"/>
        <v>0.98685490598620451</v>
      </c>
      <c r="F826">
        <f t="shared" ca="1" si="87"/>
        <v>12</v>
      </c>
      <c r="G826">
        <f t="shared" ca="1" si="88"/>
        <v>-2</v>
      </c>
      <c r="H826">
        <f ca="1">AVERAGE($G$2:G826)</f>
        <v>0.14181818181818182</v>
      </c>
      <c r="I826">
        <f ca="1">_xlfn.VAR.P($G$2:G826)</f>
        <v>16.126554269972452</v>
      </c>
      <c r="AE826">
        <f t="shared" si="90"/>
        <v>824</v>
      </c>
      <c r="AF826" s="66">
        <f t="shared" si="89"/>
        <v>1</v>
      </c>
    </row>
    <row r="827" spans="1:32" x14ac:dyDescent="0.3">
      <c r="A827">
        <f t="shared" ca="1" si="84"/>
        <v>0.74141323549150207</v>
      </c>
      <c r="B827">
        <f t="shared" ca="1" si="85"/>
        <v>3</v>
      </c>
      <c r="C827">
        <f ca="1">AVERAGE($B$2:B827)</f>
        <v>2.4685230024213074</v>
      </c>
      <c r="D827">
        <f ca="1">_xlfn.VAR.P($B$2:B827)</f>
        <v>7.7913820799793632</v>
      </c>
      <c r="E827">
        <f t="shared" ca="1" si="86"/>
        <v>0.82838933756621436</v>
      </c>
      <c r="F827">
        <f t="shared" ca="1" si="87"/>
        <v>4</v>
      </c>
      <c r="G827">
        <f t="shared" ca="1" si="88"/>
        <v>-1</v>
      </c>
      <c r="H827">
        <f ca="1">AVERAGE($G$2:G827)</f>
        <v>0.14043583535108958</v>
      </c>
      <c r="I827">
        <f ca="1">_xlfn.VAR.P($G$2:G827)</f>
        <v>16.108607073970067</v>
      </c>
      <c r="AE827">
        <f t="shared" si="90"/>
        <v>825</v>
      </c>
      <c r="AF827" s="66">
        <f t="shared" si="89"/>
        <v>1</v>
      </c>
    </row>
    <row r="828" spans="1:32" x14ac:dyDescent="0.3">
      <c r="A828">
        <f t="shared" ca="1" si="84"/>
        <v>0.24013699294824309</v>
      </c>
      <c r="B828">
        <f t="shared" ca="1" si="85"/>
        <v>0</v>
      </c>
      <c r="C828">
        <f ca="1">AVERAGE($B$2:B828)</f>
        <v>2.4655380894800483</v>
      </c>
      <c r="D828">
        <f ca="1">_xlfn.VAR.P($B$2:B828)</f>
        <v>7.7893202364572929</v>
      </c>
      <c r="E828">
        <f t="shared" ca="1" si="86"/>
        <v>0.84508895968294739</v>
      </c>
      <c r="F828">
        <f t="shared" ca="1" si="87"/>
        <v>5</v>
      </c>
      <c r="G828">
        <f t="shared" ca="1" si="88"/>
        <v>-5</v>
      </c>
      <c r="H828">
        <f ca="1">AVERAGE($G$2:G828)</f>
        <v>0.13422007255139057</v>
      </c>
      <c r="I828">
        <f ca="1">_xlfn.VAR.P($G$2:G828)</f>
        <v>16.121041804046911</v>
      </c>
      <c r="AE828">
        <f t="shared" si="90"/>
        <v>826</v>
      </c>
      <c r="AF828" s="66">
        <f t="shared" si="89"/>
        <v>1</v>
      </c>
    </row>
    <row r="829" spans="1:32" x14ac:dyDescent="0.3">
      <c r="A829">
        <f t="shared" ca="1" si="84"/>
        <v>0.95193086432778984</v>
      </c>
      <c r="B829">
        <f t="shared" ca="1" si="85"/>
        <v>8</v>
      </c>
      <c r="C829">
        <f ca="1">AVERAGE($B$2:B829)</f>
        <v>2.4722222222222223</v>
      </c>
      <c r="D829">
        <f ca="1">_xlfn.VAR.P($B$2:B829)</f>
        <v>7.816861245303274</v>
      </c>
      <c r="E829">
        <f t="shared" ca="1" si="86"/>
        <v>0.95848822645439924</v>
      </c>
      <c r="F829">
        <f t="shared" ca="1" si="87"/>
        <v>8</v>
      </c>
      <c r="G829">
        <f t="shared" ca="1" si="88"/>
        <v>0</v>
      </c>
      <c r="H829">
        <f ca="1">AVERAGE($G$2:G829)</f>
        <v>0.13405797101449277</v>
      </c>
      <c r="I829">
        <f ca="1">_xlfn.VAR.P($G$2:G829)</f>
        <v>16.101593677798782</v>
      </c>
      <c r="AE829">
        <f t="shared" si="90"/>
        <v>827</v>
      </c>
      <c r="AF829" s="66">
        <f t="shared" si="89"/>
        <v>1</v>
      </c>
    </row>
    <row r="830" spans="1:32" x14ac:dyDescent="0.3">
      <c r="A830">
        <f t="shared" ca="1" si="84"/>
        <v>0.34987735762112104</v>
      </c>
      <c r="B830">
        <f t="shared" ca="1" si="85"/>
        <v>1</v>
      </c>
      <c r="C830">
        <f ca="1">AVERAGE($B$2:B830)</f>
        <v>2.4704463208685161</v>
      </c>
      <c r="D830">
        <f ca="1">_xlfn.VAR.P($B$2:B830)</f>
        <v>7.8100433472391781</v>
      </c>
      <c r="E830">
        <f t="shared" ca="1" si="86"/>
        <v>0.61004852297517065</v>
      </c>
      <c r="F830">
        <f t="shared" ca="1" si="87"/>
        <v>2</v>
      </c>
      <c r="G830">
        <f t="shared" ca="1" si="88"/>
        <v>-1</v>
      </c>
      <c r="H830">
        <f ca="1">AVERAGE($G$2:G830)</f>
        <v>0.13268998793727382</v>
      </c>
      <c r="I830">
        <f ca="1">_xlfn.VAR.P($G$2:G830)</f>
        <v>16.083720266980578</v>
      </c>
      <c r="AE830">
        <f t="shared" si="90"/>
        <v>828</v>
      </c>
      <c r="AF830" s="66">
        <f t="shared" si="89"/>
        <v>1</v>
      </c>
    </row>
    <row r="831" spans="1:32" x14ac:dyDescent="0.3">
      <c r="A831">
        <f t="shared" ca="1" si="84"/>
        <v>0.75668004489343166</v>
      </c>
      <c r="B831">
        <f t="shared" ca="1" si="85"/>
        <v>3</v>
      </c>
      <c r="C831">
        <f ca="1">AVERAGE($B$2:B831)</f>
        <v>2.4710843373493976</v>
      </c>
      <c r="D831">
        <f ca="1">_xlfn.VAR.P($B$2:B831)</f>
        <v>7.8009711133691395</v>
      </c>
      <c r="E831">
        <f t="shared" ca="1" si="86"/>
        <v>0.35071561709484433</v>
      </c>
      <c r="F831">
        <f t="shared" ca="1" si="87"/>
        <v>1</v>
      </c>
      <c r="G831">
        <f t="shared" ca="1" si="88"/>
        <v>2</v>
      </c>
      <c r="H831">
        <f ca="1">AVERAGE($G$2:G831)</f>
        <v>0.13493975903614458</v>
      </c>
      <c r="I831">
        <f ca="1">_xlfn.VAR.P($G$2:G831)</f>
        <v>16.068538249383074</v>
      </c>
      <c r="AE831">
        <f t="shared" si="90"/>
        <v>829</v>
      </c>
      <c r="AF831" s="66">
        <f t="shared" si="89"/>
        <v>1</v>
      </c>
    </row>
    <row r="832" spans="1:32" x14ac:dyDescent="0.3">
      <c r="A832">
        <f t="shared" ca="1" si="84"/>
        <v>0.97818538606428873</v>
      </c>
      <c r="B832">
        <f t="shared" ca="1" si="85"/>
        <v>10</v>
      </c>
      <c r="C832">
        <f ca="1">AVERAGE($B$2:B832)</f>
        <v>2.4801444043321301</v>
      </c>
      <c r="D832">
        <f ca="1">_xlfn.VAR.P($B$2:B832)</f>
        <v>7.8597140585697716</v>
      </c>
      <c r="E832">
        <f t="shared" ca="1" si="86"/>
        <v>0.58268036324377481</v>
      </c>
      <c r="F832">
        <f t="shared" ca="1" si="87"/>
        <v>2</v>
      </c>
      <c r="G832">
        <f t="shared" ca="1" si="88"/>
        <v>8</v>
      </c>
      <c r="H832">
        <f ca="1">AVERAGE($G$2:G832)</f>
        <v>0.1444043321299639</v>
      </c>
      <c r="I832">
        <f ca="1">_xlfn.VAR.P($G$2:G832)</f>
        <v>16.123551720992062</v>
      </c>
      <c r="AE832">
        <f t="shared" si="90"/>
        <v>830</v>
      </c>
      <c r="AF832" s="66">
        <f t="shared" si="89"/>
        <v>1</v>
      </c>
    </row>
    <row r="833" spans="1:32" x14ac:dyDescent="0.3">
      <c r="A833">
        <f t="shared" ca="1" si="84"/>
        <v>0.2348954590311717</v>
      </c>
      <c r="B833">
        <f t="shared" ca="1" si="85"/>
        <v>0</v>
      </c>
      <c r="C833">
        <f ca="1">AVERAGE($B$2:B833)</f>
        <v>2.4771634615384617</v>
      </c>
      <c r="D833">
        <f ca="1">_xlfn.VAR.P($B$2:B833)</f>
        <v>7.8576515694341715</v>
      </c>
      <c r="E833">
        <f t="shared" ca="1" si="86"/>
        <v>0.27210068828838196</v>
      </c>
      <c r="F833">
        <f t="shared" ca="1" si="87"/>
        <v>0</v>
      </c>
      <c r="G833">
        <f t="shared" ca="1" si="88"/>
        <v>0</v>
      </c>
      <c r="H833">
        <f ca="1">AVERAGE($G$2:G833)</f>
        <v>0.14423076923076922</v>
      </c>
      <c r="I833">
        <f ca="1">_xlfn.VAR.P($G$2:G833)</f>
        <v>16.104197485207102</v>
      </c>
      <c r="AE833">
        <f t="shared" si="90"/>
        <v>831</v>
      </c>
      <c r="AF833" s="66">
        <f t="shared" si="89"/>
        <v>1</v>
      </c>
    </row>
    <row r="834" spans="1:32" x14ac:dyDescent="0.3">
      <c r="A834">
        <f t="shared" ca="1" si="84"/>
        <v>0.13586120396176904</v>
      </c>
      <c r="B834">
        <f t="shared" ca="1" si="85"/>
        <v>0</v>
      </c>
      <c r="C834">
        <f ca="1">AVERAGE($B$2:B834)</f>
        <v>2.4741896758703481</v>
      </c>
      <c r="D834">
        <f ca="1">_xlfn.VAR.P($B$2:B834)</f>
        <v>7.8555763241671217</v>
      </c>
      <c r="E834">
        <f t="shared" ca="1" si="86"/>
        <v>0.57359656028257167</v>
      </c>
      <c r="F834">
        <f t="shared" ca="1" si="87"/>
        <v>2</v>
      </c>
      <c r="G834">
        <f t="shared" ca="1" si="88"/>
        <v>-2</v>
      </c>
      <c r="H834">
        <f ca="1">AVERAGE($G$2:G834)</f>
        <v>0.14165666266506602</v>
      </c>
      <c r="I834">
        <f ca="1">_xlfn.VAR.P($G$2:G834)</f>
        <v>16.090377567593663</v>
      </c>
      <c r="AE834">
        <f t="shared" si="90"/>
        <v>832</v>
      </c>
      <c r="AF834" s="66">
        <f t="shared" si="89"/>
        <v>1</v>
      </c>
    </row>
    <row r="835" spans="1:32" x14ac:dyDescent="0.3">
      <c r="A835">
        <f t="shared" ref="A835:A898" ca="1" si="91">RAND()</f>
        <v>0.4768888194448484</v>
      </c>
      <c r="B835">
        <f t="shared" ref="B835:B898" ca="1" si="92">LOOKUP(A835,$AF$2:$AF$1002,$AE$2:$AE$1002)</f>
        <v>1</v>
      </c>
      <c r="C835">
        <f ca="1">AVERAGE($B$2:B835)</f>
        <v>2.4724220623501201</v>
      </c>
      <c r="D835">
        <f ca="1">_xlfn.VAR.P($B$2:B835)</f>
        <v>7.8487598410480253</v>
      </c>
      <c r="E835">
        <f t="shared" ref="E835:E898" ca="1" si="93">RAND()</f>
        <v>0.61139711426797583</v>
      </c>
      <c r="F835">
        <f t="shared" ref="F835:F898" ca="1" si="94">LOOKUP(E835,$AF$2:$AF$1002,$AE$2:$AE$1002)</f>
        <v>2</v>
      </c>
      <c r="G835">
        <f t="shared" ref="G835:G898" ca="1" si="95">B835-F835</f>
        <v>-1</v>
      </c>
      <c r="H835">
        <f ca="1">AVERAGE($G$2:G835)</f>
        <v>0.14028776978417265</v>
      </c>
      <c r="I835">
        <f ca="1">_xlfn.VAR.P($G$2:G835)</f>
        <v>16.072645480737712</v>
      </c>
      <c r="AE835">
        <f t="shared" si="90"/>
        <v>833</v>
      </c>
      <c r="AF835" s="66">
        <f t="shared" ref="AF835:AF898" si="96">_xlfn.NEGBINOM.DIST(AE835-1,1,$K$1,TRUE)</f>
        <v>1</v>
      </c>
    </row>
    <row r="836" spans="1:32" x14ac:dyDescent="0.3">
      <c r="A836">
        <f t="shared" ca="1" si="91"/>
        <v>0.65164333988092416</v>
      </c>
      <c r="B836">
        <f t="shared" ca="1" si="92"/>
        <v>2</v>
      </c>
      <c r="C836">
        <f ca="1">AVERAGE($B$2:B836)</f>
        <v>2.4718562874251497</v>
      </c>
      <c r="D836">
        <f ca="1">_xlfn.VAR.P($B$2:B836)</f>
        <v>7.8396270931191507</v>
      </c>
      <c r="E836">
        <f t="shared" ca="1" si="93"/>
        <v>0.754910964414507</v>
      </c>
      <c r="F836">
        <f t="shared" ca="1" si="94"/>
        <v>3</v>
      </c>
      <c r="G836">
        <f t="shared" ca="1" si="95"/>
        <v>-1</v>
      </c>
      <c r="H836">
        <f ca="1">AVERAGE($G$2:G836)</f>
        <v>0.13892215568862276</v>
      </c>
      <c r="I836">
        <f ca="1">_xlfn.VAR.P($G$2:G836)</f>
        <v>16.054952131664812</v>
      </c>
      <c r="AE836">
        <f t="shared" si="90"/>
        <v>834</v>
      </c>
      <c r="AF836" s="66">
        <f t="shared" si="96"/>
        <v>1</v>
      </c>
    </row>
    <row r="837" spans="1:32" x14ac:dyDescent="0.3">
      <c r="A837">
        <f t="shared" ca="1" si="91"/>
        <v>0.65910504282401405</v>
      </c>
      <c r="B837">
        <f t="shared" ca="1" si="92"/>
        <v>3</v>
      </c>
      <c r="C837">
        <f ca="1">AVERAGE($B$2:B837)</f>
        <v>2.4724880382775121</v>
      </c>
      <c r="D837">
        <f ca="1">_xlfn.VAR.P($B$2:B837)</f>
        <v>7.8305828048808408</v>
      </c>
      <c r="E837">
        <f t="shared" ca="1" si="93"/>
        <v>0.76557185136698724</v>
      </c>
      <c r="F837">
        <f t="shared" ca="1" si="94"/>
        <v>4</v>
      </c>
      <c r="G837">
        <f t="shared" ca="1" si="95"/>
        <v>-1</v>
      </c>
      <c r="H837">
        <f ca="1">AVERAGE($G$2:G837)</f>
        <v>0.13755980861244019</v>
      </c>
      <c r="I837">
        <f ca="1">_xlfn.VAR.P($G$2:G837)</f>
        <v>16.03729739474829</v>
      </c>
      <c r="AE837">
        <f t="shared" ref="AE837:AE900" si="97">AE836+1</f>
        <v>835</v>
      </c>
      <c r="AF837" s="66">
        <f t="shared" si="96"/>
        <v>1</v>
      </c>
    </row>
    <row r="838" spans="1:32" x14ac:dyDescent="0.3">
      <c r="A838">
        <f t="shared" ca="1" si="91"/>
        <v>5.7223027866513898E-2</v>
      </c>
      <c r="B838">
        <f t="shared" ca="1" si="92"/>
        <v>0</v>
      </c>
      <c r="C838">
        <f ca="1">AVERAGE($B$2:B838)</f>
        <v>2.4695340501792113</v>
      </c>
      <c r="D838">
        <f ca="1">_xlfn.VAR.P($B$2:B838)</f>
        <v>7.8285222440616131</v>
      </c>
      <c r="E838">
        <f t="shared" ca="1" si="93"/>
        <v>0.67803576077591687</v>
      </c>
      <c r="F838">
        <f t="shared" ca="1" si="94"/>
        <v>3</v>
      </c>
      <c r="G838">
        <f t="shared" ca="1" si="95"/>
        <v>-3</v>
      </c>
      <c r="H838">
        <f ca="1">AVERAGE($G$2:G838)</f>
        <v>0.13381123058542413</v>
      </c>
      <c r="I838">
        <f ca="1">_xlfn.VAR.P($G$2:G838)</f>
        <v>16.029884279778294</v>
      </c>
      <c r="AE838">
        <f t="shared" si="97"/>
        <v>836</v>
      </c>
      <c r="AF838" s="66">
        <f t="shared" si="96"/>
        <v>1</v>
      </c>
    </row>
    <row r="839" spans="1:32" x14ac:dyDescent="0.3">
      <c r="A839">
        <f t="shared" ca="1" si="91"/>
        <v>0.74061568912064291</v>
      </c>
      <c r="B839">
        <f t="shared" ca="1" si="92"/>
        <v>3</v>
      </c>
      <c r="C839">
        <f ca="1">AVERAGE($B$2:B839)</f>
        <v>2.4701670644391407</v>
      </c>
      <c r="D839">
        <f ca="1">_xlfn.VAR.P($B$2:B839)</f>
        <v>7.8195157238794497</v>
      </c>
      <c r="E839">
        <f t="shared" ca="1" si="93"/>
        <v>0.23576314742332971</v>
      </c>
      <c r="F839">
        <f t="shared" ca="1" si="94"/>
        <v>0</v>
      </c>
      <c r="G839">
        <f t="shared" ca="1" si="95"/>
        <v>3</v>
      </c>
      <c r="H839">
        <f ca="1">AVERAGE($G$2:G839)</f>
        <v>0.13723150357995226</v>
      </c>
      <c r="I839">
        <f ca="1">_xlfn.VAR.P($G$2:G839)</f>
        <v>16.020546989365521</v>
      </c>
      <c r="AE839">
        <f t="shared" si="97"/>
        <v>837</v>
      </c>
      <c r="AF839" s="66">
        <f t="shared" si="96"/>
        <v>1</v>
      </c>
    </row>
    <row r="840" spans="1:32" x14ac:dyDescent="0.3">
      <c r="A840">
        <f t="shared" ca="1" si="91"/>
        <v>3.1376604634101191E-2</v>
      </c>
      <c r="B840">
        <f t="shared" ca="1" si="92"/>
        <v>0</v>
      </c>
      <c r="C840">
        <f ca="1">AVERAGE($B$2:B840)</f>
        <v>2.4672228843861741</v>
      </c>
      <c r="D840">
        <f ca="1">_xlfn.VAR.P($B$2:B840)</f>
        <v>7.817459629702765</v>
      </c>
      <c r="E840">
        <f t="shared" ca="1" si="93"/>
        <v>0.48520883339624654</v>
      </c>
      <c r="F840">
        <f t="shared" ca="1" si="94"/>
        <v>1</v>
      </c>
      <c r="G840">
        <f t="shared" ca="1" si="95"/>
        <v>-1</v>
      </c>
      <c r="H840">
        <f ca="1">AVERAGE($G$2:G840)</f>
        <v>0.13587604290822408</v>
      </c>
      <c r="I840">
        <f ca="1">_xlfn.VAR.P($G$2:G840)</f>
        <v>16.002991813001742</v>
      </c>
      <c r="AE840">
        <f t="shared" si="97"/>
        <v>838</v>
      </c>
      <c r="AF840" s="66">
        <f t="shared" si="96"/>
        <v>1</v>
      </c>
    </row>
    <row r="841" spans="1:32" x14ac:dyDescent="0.3">
      <c r="A841">
        <f t="shared" ca="1" si="91"/>
        <v>0.81869449527328486</v>
      </c>
      <c r="B841">
        <f t="shared" ca="1" si="92"/>
        <v>4</v>
      </c>
      <c r="C841">
        <f ca="1">AVERAGE($B$2:B841)</f>
        <v>2.4690476190476192</v>
      </c>
      <c r="D841">
        <f ca="1">_xlfn.VAR.P($B$2:B841)</f>
        <v>7.8109467120181408</v>
      </c>
      <c r="E841">
        <f t="shared" ca="1" si="93"/>
        <v>0.49958059690193857</v>
      </c>
      <c r="F841">
        <f t="shared" ca="1" si="94"/>
        <v>1</v>
      </c>
      <c r="G841">
        <f t="shared" ca="1" si="95"/>
        <v>3</v>
      </c>
      <c r="H841">
        <f ca="1">AVERAGE($G$2:G841)</f>
        <v>0.13928571428571429</v>
      </c>
      <c r="I841">
        <f ca="1">_xlfn.VAR.P($G$2:G841)</f>
        <v>15.993694727891157</v>
      </c>
      <c r="AE841">
        <f t="shared" si="97"/>
        <v>839</v>
      </c>
      <c r="AF841" s="66">
        <f t="shared" si="96"/>
        <v>1</v>
      </c>
    </row>
    <row r="842" spans="1:32" x14ac:dyDescent="0.3">
      <c r="A842">
        <f t="shared" ca="1" si="91"/>
        <v>0.68232359343530535</v>
      </c>
      <c r="B842">
        <f t="shared" ca="1" si="92"/>
        <v>3</v>
      </c>
      <c r="C842">
        <f ca="1">AVERAGE($B$2:B842)</f>
        <v>2.469678953626635</v>
      </c>
      <c r="D842">
        <f ca="1">_xlfn.VAR.P($B$2:B842)</f>
        <v>7.8019938327199512</v>
      </c>
      <c r="E842">
        <f t="shared" ca="1" si="93"/>
        <v>0.80105302076652074</v>
      </c>
      <c r="F842">
        <f t="shared" ca="1" si="94"/>
        <v>4</v>
      </c>
      <c r="G842">
        <f t="shared" ca="1" si="95"/>
        <v>-1</v>
      </c>
      <c r="H842">
        <f ca="1">AVERAGE($G$2:G842)</f>
        <v>0.13793103448275862</v>
      </c>
      <c r="I842">
        <f ca="1">_xlfn.VAR.P($G$2:G842)</f>
        <v>15.976218787158144</v>
      </c>
      <c r="AE842">
        <f t="shared" si="97"/>
        <v>840</v>
      </c>
      <c r="AF842" s="66">
        <f t="shared" si="96"/>
        <v>1</v>
      </c>
    </row>
    <row r="843" spans="1:32" x14ac:dyDescent="0.3">
      <c r="A843">
        <f t="shared" ca="1" si="91"/>
        <v>0.4137964708827383</v>
      </c>
      <c r="B843">
        <f t="shared" ca="1" si="92"/>
        <v>1</v>
      </c>
      <c r="C843">
        <f ca="1">AVERAGE($B$2:B843)</f>
        <v>2.4679334916864608</v>
      </c>
      <c r="D843">
        <f ca="1">_xlfn.VAR.P($B$2:B843)</f>
        <v>7.7952900288308014</v>
      </c>
      <c r="E843">
        <f t="shared" ca="1" si="93"/>
        <v>0.94720438994282086</v>
      </c>
      <c r="F843">
        <f t="shared" ca="1" si="94"/>
        <v>8</v>
      </c>
      <c r="G843">
        <f t="shared" ca="1" si="95"/>
        <v>-7</v>
      </c>
      <c r="H843">
        <f ca="1">AVERAGE($G$2:G843)</f>
        <v>0.12945368171021376</v>
      </c>
      <c r="I843">
        <f ca="1">_xlfn.VAR.P($G$2:G843)</f>
        <v>16.017683549517322</v>
      </c>
      <c r="AE843">
        <f t="shared" si="97"/>
        <v>841</v>
      </c>
      <c r="AF843" s="66">
        <f t="shared" si="96"/>
        <v>1</v>
      </c>
    </row>
    <row r="844" spans="1:32" x14ac:dyDescent="0.3">
      <c r="A844">
        <f t="shared" ca="1" si="91"/>
        <v>0.11299381711580847</v>
      </c>
      <c r="B844">
        <f t="shared" ca="1" si="92"/>
        <v>0</v>
      </c>
      <c r="C844">
        <f ca="1">AVERAGE($B$2:B844)</f>
        <v>2.4650059311981019</v>
      </c>
      <c r="D844">
        <f ca="1">_xlfn.VAR.P($B$2:B844)</f>
        <v>7.7932594009138123</v>
      </c>
      <c r="E844">
        <f t="shared" ca="1" si="93"/>
        <v>0.19806201262769907</v>
      </c>
      <c r="F844">
        <f t="shared" ca="1" si="94"/>
        <v>0</v>
      </c>
      <c r="G844">
        <f t="shared" ca="1" si="95"/>
        <v>0</v>
      </c>
      <c r="H844">
        <f ca="1">AVERAGE($G$2:G844)</f>
        <v>0.12930011862396204</v>
      </c>
      <c r="I844">
        <f ca="1">_xlfn.VAR.P($G$2:G844)</f>
        <v>15.998702594389073</v>
      </c>
      <c r="AE844">
        <f t="shared" si="97"/>
        <v>842</v>
      </c>
      <c r="AF844" s="66">
        <f t="shared" si="96"/>
        <v>1</v>
      </c>
    </row>
    <row r="845" spans="1:32" x14ac:dyDescent="0.3">
      <c r="A845">
        <f t="shared" ca="1" si="91"/>
        <v>0.31007854626253051</v>
      </c>
      <c r="B845">
        <f t="shared" ca="1" si="92"/>
        <v>1</v>
      </c>
      <c r="C845">
        <f ca="1">AVERAGE($B$2:B845)</f>
        <v>2.4632701421800949</v>
      </c>
      <c r="D845">
        <f ca="1">_xlfn.VAR.P($B$2:B845)</f>
        <v>7.7865656094876572</v>
      </c>
      <c r="E845">
        <f t="shared" ca="1" si="93"/>
        <v>0.96891906184432597</v>
      </c>
      <c r="F845">
        <f t="shared" ca="1" si="94"/>
        <v>9</v>
      </c>
      <c r="G845">
        <f t="shared" ca="1" si="95"/>
        <v>-8</v>
      </c>
      <c r="H845">
        <f ca="1">AVERAGE($G$2:G845)</f>
        <v>0.11966824644549763</v>
      </c>
      <c r="I845">
        <f ca="1">_xlfn.VAR.P($G$2:G845)</f>
        <v>16.057954392309249</v>
      </c>
      <c r="AE845">
        <f t="shared" si="97"/>
        <v>843</v>
      </c>
      <c r="AF845" s="66">
        <f t="shared" si="96"/>
        <v>1</v>
      </c>
    </row>
    <row r="846" spans="1:32" x14ac:dyDescent="0.3">
      <c r="A846">
        <f t="shared" ca="1" si="91"/>
        <v>0.7737847356461357</v>
      </c>
      <c r="B846">
        <f t="shared" ca="1" si="92"/>
        <v>4</v>
      </c>
      <c r="C846">
        <f ca="1">AVERAGE($B$2:B846)</f>
        <v>2.4650887573964497</v>
      </c>
      <c r="D846">
        <f ca="1">_xlfn.VAR.P($B$2:B846)</f>
        <v>7.7801421518854381</v>
      </c>
      <c r="E846">
        <f t="shared" ca="1" si="93"/>
        <v>7.7483697106660587E-3</v>
      </c>
      <c r="F846">
        <f t="shared" ca="1" si="94"/>
        <v>0</v>
      </c>
      <c r="G846">
        <f t="shared" ca="1" si="95"/>
        <v>4</v>
      </c>
      <c r="H846">
        <f ca="1">AVERAGE($G$2:G846)</f>
        <v>0.1242603550295858</v>
      </c>
      <c r="I846">
        <f ca="1">_xlfn.VAR.P($G$2:G846)</f>
        <v>16.056748713280346</v>
      </c>
      <c r="AE846">
        <f t="shared" si="97"/>
        <v>844</v>
      </c>
      <c r="AF846" s="66">
        <f t="shared" si="96"/>
        <v>1</v>
      </c>
    </row>
    <row r="847" spans="1:32" x14ac:dyDescent="0.3">
      <c r="A847">
        <f t="shared" ca="1" si="91"/>
        <v>0.31690999854094515</v>
      </c>
      <c r="B847">
        <f t="shared" ca="1" si="92"/>
        <v>1</v>
      </c>
      <c r="C847">
        <f ca="1">AVERAGE($B$2:B847)</f>
        <v>2.4633569739952716</v>
      </c>
      <c r="D847">
        <f ca="1">_xlfn.VAR.P($B$2:B847)</f>
        <v>7.7734799836806774</v>
      </c>
      <c r="E847">
        <f t="shared" ca="1" si="93"/>
        <v>0.70870998004233399</v>
      </c>
      <c r="F847">
        <f t="shared" ca="1" si="94"/>
        <v>3</v>
      </c>
      <c r="G847">
        <f t="shared" ca="1" si="95"/>
        <v>-2</v>
      </c>
      <c r="H847">
        <f ca="1">AVERAGE($G$2:G847)</f>
        <v>0.12174940898345153</v>
      </c>
      <c r="I847">
        <f ca="1">_xlfn.VAR.P($G$2:G847)</f>
        <v>16.043096703161588</v>
      </c>
      <c r="AE847">
        <f t="shared" si="97"/>
        <v>845</v>
      </c>
      <c r="AF847" s="66">
        <f t="shared" si="96"/>
        <v>1</v>
      </c>
    </row>
    <row r="848" spans="1:32" x14ac:dyDescent="0.3">
      <c r="A848">
        <f t="shared" ca="1" si="91"/>
        <v>0.31867109489705514</v>
      </c>
      <c r="B848">
        <f t="shared" ca="1" si="92"/>
        <v>1</v>
      </c>
      <c r="C848">
        <f ca="1">AVERAGE($B$2:B848)</f>
        <v>2.4616292798110981</v>
      </c>
      <c r="D848">
        <f ca="1">_xlfn.VAR.P($B$2:B848)</f>
        <v>7.7668275697684308</v>
      </c>
      <c r="E848">
        <f t="shared" ca="1" si="93"/>
        <v>0.74178594001609677</v>
      </c>
      <c r="F848">
        <f t="shared" ca="1" si="94"/>
        <v>3</v>
      </c>
      <c r="G848">
        <f t="shared" ca="1" si="95"/>
        <v>-2</v>
      </c>
      <c r="H848">
        <f ca="1">AVERAGE($G$2:G848)</f>
        <v>0.1192443919716647</v>
      </c>
      <c r="I848">
        <f ca="1">_xlfn.VAR.P($G$2:G848)</f>
        <v>16.029464364121441</v>
      </c>
      <c r="AE848">
        <f t="shared" si="97"/>
        <v>846</v>
      </c>
      <c r="AF848" s="66">
        <f t="shared" si="96"/>
        <v>1</v>
      </c>
    </row>
    <row r="849" spans="1:32" x14ac:dyDescent="0.3">
      <c r="A849">
        <f t="shared" ca="1" si="91"/>
        <v>0.37977036640531281</v>
      </c>
      <c r="B849">
        <f t="shared" ca="1" si="92"/>
        <v>1</v>
      </c>
      <c r="C849">
        <f ca="1">AVERAGE($B$2:B849)</f>
        <v>2.4599056603773586</v>
      </c>
      <c r="D849">
        <f ca="1">_xlfn.VAR.P($B$2:B849)</f>
        <v>7.7601848967604132</v>
      </c>
      <c r="E849">
        <f t="shared" ca="1" si="93"/>
        <v>0.63113949284992399</v>
      </c>
      <c r="F849">
        <f t="shared" ca="1" si="94"/>
        <v>2</v>
      </c>
      <c r="G849">
        <f t="shared" ca="1" si="95"/>
        <v>-1</v>
      </c>
      <c r="H849">
        <f ca="1">AVERAGE($G$2:G849)</f>
        <v>0.11792452830188679</v>
      </c>
      <c r="I849">
        <f ca="1">_xlfn.VAR.P($G$2:G849)</f>
        <v>16.012037201851193</v>
      </c>
      <c r="AE849">
        <f t="shared" si="97"/>
        <v>847</v>
      </c>
      <c r="AF849" s="66">
        <f t="shared" si="96"/>
        <v>1</v>
      </c>
    </row>
    <row r="850" spans="1:32" x14ac:dyDescent="0.3">
      <c r="A850">
        <f t="shared" ca="1" si="91"/>
        <v>0.74262727240168303</v>
      </c>
      <c r="B850">
        <f t="shared" ca="1" si="92"/>
        <v>3</v>
      </c>
      <c r="C850">
        <f ca="1">AVERAGE($B$2:B850)</f>
        <v>2.4605418138987045</v>
      </c>
      <c r="D850">
        <f ca="1">_xlfn.VAR.P($B$2:B850)</f>
        <v>7.7513876923034237</v>
      </c>
      <c r="E850">
        <f t="shared" ca="1" si="93"/>
        <v>0.31789026262198461</v>
      </c>
      <c r="F850">
        <f t="shared" ca="1" si="94"/>
        <v>1</v>
      </c>
      <c r="G850">
        <f t="shared" ca="1" si="95"/>
        <v>2</v>
      </c>
      <c r="H850">
        <f ca="1">AVERAGE($G$2:G850)</f>
        <v>0.12014134275618374</v>
      </c>
      <c r="I850">
        <f ca="1">_xlfn.VAR.P($G$2:G850)</f>
        <v>15.997344620776053</v>
      </c>
      <c r="AE850">
        <f t="shared" si="97"/>
        <v>848</v>
      </c>
      <c r="AF850" s="66">
        <f t="shared" si="96"/>
        <v>1</v>
      </c>
    </row>
    <row r="851" spans="1:32" x14ac:dyDescent="0.3">
      <c r="A851">
        <f t="shared" ca="1" si="91"/>
        <v>3.979255452697672E-2</v>
      </c>
      <c r="B851">
        <f t="shared" ca="1" si="92"/>
        <v>0</v>
      </c>
      <c r="C851">
        <f ca="1">AVERAGE($B$2:B851)</f>
        <v>2.4576470588235293</v>
      </c>
      <c r="D851">
        <f ca="1">_xlfn.VAR.P($B$2:B851)</f>
        <v>7.7493826989619379</v>
      </c>
      <c r="E851">
        <f t="shared" ca="1" si="93"/>
        <v>8.2050393496527541E-2</v>
      </c>
      <c r="F851">
        <f t="shared" ca="1" si="94"/>
        <v>0</v>
      </c>
      <c r="G851">
        <f t="shared" ca="1" si="95"/>
        <v>0</v>
      </c>
      <c r="H851">
        <f ca="1">AVERAGE($G$2:G851)</f>
        <v>0.12</v>
      </c>
      <c r="I851">
        <f ca="1">_xlfn.VAR.P($G$2:G851)</f>
        <v>15.978541176470587</v>
      </c>
      <c r="AE851">
        <f t="shared" si="97"/>
        <v>849</v>
      </c>
      <c r="AF851" s="66">
        <f t="shared" si="96"/>
        <v>1</v>
      </c>
    </row>
    <row r="852" spans="1:32" x14ac:dyDescent="0.3">
      <c r="A852">
        <f t="shared" ca="1" si="91"/>
        <v>0.66703069197234011</v>
      </c>
      <c r="B852">
        <f t="shared" ca="1" si="92"/>
        <v>3</v>
      </c>
      <c r="C852">
        <f ca="1">AVERAGE($B$2:B852)</f>
        <v>2.4582843713278497</v>
      </c>
      <c r="D852">
        <f ca="1">_xlfn.VAR.P($B$2:B852)</f>
        <v>7.7406217334690233</v>
      </c>
      <c r="E852">
        <f t="shared" ca="1" si="93"/>
        <v>0.5082887798867276</v>
      </c>
      <c r="F852">
        <f t="shared" ca="1" si="94"/>
        <v>1</v>
      </c>
      <c r="G852">
        <f t="shared" ca="1" si="95"/>
        <v>2</v>
      </c>
      <c r="H852">
        <f ca="1">AVERAGE($G$2:G852)</f>
        <v>0.12220916568742655</v>
      </c>
      <c r="I852">
        <f ca="1">_xlfn.VAR.P($G$2:G852)</f>
        <v>15.963913333453005</v>
      </c>
      <c r="AE852">
        <f t="shared" si="97"/>
        <v>850</v>
      </c>
      <c r="AF852" s="66">
        <f t="shared" si="96"/>
        <v>1</v>
      </c>
    </row>
    <row r="853" spans="1:32" x14ac:dyDescent="0.3">
      <c r="A853">
        <f t="shared" ca="1" si="91"/>
        <v>0.1095136737780994</v>
      </c>
      <c r="B853">
        <f t="shared" ca="1" si="92"/>
        <v>0</v>
      </c>
      <c r="C853">
        <f ca="1">AVERAGE($B$2:B853)</f>
        <v>2.455399061032864</v>
      </c>
      <c r="D853">
        <f ca="1">_xlfn.VAR.P($B$2:B853)</f>
        <v>7.7386210848817472</v>
      </c>
      <c r="E853">
        <f t="shared" ca="1" si="93"/>
        <v>0.23684783826902511</v>
      </c>
      <c r="F853">
        <f t="shared" ca="1" si="94"/>
        <v>0</v>
      </c>
      <c r="G853">
        <f t="shared" ca="1" si="95"/>
        <v>0</v>
      </c>
      <c r="H853">
        <f ca="1">AVERAGE($G$2:G853)</f>
        <v>0.12206572769953052</v>
      </c>
      <c r="I853">
        <f ca="1">_xlfn.VAR.P($G$2:G853)</f>
        <v>15.945193854834798</v>
      </c>
      <c r="AE853">
        <f t="shared" si="97"/>
        <v>851</v>
      </c>
      <c r="AF853" s="66">
        <f t="shared" si="96"/>
        <v>1</v>
      </c>
    </row>
    <row r="854" spans="1:32" x14ac:dyDescent="0.3">
      <c r="A854">
        <f t="shared" ca="1" si="91"/>
        <v>0.2938867148233486</v>
      </c>
      <c r="B854">
        <f t="shared" ca="1" si="92"/>
        <v>0</v>
      </c>
      <c r="C854">
        <f ca="1">AVERAGE($B$2:B854)</f>
        <v>2.4525205158264947</v>
      </c>
      <c r="D854">
        <f ca="1">_xlfn.VAR.P($B$2:B854)</f>
        <v>7.7366085356283385</v>
      </c>
      <c r="E854">
        <f t="shared" ca="1" si="93"/>
        <v>0.57902786673593898</v>
      </c>
      <c r="F854">
        <f t="shared" ca="1" si="94"/>
        <v>2</v>
      </c>
      <c r="G854">
        <f t="shared" ca="1" si="95"/>
        <v>-2</v>
      </c>
      <c r="H854">
        <f ca="1">AVERAGE($G$2:G854)</f>
        <v>0.11957796014067995</v>
      </c>
      <c r="I854">
        <f ca="1">_xlfn.VAR.P($G$2:G854)</f>
        <v>15.931773796091033</v>
      </c>
      <c r="AE854">
        <f t="shared" si="97"/>
        <v>852</v>
      </c>
      <c r="AF854" s="66">
        <f t="shared" si="96"/>
        <v>1</v>
      </c>
    </row>
    <row r="855" spans="1:32" x14ac:dyDescent="0.3">
      <c r="A855">
        <f t="shared" ca="1" si="91"/>
        <v>0.22557682358194941</v>
      </c>
      <c r="B855">
        <f t="shared" ca="1" si="92"/>
        <v>0</v>
      </c>
      <c r="C855">
        <f ca="1">AVERAGE($B$2:B855)</f>
        <v>2.449648711943794</v>
      </c>
      <c r="D855">
        <f ca="1">_xlfn.VAR.P($B$2:B855)</f>
        <v>7.7345841857301911</v>
      </c>
      <c r="E855">
        <f t="shared" ca="1" si="93"/>
        <v>0.74293051522579956</v>
      </c>
      <c r="F855">
        <f t="shared" ca="1" si="94"/>
        <v>3</v>
      </c>
      <c r="G855">
        <f t="shared" ca="1" si="95"/>
        <v>-3</v>
      </c>
      <c r="H855">
        <f ca="1">AVERAGE($G$2:G855)</f>
        <v>0.11592505854800937</v>
      </c>
      <c r="I855">
        <f ca="1">_xlfn.VAR.P($G$2:G855)</f>
        <v>15.924500490870898</v>
      </c>
      <c r="AE855">
        <f t="shared" si="97"/>
        <v>853</v>
      </c>
      <c r="AF855" s="66">
        <f t="shared" si="96"/>
        <v>1</v>
      </c>
    </row>
    <row r="856" spans="1:32" x14ac:dyDescent="0.3">
      <c r="A856">
        <f t="shared" ca="1" si="91"/>
        <v>0.32141260599914578</v>
      </c>
      <c r="B856">
        <f t="shared" ca="1" si="92"/>
        <v>1</v>
      </c>
      <c r="C856">
        <f ca="1">AVERAGE($B$2:B856)</f>
        <v>2.4479532163742692</v>
      </c>
      <c r="D856">
        <f ca="1">_xlfn.VAR.P($B$2:B856)</f>
        <v>7.7279928867001813</v>
      </c>
      <c r="E856">
        <f t="shared" ca="1" si="93"/>
        <v>0.90432849017132955</v>
      </c>
      <c r="F856">
        <f t="shared" ca="1" si="94"/>
        <v>6</v>
      </c>
      <c r="G856">
        <f t="shared" ca="1" si="95"/>
        <v>-5</v>
      </c>
      <c r="H856">
        <f ca="1">AVERAGE($G$2:G856)</f>
        <v>0.10994152046783626</v>
      </c>
      <c r="I856">
        <f ca="1">_xlfn.VAR.P($G$2:G856)</f>
        <v>15.936450873773127</v>
      </c>
      <c r="AE856">
        <f t="shared" si="97"/>
        <v>854</v>
      </c>
      <c r="AF856" s="66">
        <f t="shared" si="96"/>
        <v>1</v>
      </c>
    </row>
    <row r="857" spans="1:32" x14ac:dyDescent="0.3">
      <c r="A857">
        <f t="shared" ca="1" si="91"/>
        <v>0.6754573239926247</v>
      </c>
      <c r="B857">
        <f t="shared" ca="1" si="92"/>
        <v>3</v>
      </c>
      <c r="C857">
        <f ca="1">AVERAGE($B$2:B857)</f>
        <v>2.4485981308411215</v>
      </c>
      <c r="D857">
        <f ca="1">_xlfn.VAR.P($B$2:B857)</f>
        <v>7.7193204646694031</v>
      </c>
      <c r="E857">
        <f t="shared" ca="1" si="93"/>
        <v>0.1954091667631892</v>
      </c>
      <c r="F857">
        <f t="shared" ca="1" si="94"/>
        <v>0</v>
      </c>
      <c r="G857">
        <f t="shared" ca="1" si="95"/>
        <v>3</v>
      </c>
      <c r="H857">
        <f ca="1">AVERAGE($G$2:G857)</f>
        <v>0.11331775700934579</v>
      </c>
      <c r="I857">
        <f ca="1">_xlfn.VAR.P($G$2:G857)</f>
        <v>15.927579646694035</v>
      </c>
      <c r="AE857">
        <f t="shared" si="97"/>
        <v>855</v>
      </c>
      <c r="AF857" s="66">
        <f t="shared" si="96"/>
        <v>1</v>
      </c>
    </row>
    <row r="858" spans="1:32" x14ac:dyDescent="0.3">
      <c r="A858">
        <f t="shared" ca="1" si="91"/>
        <v>0.3542882300955702</v>
      </c>
      <c r="B858">
        <f t="shared" ca="1" si="92"/>
        <v>1</v>
      </c>
      <c r="C858">
        <f ca="1">AVERAGE($B$2:B858)</f>
        <v>2.4469078179696617</v>
      </c>
      <c r="D858">
        <f ca="1">_xlfn.VAR.P($B$2:B858)</f>
        <v>7.7127588164733014</v>
      </c>
      <c r="E858">
        <f t="shared" ca="1" si="93"/>
        <v>9.5509178539145201E-2</v>
      </c>
      <c r="F858">
        <f t="shared" ca="1" si="94"/>
        <v>0</v>
      </c>
      <c r="G858">
        <f t="shared" ca="1" si="95"/>
        <v>1</v>
      </c>
      <c r="H858">
        <f ca="1">AVERAGE($G$2:G858)</f>
        <v>0.11435239206534423</v>
      </c>
      <c r="I858">
        <f ca="1">_xlfn.VAR.P($G$2:G858)</f>
        <v>15.909910694956356</v>
      </c>
      <c r="AE858">
        <f t="shared" si="97"/>
        <v>856</v>
      </c>
      <c r="AF858" s="66">
        <f t="shared" si="96"/>
        <v>1</v>
      </c>
    </row>
    <row r="859" spans="1:32" x14ac:dyDescent="0.3">
      <c r="A859">
        <f t="shared" ca="1" si="91"/>
        <v>0.31672724851455614</v>
      </c>
      <c r="B859">
        <f t="shared" ca="1" si="92"/>
        <v>1</v>
      </c>
      <c r="C859">
        <f ca="1">AVERAGE($B$2:B859)</f>
        <v>2.4452214452214451</v>
      </c>
      <c r="D859">
        <f ca="1">_xlfn.VAR.P($B$2:B859)</f>
        <v>7.7062067691438321</v>
      </c>
      <c r="E859">
        <f t="shared" ca="1" si="93"/>
        <v>0.35246563569308254</v>
      </c>
      <c r="F859">
        <f t="shared" ca="1" si="94"/>
        <v>1</v>
      </c>
      <c r="G859">
        <f t="shared" ca="1" si="95"/>
        <v>0</v>
      </c>
      <c r="H859">
        <f ca="1">AVERAGE($G$2:G859)</f>
        <v>0.11421911421911422</v>
      </c>
      <c r="I859">
        <f ca="1">_xlfn.VAR.P($G$2:G859)</f>
        <v>15.891382898375905</v>
      </c>
      <c r="AE859">
        <f t="shared" si="97"/>
        <v>857</v>
      </c>
      <c r="AF859" s="66">
        <f t="shared" si="96"/>
        <v>1</v>
      </c>
    </row>
    <row r="860" spans="1:32" x14ac:dyDescent="0.3">
      <c r="A860">
        <f t="shared" ca="1" si="91"/>
        <v>0.42592324377281754</v>
      </c>
      <c r="B860">
        <f t="shared" ca="1" si="92"/>
        <v>1</v>
      </c>
      <c r="C860">
        <f ca="1">AVERAGE($B$2:B860)</f>
        <v>2.4435389988358556</v>
      </c>
      <c r="D860">
        <f ca="1">_xlfn.VAR.P($B$2:B860)</f>
        <v>7.6996643090145973</v>
      </c>
      <c r="E860">
        <f t="shared" ca="1" si="93"/>
        <v>0.66218163816026054</v>
      </c>
      <c r="F860">
        <f t="shared" ca="1" si="94"/>
        <v>3</v>
      </c>
      <c r="G860">
        <f t="shared" ca="1" si="95"/>
        <v>-2</v>
      </c>
      <c r="H860">
        <f ca="1">AVERAGE($G$2:G860)</f>
        <v>0.11175785797438882</v>
      </c>
      <c r="I860">
        <f ca="1">_xlfn.VAR.P($G$2:G860)</f>
        <v>15.878080611914386</v>
      </c>
      <c r="AE860">
        <f t="shared" si="97"/>
        <v>858</v>
      </c>
      <c r="AF860" s="66">
        <f t="shared" si="96"/>
        <v>1</v>
      </c>
    </row>
    <row r="861" spans="1:32" x14ac:dyDescent="0.3">
      <c r="A861">
        <f t="shared" ca="1" si="91"/>
        <v>0.85170291015410804</v>
      </c>
      <c r="B861">
        <f t="shared" ca="1" si="92"/>
        <v>5</v>
      </c>
      <c r="C861">
        <f ca="1">AVERAGE($B$2:B861)</f>
        <v>2.4465116279069767</v>
      </c>
      <c r="D861">
        <f ca="1">_xlfn.VAR.P($B$2:B861)</f>
        <v>7.6983017847485131</v>
      </c>
      <c r="E861">
        <f t="shared" ca="1" si="93"/>
        <v>0.9129152084039045</v>
      </c>
      <c r="F861">
        <f t="shared" ca="1" si="94"/>
        <v>6</v>
      </c>
      <c r="G861">
        <f t="shared" ca="1" si="95"/>
        <v>-1</v>
      </c>
      <c r="H861">
        <f ca="1">AVERAGE($G$2:G861)</f>
        <v>0.11046511627906977</v>
      </c>
      <c r="I861">
        <f ca="1">_xlfn.VAR.P($G$2:G861)</f>
        <v>15.861053272038941</v>
      </c>
      <c r="AE861">
        <f t="shared" si="97"/>
        <v>859</v>
      </c>
      <c r="AF861" s="66">
        <f t="shared" si="96"/>
        <v>1</v>
      </c>
    </row>
    <row r="862" spans="1:32" x14ac:dyDescent="0.3">
      <c r="A862">
        <f t="shared" ca="1" si="91"/>
        <v>0.75222279784166279</v>
      </c>
      <c r="B862">
        <f t="shared" ca="1" si="92"/>
        <v>3</v>
      </c>
      <c r="C862">
        <f ca="1">AVERAGE($B$2:B862)</f>
        <v>2.4471544715447155</v>
      </c>
      <c r="D862">
        <f ca="1">_xlfn.VAR.P($B$2:B862)</f>
        <v>7.6897160609236757</v>
      </c>
      <c r="E862">
        <f t="shared" ca="1" si="93"/>
        <v>0.86287804433499704</v>
      </c>
      <c r="F862">
        <f t="shared" ca="1" si="94"/>
        <v>5</v>
      </c>
      <c r="G862">
        <f t="shared" ca="1" si="95"/>
        <v>-2</v>
      </c>
      <c r="H862">
        <f ca="1">AVERAGE($G$2:G862)</f>
        <v>0.10801393728222997</v>
      </c>
      <c r="I862">
        <f ca="1">_xlfn.VAR.P($G$2:G862)</f>
        <v>15.847798726867309</v>
      </c>
      <c r="AE862">
        <f t="shared" si="97"/>
        <v>860</v>
      </c>
      <c r="AF862" s="66">
        <f t="shared" si="96"/>
        <v>1</v>
      </c>
    </row>
    <row r="863" spans="1:32" x14ac:dyDescent="0.3">
      <c r="A863">
        <f t="shared" ca="1" si="91"/>
        <v>0.23289753403084767</v>
      </c>
      <c r="B863">
        <f t="shared" ca="1" si="92"/>
        <v>0</v>
      </c>
      <c r="C863">
        <f ca="1">AVERAGE($B$2:B863)</f>
        <v>2.4443155452436196</v>
      </c>
      <c r="D863">
        <f ca="1">_xlfn.VAR.P($B$2:B863)</f>
        <v>7.6877345083198305</v>
      </c>
      <c r="E863">
        <f t="shared" ca="1" si="93"/>
        <v>0.40013495780420838</v>
      </c>
      <c r="F863">
        <f t="shared" ca="1" si="94"/>
        <v>1</v>
      </c>
      <c r="G863">
        <f t="shared" ca="1" si="95"/>
        <v>-1</v>
      </c>
      <c r="H863">
        <f ca="1">AVERAGE($G$2:G863)</f>
        <v>0.10672853828306264</v>
      </c>
      <c r="I863">
        <f ca="1">_xlfn.VAR.P($G$2:G863)</f>
        <v>15.830836397306216</v>
      </c>
      <c r="AE863">
        <f t="shared" si="97"/>
        <v>861</v>
      </c>
      <c r="AF863" s="66">
        <f t="shared" si="96"/>
        <v>1</v>
      </c>
    </row>
    <row r="864" spans="1:32" x14ac:dyDescent="0.3">
      <c r="A864">
        <f t="shared" ca="1" si="91"/>
        <v>0.21343964690997663</v>
      </c>
      <c r="B864">
        <f t="shared" ca="1" si="92"/>
        <v>0</v>
      </c>
      <c r="C864">
        <f ca="1">AVERAGE($B$2:B864)</f>
        <v>2.4414831981460021</v>
      </c>
      <c r="D864">
        <f ca="1">_xlfn.VAR.P($B$2:B864)</f>
        <v>7.6857414849436534</v>
      </c>
      <c r="E864">
        <f t="shared" ca="1" si="93"/>
        <v>0.43495097280149919</v>
      </c>
      <c r="F864">
        <f t="shared" ca="1" si="94"/>
        <v>1</v>
      </c>
      <c r="G864">
        <f t="shared" ca="1" si="95"/>
        <v>-1</v>
      </c>
      <c r="H864">
        <f ca="1">AVERAGE($G$2:G864)</f>
        <v>0.10544611819235226</v>
      </c>
      <c r="I864">
        <f ca="1">_xlfn.VAR.P($G$2:G864)</f>
        <v>15.813910084871953</v>
      </c>
      <c r="AE864">
        <f t="shared" si="97"/>
        <v>862</v>
      </c>
      <c r="AF864" s="66">
        <f t="shared" si="96"/>
        <v>1</v>
      </c>
    </row>
    <row r="865" spans="1:32" x14ac:dyDescent="0.3">
      <c r="A865">
        <f t="shared" ca="1" si="91"/>
        <v>0.31848196004169504</v>
      </c>
      <c r="B865">
        <f t="shared" ca="1" si="92"/>
        <v>1</v>
      </c>
      <c r="C865">
        <f ca="1">AVERAGE($B$2:B865)</f>
        <v>2.4398148148148149</v>
      </c>
      <c r="D865">
        <f ca="1">_xlfn.VAR.P($B$2:B865)</f>
        <v>7.6792481138545954</v>
      </c>
      <c r="E865">
        <f t="shared" ca="1" si="93"/>
        <v>7.2084894812542655E-2</v>
      </c>
      <c r="F865">
        <f t="shared" ca="1" si="94"/>
        <v>0</v>
      </c>
      <c r="G865">
        <f t="shared" ca="1" si="95"/>
        <v>1</v>
      </c>
      <c r="H865">
        <f ca="1">AVERAGE($G$2:G865)</f>
        <v>0.10648148148148148</v>
      </c>
      <c r="I865">
        <f ca="1">_xlfn.VAR.P($G$2:G865)</f>
        <v>15.796532064471879</v>
      </c>
      <c r="AE865">
        <f t="shared" si="97"/>
        <v>863</v>
      </c>
      <c r="AF865" s="66">
        <f t="shared" si="96"/>
        <v>1</v>
      </c>
    </row>
    <row r="866" spans="1:32" x14ac:dyDescent="0.3">
      <c r="A866">
        <f t="shared" ca="1" si="91"/>
        <v>0.3180400085001317</v>
      </c>
      <c r="B866">
        <f t="shared" ca="1" si="92"/>
        <v>1</v>
      </c>
      <c r="C866">
        <f ca="1">AVERAGE($B$2:B866)</f>
        <v>2.438150289017341</v>
      </c>
      <c r="D866">
        <f ca="1">_xlfn.VAR.P($B$2:B866)</f>
        <v>7.6727642086270844</v>
      </c>
      <c r="E866">
        <f t="shared" ca="1" si="93"/>
        <v>0.48438584249877026</v>
      </c>
      <c r="F866">
        <f t="shared" ca="1" si="94"/>
        <v>1</v>
      </c>
      <c r="G866">
        <f t="shared" ca="1" si="95"/>
        <v>0</v>
      </c>
      <c r="H866">
        <f ca="1">AVERAGE($G$2:G866)</f>
        <v>0.10635838150289018</v>
      </c>
      <c r="I866">
        <f ca="1">_xlfn.VAR.P($G$2:G866)</f>
        <v>15.778283270406629</v>
      </c>
      <c r="AE866">
        <f t="shared" si="97"/>
        <v>864</v>
      </c>
      <c r="AF866" s="66">
        <f t="shared" si="96"/>
        <v>1</v>
      </c>
    </row>
    <row r="867" spans="1:32" x14ac:dyDescent="0.3">
      <c r="A867">
        <f t="shared" ca="1" si="91"/>
        <v>0.76949211769117098</v>
      </c>
      <c r="B867">
        <f t="shared" ca="1" si="92"/>
        <v>4</v>
      </c>
      <c r="C867">
        <f ca="1">AVERAGE($B$2:B867)</f>
        <v>2.4399538106235568</v>
      </c>
      <c r="D867">
        <f ca="1">_xlfn.VAR.P($B$2:B867)</f>
        <v>7.6667177807764721</v>
      </c>
      <c r="E867">
        <f t="shared" ca="1" si="93"/>
        <v>0.58903323319597511</v>
      </c>
      <c r="F867">
        <f t="shared" ca="1" si="94"/>
        <v>2</v>
      </c>
      <c r="G867">
        <f t="shared" ca="1" si="95"/>
        <v>2</v>
      </c>
      <c r="H867">
        <f ca="1">AVERAGE($G$2:G867)</f>
        <v>0.10854503464203233</v>
      </c>
      <c r="I867">
        <f ca="1">_xlfn.VAR.P($G$2:G867)</f>
        <v>15.764199499703983</v>
      </c>
      <c r="AE867">
        <f t="shared" si="97"/>
        <v>865</v>
      </c>
      <c r="AF867" s="66">
        <f t="shared" si="96"/>
        <v>1</v>
      </c>
    </row>
    <row r="868" spans="1:32" x14ac:dyDescent="0.3">
      <c r="A868">
        <f t="shared" ca="1" si="91"/>
        <v>0.19318130141449341</v>
      </c>
      <c r="B868">
        <f t="shared" ca="1" si="92"/>
        <v>0</v>
      </c>
      <c r="C868">
        <f ca="1">AVERAGE($B$2:B868)</f>
        <v>2.4371395617070357</v>
      </c>
      <c r="D868">
        <f ca="1">_xlfn.VAR.P($B$2:B868)</f>
        <v>7.6647336864048832</v>
      </c>
      <c r="E868">
        <f t="shared" ca="1" si="93"/>
        <v>0.33347081358722075</v>
      </c>
      <c r="F868">
        <f t="shared" ca="1" si="94"/>
        <v>1</v>
      </c>
      <c r="G868">
        <f t="shared" ca="1" si="95"/>
        <v>-1</v>
      </c>
      <c r="H868">
        <f ca="1">AVERAGE($G$2:G868)</f>
        <v>0.10726643598615918</v>
      </c>
      <c r="I868">
        <f ca="1">_xlfn.VAR.P($G$2:G868)</f>
        <v>15.747432781376341</v>
      </c>
      <c r="AE868">
        <f t="shared" si="97"/>
        <v>866</v>
      </c>
      <c r="AF868" s="66">
        <f t="shared" si="96"/>
        <v>1</v>
      </c>
    </row>
    <row r="869" spans="1:32" x14ac:dyDescent="0.3">
      <c r="A869">
        <f t="shared" ca="1" si="91"/>
        <v>5.1030465927531687E-2</v>
      </c>
      <c r="B869">
        <f t="shared" ca="1" si="92"/>
        <v>0</v>
      </c>
      <c r="C869">
        <f ca="1">AVERAGE($B$2:B869)</f>
        <v>2.4343317972350231</v>
      </c>
      <c r="D869">
        <f ca="1">_xlfn.VAR.P($B$2:B869)</f>
        <v>7.6627383783898573</v>
      </c>
      <c r="E869">
        <f t="shared" ca="1" si="93"/>
        <v>0.13294161168293728</v>
      </c>
      <c r="F869">
        <f t="shared" ca="1" si="94"/>
        <v>0</v>
      </c>
      <c r="G869">
        <f t="shared" ca="1" si="95"/>
        <v>0</v>
      </c>
      <c r="H869">
        <f ca="1">AVERAGE($G$2:G869)</f>
        <v>0.10714285714285714</v>
      </c>
      <c r="I869">
        <f ca="1">_xlfn.VAR.P($G$2:G869)</f>
        <v>15.729303818301513</v>
      </c>
      <c r="AE869">
        <f t="shared" si="97"/>
        <v>867</v>
      </c>
      <c r="AF869" s="66">
        <f t="shared" si="96"/>
        <v>1</v>
      </c>
    </row>
    <row r="870" spans="1:32" x14ac:dyDescent="0.3">
      <c r="A870">
        <f t="shared" ca="1" si="91"/>
        <v>0.47286034154170409</v>
      </c>
      <c r="B870">
        <f t="shared" ca="1" si="92"/>
        <v>1</v>
      </c>
      <c r="C870">
        <f ca="1">AVERAGE($B$2:B870)</f>
        <v>2.4326812428078251</v>
      </c>
      <c r="D870">
        <f ca="1">_xlfn.VAR.P($B$2:B870)</f>
        <v>7.6562852160002963</v>
      </c>
      <c r="E870">
        <f t="shared" ca="1" si="93"/>
        <v>0.21291266811834264</v>
      </c>
      <c r="F870">
        <f t="shared" ca="1" si="94"/>
        <v>0</v>
      </c>
      <c r="G870">
        <f t="shared" ca="1" si="95"/>
        <v>1</v>
      </c>
      <c r="H870">
        <f ca="1">AVERAGE($G$2:G870)</f>
        <v>0.10817031070195628</v>
      </c>
      <c r="I870">
        <f ca="1">_xlfn.VAR.P($G$2:G870)</f>
        <v>15.712119667196797</v>
      </c>
      <c r="AE870">
        <f t="shared" si="97"/>
        <v>868</v>
      </c>
      <c r="AF870" s="66">
        <f t="shared" si="96"/>
        <v>1</v>
      </c>
    </row>
    <row r="871" spans="1:32" x14ac:dyDescent="0.3">
      <c r="A871">
        <f t="shared" ca="1" si="91"/>
        <v>0.7776832135084687</v>
      </c>
      <c r="B871">
        <f t="shared" ca="1" si="92"/>
        <v>4</v>
      </c>
      <c r="C871">
        <f ca="1">AVERAGE($B$2:B871)</f>
        <v>2.4344827586206899</v>
      </c>
      <c r="D871">
        <f ca="1">_xlfn.VAR.P($B$2:B871)</f>
        <v>7.6503051922314702</v>
      </c>
      <c r="E871">
        <f t="shared" ca="1" si="93"/>
        <v>0.7474578547236963</v>
      </c>
      <c r="F871">
        <f t="shared" ca="1" si="94"/>
        <v>3</v>
      </c>
      <c r="G871">
        <f t="shared" ca="1" si="95"/>
        <v>1</v>
      </c>
      <c r="H871">
        <f ca="1">AVERAGE($G$2:G871)</f>
        <v>0.10919540229885058</v>
      </c>
      <c r="I871">
        <f ca="1">_xlfn.VAR.P($G$2:G871)</f>
        <v>15.69497291584093</v>
      </c>
      <c r="AE871">
        <f t="shared" si="97"/>
        <v>869</v>
      </c>
      <c r="AF871" s="66">
        <f t="shared" si="96"/>
        <v>1</v>
      </c>
    </row>
    <row r="872" spans="1:32" x14ac:dyDescent="0.3">
      <c r="A872">
        <f t="shared" ca="1" si="91"/>
        <v>0.92710228477621182</v>
      </c>
      <c r="B872">
        <f t="shared" ca="1" si="92"/>
        <v>7</v>
      </c>
      <c r="C872">
        <f ca="1">AVERAGE($B$2:B872)</f>
        <v>2.4397244546498276</v>
      </c>
      <c r="D872">
        <f ca="1">_xlfn.VAR.P($B$2:B872)</f>
        <v>7.6654254120196512</v>
      </c>
      <c r="E872">
        <f t="shared" ca="1" si="93"/>
        <v>0.92899665781131302</v>
      </c>
      <c r="F872">
        <f t="shared" ca="1" si="94"/>
        <v>7</v>
      </c>
      <c r="G872">
        <f t="shared" ca="1" si="95"/>
        <v>0</v>
      </c>
      <c r="H872">
        <f ca="1">AVERAGE($G$2:G872)</f>
        <v>0.10907003444316878</v>
      </c>
      <c r="I872">
        <f ca="1">_xlfn.VAR.P($G$2:G872)</f>
        <v>15.676967103017105</v>
      </c>
      <c r="AE872">
        <f t="shared" si="97"/>
        <v>870</v>
      </c>
      <c r="AF872" s="66">
        <f t="shared" si="96"/>
        <v>1</v>
      </c>
    </row>
    <row r="873" spans="1:32" x14ac:dyDescent="0.3">
      <c r="A873">
        <f t="shared" ca="1" si="91"/>
        <v>6.3836587680956125E-2</v>
      </c>
      <c r="B873">
        <f t="shared" ca="1" si="92"/>
        <v>0</v>
      </c>
      <c r="C873">
        <f ca="1">AVERAGE($B$2:B873)</f>
        <v>2.4369266055045871</v>
      </c>
      <c r="D873">
        <f ca="1">_xlfn.VAR.P($B$2:B873)</f>
        <v>7.6634529395673763</v>
      </c>
      <c r="E873">
        <f t="shared" ca="1" si="93"/>
        <v>0.31844597226237992</v>
      </c>
      <c r="F873">
        <f t="shared" ca="1" si="94"/>
        <v>1</v>
      </c>
      <c r="G873">
        <f t="shared" ca="1" si="95"/>
        <v>-1</v>
      </c>
      <c r="H873">
        <f ca="1">AVERAGE($G$2:G873)</f>
        <v>0.10779816513761468</v>
      </c>
      <c r="I873">
        <f ca="1">_xlfn.VAR.P($G$2:G873)</f>
        <v>15.660397904216817</v>
      </c>
      <c r="AE873">
        <f t="shared" si="97"/>
        <v>871</v>
      </c>
      <c r="AF873" s="66">
        <f t="shared" si="96"/>
        <v>1</v>
      </c>
    </row>
    <row r="874" spans="1:32" x14ac:dyDescent="0.3">
      <c r="A874">
        <f t="shared" ca="1" si="91"/>
        <v>0.39383860854203234</v>
      </c>
      <c r="B874">
        <f t="shared" ca="1" si="92"/>
        <v>1</v>
      </c>
      <c r="C874">
        <f ca="1">AVERAGE($B$2:B874)</f>
        <v>2.4352806414662083</v>
      </c>
      <c r="D874">
        <f ca="1">_xlfn.VAR.P($B$2:B874)</f>
        <v>7.6570370632793132</v>
      </c>
      <c r="E874">
        <f t="shared" ca="1" si="93"/>
        <v>0.67325063617626524</v>
      </c>
      <c r="F874">
        <f t="shared" ca="1" si="94"/>
        <v>3</v>
      </c>
      <c r="G874">
        <f t="shared" ca="1" si="95"/>
        <v>-2</v>
      </c>
      <c r="H874">
        <f ca="1">AVERAGE($G$2:G874)</f>
        <v>0.10538373424971363</v>
      </c>
      <c r="I874">
        <f ca="1">_xlfn.VAR.P($G$2:G874)</f>
        <v>15.647542607616296</v>
      </c>
      <c r="AE874">
        <f t="shared" si="97"/>
        <v>872</v>
      </c>
      <c r="AF874" s="66">
        <f t="shared" si="96"/>
        <v>1</v>
      </c>
    </row>
    <row r="875" spans="1:32" x14ac:dyDescent="0.3">
      <c r="A875">
        <f t="shared" ca="1" si="91"/>
        <v>0.26792215120772578</v>
      </c>
      <c r="B875">
        <f t="shared" ca="1" si="92"/>
        <v>0</v>
      </c>
      <c r="C875">
        <f ca="1">AVERAGE($B$2:B875)</f>
        <v>2.4324942791762014</v>
      </c>
      <c r="D875">
        <f ca="1">_xlfn.VAR.P($B$2:B875)</f>
        <v>7.6550539616377531</v>
      </c>
      <c r="E875">
        <f t="shared" ca="1" si="93"/>
        <v>0.21463595567871585</v>
      </c>
      <c r="F875">
        <f t="shared" ca="1" si="94"/>
        <v>0</v>
      </c>
      <c r="G875">
        <f t="shared" ca="1" si="95"/>
        <v>0</v>
      </c>
      <c r="H875">
        <f ca="1">AVERAGE($G$2:G875)</f>
        <v>0.10526315789473684</v>
      </c>
      <c r="I875">
        <f ca="1">_xlfn.VAR.P($G$2:G875)</f>
        <v>15.629651933036252</v>
      </c>
      <c r="AE875">
        <f t="shared" si="97"/>
        <v>873</v>
      </c>
      <c r="AF875" s="66">
        <f t="shared" si="96"/>
        <v>1</v>
      </c>
    </row>
    <row r="876" spans="1:32" x14ac:dyDescent="0.3">
      <c r="A876">
        <f t="shared" ca="1" si="91"/>
        <v>0.60226595693722529</v>
      </c>
      <c r="B876">
        <f t="shared" ca="1" si="92"/>
        <v>2</v>
      </c>
      <c r="C876">
        <f ca="1">AVERAGE($B$2:B876)</f>
        <v>2.4319999999999999</v>
      </c>
      <c r="D876">
        <f ca="1">_xlfn.VAR.P($B$2:B876)</f>
        <v>7.6465188571428575</v>
      </c>
      <c r="E876">
        <f t="shared" ca="1" si="93"/>
        <v>0.48976024535737939</v>
      </c>
      <c r="F876">
        <f t="shared" ca="1" si="94"/>
        <v>1</v>
      </c>
      <c r="G876">
        <f t="shared" ca="1" si="95"/>
        <v>1</v>
      </c>
      <c r="H876">
        <f ca="1">AVERAGE($G$2:G876)</f>
        <v>0.10628571428571429</v>
      </c>
      <c r="I876">
        <f ca="1">_xlfn.VAR.P($G$2:G876)</f>
        <v>15.612703346938776</v>
      </c>
      <c r="AE876">
        <f t="shared" si="97"/>
        <v>874</v>
      </c>
      <c r="AF876" s="66">
        <f t="shared" si="96"/>
        <v>1</v>
      </c>
    </row>
    <row r="877" spans="1:32" x14ac:dyDescent="0.3">
      <c r="A877">
        <f t="shared" ca="1" si="91"/>
        <v>0.450031573547644</v>
      </c>
      <c r="B877">
        <f t="shared" ca="1" si="92"/>
        <v>1</v>
      </c>
      <c r="C877">
        <f ca="1">AVERAGE($B$2:B877)</f>
        <v>2.4303652968036529</v>
      </c>
      <c r="D877">
        <f ca="1">_xlfn.VAR.P($B$2:B877)</f>
        <v>7.6401281770605287</v>
      </c>
      <c r="E877">
        <f t="shared" ca="1" si="93"/>
        <v>0.87025044240937777</v>
      </c>
      <c r="F877">
        <f t="shared" ca="1" si="94"/>
        <v>5</v>
      </c>
      <c r="G877">
        <f t="shared" ca="1" si="95"/>
        <v>-4</v>
      </c>
      <c r="H877">
        <f ca="1">AVERAGE($G$2:G877)</f>
        <v>0.10159817351598173</v>
      </c>
      <c r="I877">
        <f ca="1">_xlfn.VAR.P($G$2:G877)</f>
        <v>15.614107034882508</v>
      </c>
      <c r="AE877">
        <f t="shared" si="97"/>
        <v>875</v>
      </c>
      <c r="AF877" s="66">
        <f t="shared" si="96"/>
        <v>1</v>
      </c>
    </row>
    <row r="878" spans="1:32" x14ac:dyDescent="0.3">
      <c r="A878">
        <f t="shared" ca="1" si="91"/>
        <v>0.28350450244676273</v>
      </c>
      <c r="B878">
        <f t="shared" ca="1" si="92"/>
        <v>0</v>
      </c>
      <c r="C878">
        <f ca="1">AVERAGE($B$2:B878)</f>
        <v>2.427594070695553</v>
      </c>
      <c r="D878">
        <f ca="1">_xlfn.VAR.P($B$2:B878)</f>
        <v>7.6381439264414679</v>
      </c>
      <c r="E878">
        <f t="shared" ca="1" si="93"/>
        <v>3.8981613848531937E-2</v>
      </c>
      <c r="F878">
        <f t="shared" ca="1" si="94"/>
        <v>0</v>
      </c>
      <c r="G878">
        <f t="shared" ca="1" si="95"/>
        <v>0</v>
      </c>
      <c r="H878">
        <f ca="1">AVERAGE($G$2:G878)</f>
        <v>0.10148232611174458</v>
      </c>
      <c r="I878">
        <f ca="1">_xlfn.VAR.P($G$2:G878)</f>
        <v>15.596314792447041</v>
      </c>
      <c r="AE878">
        <f t="shared" si="97"/>
        <v>876</v>
      </c>
      <c r="AF878" s="66">
        <f t="shared" si="96"/>
        <v>1</v>
      </c>
    </row>
    <row r="879" spans="1:32" x14ac:dyDescent="0.3">
      <c r="A879">
        <f t="shared" ca="1" si="91"/>
        <v>0.93799499886583915</v>
      </c>
      <c r="B879">
        <f t="shared" ca="1" si="92"/>
        <v>7</v>
      </c>
      <c r="C879">
        <f ca="1">AVERAGE($B$2:B879)</f>
        <v>2.4328018223234622</v>
      </c>
      <c r="D879">
        <f ca="1">_xlfn.VAR.P($B$2:B879)</f>
        <v>7.6532292796322148</v>
      </c>
      <c r="E879">
        <f t="shared" ca="1" si="93"/>
        <v>0.14188178931430828</v>
      </c>
      <c r="F879">
        <f t="shared" ca="1" si="94"/>
        <v>0</v>
      </c>
      <c r="G879">
        <f t="shared" ca="1" si="95"/>
        <v>7</v>
      </c>
      <c r="H879">
        <f ca="1">AVERAGE($G$2:G879)</f>
        <v>0.10933940774487472</v>
      </c>
      <c r="I879">
        <f ca="1">_xlfn.VAR.P($G$2:G879)</f>
        <v>15.632691818743158</v>
      </c>
      <c r="AE879">
        <f t="shared" si="97"/>
        <v>877</v>
      </c>
      <c r="AF879" s="66">
        <f t="shared" si="96"/>
        <v>1</v>
      </c>
    </row>
    <row r="880" spans="1:32" x14ac:dyDescent="0.3">
      <c r="A880">
        <f t="shared" ca="1" si="91"/>
        <v>0.51794953071407479</v>
      </c>
      <c r="B880">
        <f t="shared" ca="1" si="92"/>
        <v>2</v>
      </c>
      <c r="C880">
        <f ca="1">AVERAGE($B$2:B880)</f>
        <v>2.4323094425483505</v>
      </c>
      <c r="D880">
        <f ca="1">_xlfn.VAR.P($B$2:B880)</f>
        <v>7.6447353945752292</v>
      </c>
      <c r="E880">
        <f t="shared" ca="1" si="93"/>
        <v>0.75536858658980022</v>
      </c>
      <c r="F880">
        <f t="shared" ca="1" si="94"/>
        <v>3</v>
      </c>
      <c r="G880">
        <f t="shared" ca="1" si="95"/>
        <v>-1</v>
      </c>
      <c r="H880">
        <f ca="1">AVERAGE($G$2:G880)</f>
        <v>0.1080773606370876</v>
      </c>
      <c r="I880">
        <f ca="1">_xlfn.VAR.P($G$2:G880)</f>
        <v>15.616305632240588</v>
      </c>
      <c r="AE880">
        <f t="shared" si="97"/>
        <v>878</v>
      </c>
      <c r="AF880" s="66">
        <f t="shared" si="96"/>
        <v>1</v>
      </c>
    </row>
    <row r="881" spans="1:32" x14ac:dyDescent="0.3">
      <c r="A881">
        <f t="shared" ca="1" si="91"/>
        <v>0.80941293750797993</v>
      </c>
      <c r="B881">
        <f t="shared" ca="1" si="92"/>
        <v>4</v>
      </c>
      <c r="C881">
        <f ca="1">AVERAGE($B$2:B881)</f>
        <v>2.4340909090909091</v>
      </c>
      <c r="D881">
        <f ca="1">_xlfn.VAR.P($B$2:B881)</f>
        <v>7.6388378099173551</v>
      </c>
      <c r="E881">
        <f t="shared" ca="1" si="93"/>
        <v>0.83692992591250115</v>
      </c>
      <c r="F881">
        <f t="shared" ca="1" si="94"/>
        <v>5</v>
      </c>
      <c r="G881">
        <f t="shared" ca="1" si="95"/>
        <v>-1</v>
      </c>
      <c r="H881">
        <f ca="1">AVERAGE($G$2:G881)</f>
        <v>0.10681818181818181</v>
      </c>
      <c r="I881">
        <f ca="1">_xlfn.VAR.P($G$2:G881)</f>
        <v>15.599953512396695</v>
      </c>
      <c r="AE881">
        <f t="shared" si="97"/>
        <v>879</v>
      </c>
      <c r="AF881" s="66">
        <f t="shared" si="96"/>
        <v>1</v>
      </c>
    </row>
    <row r="882" spans="1:32" x14ac:dyDescent="0.3">
      <c r="A882">
        <f t="shared" ca="1" si="91"/>
        <v>0.49962272824587173</v>
      </c>
      <c r="B882">
        <f t="shared" ca="1" si="92"/>
        <v>1</v>
      </c>
      <c r="C882">
        <f ca="1">AVERAGE($B$2:B882)</f>
        <v>2.4324631101021565</v>
      </c>
      <c r="D882">
        <f ca="1">_xlfn.VAR.P($B$2:B882)</f>
        <v>7.6324989274132555</v>
      </c>
      <c r="E882">
        <f t="shared" ca="1" si="93"/>
        <v>0.1307259541533573</v>
      </c>
      <c r="F882">
        <f t="shared" ca="1" si="94"/>
        <v>0</v>
      </c>
      <c r="G882">
        <f t="shared" ca="1" si="95"/>
        <v>1</v>
      </c>
      <c r="H882">
        <f ca="1">AVERAGE($G$2:G882)</f>
        <v>0.10783200908059024</v>
      </c>
      <c r="I882">
        <f ca="1">_xlfn.VAR.P($G$2:G882)</f>
        <v>15.583150918430583</v>
      </c>
      <c r="AE882">
        <f t="shared" si="97"/>
        <v>880</v>
      </c>
      <c r="AF882" s="66">
        <f t="shared" si="96"/>
        <v>1</v>
      </c>
    </row>
    <row r="883" spans="1:32" x14ac:dyDescent="0.3">
      <c r="A883">
        <f t="shared" ca="1" si="91"/>
        <v>0.51150711648327496</v>
      </c>
      <c r="B883">
        <f t="shared" ca="1" si="92"/>
        <v>2</v>
      </c>
      <c r="C883">
        <f ca="1">AVERAGE($B$2:B883)</f>
        <v>2.4319727891156462</v>
      </c>
      <c r="D883">
        <f ca="1">_xlfn.VAR.P($B$2:B883)</f>
        <v>7.6240571058355311</v>
      </c>
      <c r="E883">
        <f t="shared" ca="1" si="93"/>
        <v>0.9603973525263575</v>
      </c>
      <c r="F883">
        <f t="shared" ca="1" si="94"/>
        <v>9</v>
      </c>
      <c r="G883">
        <f t="shared" ca="1" si="95"/>
        <v>-7</v>
      </c>
      <c r="H883">
        <f ca="1">AVERAGE($G$2:G883)</f>
        <v>9.9773242630385492E-2</v>
      </c>
      <c r="I883">
        <f ca="1">_xlfn.VAR.P($G$2:G883)</f>
        <v>15.622698361279507</v>
      </c>
      <c r="AE883">
        <f t="shared" si="97"/>
        <v>881</v>
      </c>
      <c r="AF883" s="66">
        <f t="shared" si="96"/>
        <v>1</v>
      </c>
    </row>
    <row r="884" spans="1:32" x14ac:dyDescent="0.3">
      <c r="A884">
        <f t="shared" ca="1" si="91"/>
        <v>0.65090481453656501</v>
      </c>
      <c r="B884">
        <f t="shared" ca="1" si="92"/>
        <v>2</v>
      </c>
      <c r="C884">
        <f ca="1">AVERAGE($B$2:B884)</f>
        <v>2.4314835787089466</v>
      </c>
      <c r="D884">
        <f ca="1">_xlfn.VAR.P($B$2:B884)</f>
        <v>7.6156339258345316</v>
      </c>
      <c r="E884">
        <f t="shared" ca="1" si="93"/>
        <v>0.38456375990422742</v>
      </c>
      <c r="F884">
        <f t="shared" ca="1" si="94"/>
        <v>1</v>
      </c>
      <c r="G884">
        <f t="shared" ca="1" si="95"/>
        <v>1</v>
      </c>
      <c r="H884">
        <f ca="1">AVERAGE($G$2:G884)</f>
        <v>0.10079275198187995</v>
      </c>
      <c r="I884">
        <f ca="1">_xlfn.VAR.P($G$2:G884)</f>
        <v>15.605922361351769</v>
      </c>
      <c r="AE884">
        <f t="shared" si="97"/>
        <v>882</v>
      </c>
      <c r="AF884" s="66">
        <f t="shared" si="96"/>
        <v>1</v>
      </c>
    </row>
    <row r="885" spans="1:32" x14ac:dyDescent="0.3">
      <c r="A885">
        <f t="shared" ca="1" si="91"/>
        <v>0.92842785128608074</v>
      </c>
      <c r="B885">
        <f t="shared" ca="1" si="92"/>
        <v>7</v>
      </c>
      <c r="C885">
        <f ca="1">AVERAGE($B$2:B885)</f>
        <v>2.436651583710407</v>
      </c>
      <c r="D885">
        <f ca="1">_xlfn.VAR.P($B$2:B885)</f>
        <v>7.6306023627689852</v>
      </c>
      <c r="E885">
        <f t="shared" ca="1" si="93"/>
        <v>0.53825605934761733</v>
      </c>
      <c r="F885">
        <f t="shared" ca="1" si="94"/>
        <v>2</v>
      </c>
      <c r="G885">
        <f t="shared" ca="1" si="95"/>
        <v>5</v>
      </c>
      <c r="H885">
        <f ca="1">AVERAGE($G$2:G885)</f>
        <v>0.10633484162895927</v>
      </c>
      <c r="I885">
        <f ca="1">_xlfn.VAR.P($G$2:G885)</f>
        <v>15.615389734034929</v>
      </c>
      <c r="AE885">
        <f t="shared" si="97"/>
        <v>883</v>
      </c>
      <c r="AF885" s="66">
        <f t="shared" si="96"/>
        <v>1</v>
      </c>
    </row>
    <row r="886" spans="1:32" x14ac:dyDescent="0.3">
      <c r="A886">
        <f t="shared" ca="1" si="91"/>
        <v>7.1827539848417277E-2</v>
      </c>
      <c r="B886">
        <f t="shared" ca="1" si="92"/>
        <v>0</v>
      </c>
      <c r="C886">
        <f ca="1">AVERAGE($B$2:B886)</f>
        <v>2.4338983050847456</v>
      </c>
      <c r="D886">
        <f ca="1">_xlfn.VAR.P($B$2:B886)</f>
        <v>7.6286814133869578</v>
      </c>
      <c r="E886">
        <f t="shared" ca="1" si="93"/>
        <v>0.98656164316676564</v>
      </c>
      <c r="F886">
        <f t="shared" ca="1" si="94"/>
        <v>12</v>
      </c>
      <c r="G886">
        <f t="shared" ca="1" si="95"/>
        <v>-12</v>
      </c>
      <c r="H886">
        <f ca="1">AVERAGE($G$2:G886)</f>
        <v>9.2655367231638419E-2</v>
      </c>
      <c r="I886">
        <f ca="1">_xlfn.VAR.P($G$2:G886)</f>
        <v>15.763166395352549</v>
      </c>
      <c r="AE886">
        <f t="shared" si="97"/>
        <v>884</v>
      </c>
      <c r="AF886" s="66">
        <f t="shared" si="96"/>
        <v>1</v>
      </c>
    </row>
    <row r="887" spans="1:32" x14ac:dyDescent="0.3">
      <c r="A887">
        <f t="shared" ca="1" si="91"/>
        <v>0.31661185653061386</v>
      </c>
      <c r="B887">
        <f t="shared" ca="1" si="92"/>
        <v>1</v>
      </c>
      <c r="C887">
        <f ca="1">AVERAGE($B$2:B887)</f>
        <v>2.4322799097065464</v>
      </c>
      <c r="D887">
        <f ca="1">_xlfn.VAR.P($B$2:B887)</f>
        <v>7.6223891586708721</v>
      </c>
      <c r="E887">
        <f t="shared" ca="1" si="93"/>
        <v>0.18216706449400077</v>
      </c>
      <c r="F887">
        <f t="shared" ca="1" si="94"/>
        <v>0</v>
      </c>
      <c r="G887">
        <f t="shared" ca="1" si="95"/>
        <v>1</v>
      </c>
      <c r="H887">
        <f ca="1">AVERAGE($G$2:G887)</f>
        <v>9.3679458239277646E-2</v>
      </c>
      <c r="I887">
        <f ca="1">_xlfn.VAR.P($G$2:G887)</f>
        <v>15.746303165876004</v>
      </c>
      <c r="AE887">
        <f t="shared" si="97"/>
        <v>885</v>
      </c>
      <c r="AF887" s="66">
        <f t="shared" si="96"/>
        <v>1</v>
      </c>
    </row>
    <row r="888" spans="1:32" x14ac:dyDescent="0.3">
      <c r="A888">
        <f t="shared" ca="1" si="91"/>
        <v>0.81226377990890331</v>
      </c>
      <c r="B888">
        <f t="shared" ca="1" si="92"/>
        <v>4</v>
      </c>
      <c r="C888">
        <f ca="1">AVERAGE($B$2:B888)</f>
        <v>2.4340473506200677</v>
      </c>
      <c r="D888">
        <f ca="1">_xlfn.VAR.P($B$2:B888)</f>
        <v>7.6165634385696439</v>
      </c>
      <c r="E888">
        <f t="shared" ca="1" si="93"/>
        <v>0.36836849346974865</v>
      </c>
      <c r="F888">
        <f t="shared" ca="1" si="94"/>
        <v>1</v>
      </c>
      <c r="G888">
        <f t="shared" ca="1" si="95"/>
        <v>3</v>
      </c>
      <c r="H888">
        <f ca="1">AVERAGE($G$2:G888)</f>
        <v>9.6956031567080048E-2</v>
      </c>
      <c r="I888">
        <f ca="1">_xlfn.VAR.P($G$2:G888)</f>
        <v>15.738062887581997</v>
      </c>
      <c r="AE888">
        <f t="shared" si="97"/>
        <v>886</v>
      </c>
      <c r="AF888" s="66">
        <f t="shared" si="96"/>
        <v>1</v>
      </c>
    </row>
    <row r="889" spans="1:32" x14ac:dyDescent="0.3">
      <c r="A889">
        <f t="shared" ca="1" si="91"/>
        <v>0.63464167792285187</v>
      </c>
      <c r="B889">
        <f t="shared" ca="1" si="92"/>
        <v>2</v>
      </c>
      <c r="C889">
        <f ca="1">AVERAGE($B$2:B889)</f>
        <v>2.4335585585585586</v>
      </c>
      <c r="D889">
        <f ca="1">_xlfn.VAR.P($B$2:B889)</f>
        <v>7.6081981474717963</v>
      </c>
      <c r="E889">
        <f t="shared" ca="1" si="93"/>
        <v>0.36569274183550071</v>
      </c>
      <c r="F889">
        <f t="shared" ca="1" si="94"/>
        <v>1</v>
      </c>
      <c r="G889">
        <f t="shared" ca="1" si="95"/>
        <v>1</v>
      </c>
      <c r="H889">
        <f ca="1">AVERAGE($G$2:G889)</f>
        <v>9.7972972972972971E-2</v>
      </c>
      <c r="I889">
        <f ca="1">_xlfn.VAR.P($G$2:G889)</f>
        <v>15.721257152422693</v>
      </c>
      <c r="AE889">
        <f t="shared" si="97"/>
        <v>887</v>
      </c>
      <c r="AF889" s="66">
        <f t="shared" si="96"/>
        <v>1</v>
      </c>
    </row>
    <row r="890" spans="1:32" x14ac:dyDescent="0.3">
      <c r="A890">
        <f t="shared" ca="1" si="91"/>
        <v>8.1915878065519032E-2</v>
      </c>
      <c r="B890">
        <f t="shared" ca="1" si="92"/>
        <v>0</v>
      </c>
      <c r="C890">
        <f ca="1">AVERAGE($B$2:B890)</f>
        <v>2.4308211473565806</v>
      </c>
      <c r="D890">
        <f ca="1">_xlfn.VAR.P($B$2:B890)</f>
        <v>7.6062941513638131</v>
      </c>
      <c r="E890">
        <f t="shared" ca="1" si="93"/>
        <v>0.37861106986156723</v>
      </c>
      <c r="F890">
        <f t="shared" ca="1" si="94"/>
        <v>1</v>
      </c>
      <c r="G890">
        <f t="shared" ca="1" si="95"/>
        <v>-1</v>
      </c>
      <c r="H890">
        <f ca="1">AVERAGE($G$2:G890)</f>
        <v>9.6737907761529809E-2</v>
      </c>
      <c r="I890">
        <f ca="1">_xlfn.VAR.P($G$2:G890)</f>
        <v>15.704927491487636</v>
      </c>
      <c r="AE890">
        <f t="shared" si="97"/>
        <v>888</v>
      </c>
      <c r="AF890" s="66">
        <f t="shared" si="96"/>
        <v>1</v>
      </c>
    </row>
    <row r="891" spans="1:32" x14ac:dyDescent="0.3">
      <c r="A891">
        <f t="shared" ca="1" si="91"/>
        <v>0.16473728493592976</v>
      </c>
      <c r="B891">
        <f t="shared" ca="1" si="92"/>
        <v>0</v>
      </c>
      <c r="C891">
        <f ca="1">AVERAGE($B$2:B891)</f>
        <v>2.4280898876404495</v>
      </c>
      <c r="D891">
        <f ca="1">_xlfn.VAR.P($B$2:B891)</f>
        <v>7.60437949753819</v>
      </c>
      <c r="E891">
        <f t="shared" ca="1" si="93"/>
        <v>8.0399344360424285E-2</v>
      </c>
      <c r="F891">
        <f t="shared" ca="1" si="94"/>
        <v>0</v>
      </c>
      <c r="G891">
        <f t="shared" ca="1" si="95"/>
        <v>0</v>
      </c>
      <c r="H891">
        <f ca="1">AVERAGE($G$2:G891)</f>
        <v>9.662921348314607E-2</v>
      </c>
      <c r="I891">
        <f ca="1">_xlfn.VAR.P($G$2:G891)</f>
        <v>15.687292008584775</v>
      </c>
      <c r="AE891">
        <f t="shared" si="97"/>
        <v>889</v>
      </c>
      <c r="AF891" s="66">
        <f t="shared" si="96"/>
        <v>1</v>
      </c>
    </row>
    <row r="892" spans="1:32" x14ac:dyDescent="0.3">
      <c r="A892">
        <f t="shared" ca="1" si="91"/>
        <v>0.4230422095691917</v>
      </c>
      <c r="B892">
        <f t="shared" ca="1" si="92"/>
        <v>1</v>
      </c>
      <c r="C892">
        <f ca="1">AVERAGE($B$2:B892)</f>
        <v>2.4264870931537597</v>
      </c>
      <c r="D892">
        <f ca="1">_xlfn.VAR.P($B$2:B892)</f>
        <v>7.5981312060623694</v>
      </c>
      <c r="E892">
        <f t="shared" ca="1" si="93"/>
        <v>0.81492679072179708</v>
      </c>
      <c r="F892">
        <f t="shared" ca="1" si="94"/>
        <v>4</v>
      </c>
      <c r="G892">
        <f t="shared" ca="1" si="95"/>
        <v>-3</v>
      </c>
      <c r="H892">
        <f ca="1">AVERAGE($G$2:G892)</f>
        <v>9.3153759820426493E-2</v>
      </c>
      <c r="I892">
        <f ca="1">_xlfn.VAR.P($G$2:G892)</f>
        <v>15.680435732811342</v>
      </c>
      <c r="AE892">
        <f t="shared" si="97"/>
        <v>890</v>
      </c>
      <c r="AF892" s="66">
        <f t="shared" si="96"/>
        <v>1</v>
      </c>
    </row>
    <row r="893" spans="1:32" x14ac:dyDescent="0.3">
      <c r="A893">
        <f t="shared" ca="1" si="91"/>
        <v>0.64673772646373306</v>
      </c>
      <c r="B893">
        <f t="shared" ca="1" si="92"/>
        <v>2</v>
      </c>
      <c r="C893">
        <f ca="1">AVERAGE($B$2:B893)</f>
        <v>2.4260089686098656</v>
      </c>
      <c r="D893">
        <f ca="1">_xlfn.VAR.P($B$2:B893)</f>
        <v>7.5898168070944516</v>
      </c>
      <c r="E893">
        <f t="shared" ca="1" si="93"/>
        <v>0.59314289632904305</v>
      </c>
      <c r="F893">
        <f t="shared" ca="1" si="94"/>
        <v>2</v>
      </c>
      <c r="G893">
        <f t="shared" ca="1" si="95"/>
        <v>0</v>
      </c>
      <c r="H893">
        <f ca="1">AVERAGE($G$2:G893)</f>
        <v>9.3049327354260095E-2</v>
      </c>
      <c r="I893">
        <f ca="1">_xlfn.VAR.P($G$2:G893)</f>
        <v>15.66286648635605</v>
      </c>
      <c r="AE893">
        <f t="shared" si="97"/>
        <v>891</v>
      </c>
      <c r="AF893" s="66">
        <f t="shared" si="96"/>
        <v>1</v>
      </c>
    </row>
    <row r="894" spans="1:32" x14ac:dyDescent="0.3">
      <c r="A894">
        <f t="shared" ca="1" si="91"/>
        <v>0.24073809745075692</v>
      </c>
      <c r="B894">
        <f t="shared" ca="1" si="92"/>
        <v>0</v>
      </c>
      <c r="C894">
        <f ca="1">AVERAGE($B$2:B894)</f>
        <v>2.423292273236282</v>
      </c>
      <c r="D894">
        <f ca="1">_xlfn.VAR.P($B$2:B894)</f>
        <v>7.587900919055639</v>
      </c>
      <c r="E894">
        <f t="shared" ca="1" si="93"/>
        <v>0.73635298958594642</v>
      </c>
      <c r="F894">
        <f t="shared" ca="1" si="94"/>
        <v>3</v>
      </c>
      <c r="G894">
        <f t="shared" ca="1" si="95"/>
        <v>-3</v>
      </c>
      <c r="H894">
        <f ca="1">AVERAGE($G$2:G894)</f>
        <v>8.9585666293393054E-2</v>
      </c>
      <c r="I894">
        <f ca="1">_xlfn.VAR.P($G$2:G894)</f>
        <v>15.656028159794545</v>
      </c>
      <c r="AE894">
        <f t="shared" si="97"/>
        <v>892</v>
      </c>
      <c r="AF894" s="66">
        <f t="shared" si="96"/>
        <v>1</v>
      </c>
    </row>
    <row r="895" spans="1:32" x14ac:dyDescent="0.3">
      <c r="A895">
        <f t="shared" ca="1" si="91"/>
        <v>0.1527341905956876</v>
      </c>
      <c r="B895">
        <f t="shared" ca="1" si="92"/>
        <v>0</v>
      </c>
      <c r="C895">
        <f ca="1">AVERAGE($B$2:B895)</f>
        <v>2.4205816554809845</v>
      </c>
      <c r="D895">
        <f ca="1">_xlfn.VAR.P($B$2:B895)</f>
        <v>7.5859746057484898</v>
      </c>
      <c r="E895">
        <f t="shared" ca="1" si="93"/>
        <v>0.73296330148857991</v>
      </c>
      <c r="F895">
        <f t="shared" ca="1" si="94"/>
        <v>3</v>
      </c>
      <c r="G895">
        <f t="shared" ca="1" si="95"/>
        <v>-3</v>
      </c>
      <c r="H895">
        <f ca="1">AVERAGE($G$2:G895)</f>
        <v>8.612975391498881E-2</v>
      </c>
      <c r="I895">
        <f ca="1">_xlfn.VAR.P($G$2:G895)</f>
        <v>15.64918121806325</v>
      </c>
      <c r="AE895">
        <f t="shared" si="97"/>
        <v>893</v>
      </c>
      <c r="AF895" s="66">
        <f t="shared" si="96"/>
        <v>1</v>
      </c>
    </row>
    <row r="896" spans="1:32" x14ac:dyDescent="0.3">
      <c r="A896">
        <f t="shared" ca="1" si="91"/>
        <v>0.74433675654455733</v>
      </c>
      <c r="B896">
        <f t="shared" ca="1" si="92"/>
        <v>3</v>
      </c>
      <c r="C896">
        <f ca="1">AVERAGE($B$2:B896)</f>
        <v>2.4212290502793294</v>
      </c>
      <c r="D896">
        <f ca="1">_xlfn.VAR.P($B$2:B896)</f>
        <v>7.5778733497706066</v>
      </c>
      <c r="E896">
        <f t="shared" ca="1" si="93"/>
        <v>0.65579568665812871</v>
      </c>
      <c r="F896">
        <f t="shared" ca="1" si="94"/>
        <v>2</v>
      </c>
      <c r="G896">
        <f t="shared" ca="1" si="95"/>
        <v>1</v>
      </c>
      <c r="H896">
        <f ca="1">AVERAGE($G$2:G896)</f>
        <v>8.7150837988826821E-2</v>
      </c>
      <c r="I896">
        <f ca="1">_xlfn.VAR.P($G$2:G896)</f>
        <v>15.632628195124996</v>
      </c>
      <c r="AE896">
        <f t="shared" si="97"/>
        <v>894</v>
      </c>
      <c r="AF896" s="66">
        <f t="shared" si="96"/>
        <v>1</v>
      </c>
    </row>
    <row r="897" spans="1:32" x14ac:dyDescent="0.3">
      <c r="A897">
        <f t="shared" ca="1" si="91"/>
        <v>0.48454487216052744</v>
      </c>
      <c r="B897">
        <f t="shared" ca="1" si="92"/>
        <v>1</v>
      </c>
      <c r="C897">
        <f ca="1">AVERAGE($B$2:B897)</f>
        <v>2.4196428571428572</v>
      </c>
      <c r="D897">
        <f ca="1">_xlfn.VAR.P($B$2:B897)</f>
        <v>7.5716677295918364</v>
      </c>
      <c r="E897">
        <f t="shared" ca="1" si="93"/>
        <v>0.11863803314524635</v>
      </c>
      <c r="F897">
        <f t="shared" ca="1" si="94"/>
        <v>0</v>
      </c>
      <c r="G897">
        <f t="shared" ca="1" si="95"/>
        <v>1</v>
      </c>
      <c r="H897">
        <f ca="1">AVERAGE($G$2:G897)</f>
        <v>8.8169642857142863E-2</v>
      </c>
      <c r="I897">
        <f ca="1">_xlfn.VAR.P($G$2:G897)</f>
        <v>15.616110042649872</v>
      </c>
      <c r="AE897">
        <f t="shared" si="97"/>
        <v>895</v>
      </c>
      <c r="AF897" s="66">
        <f t="shared" si="96"/>
        <v>1</v>
      </c>
    </row>
    <row r="898" spans="1:32" x14ac:dyDescent="0.3">
      <c r="A898">
        <f t="shared" ca="1" si="91"/>
        <v>0.51099693687499714</v>
      </c>
      <c r="B898">
        <f t="shared" ca="1" si="92"/>
        <v>2</v>
      </c>
      <c r="C898">
        <f ca="1">AVERAGE($B$2:B898)</f>
        <v>2.4191750278706801</v>
      </c>
      <c r="D898">
        <f ca="1">_xlfn.VAR.P($B$2:B898)</f>
        <v>7.5634227307922233</v>
      </c>
      <c r="E898">
        <f t="shared" ca="1" si="93"/>
        <v>0.87042692694159174</v>
      </c>
      <c r="F898">
        <f t="shared" ca="1" si="94"/>
        <v>5</v>
      </c>
      <c r="G898">
        <f t="shared" ca="1" si="95"/>
        <v>-3</v>
      </c>
      <c r="H898">
        <f ca="1">AVERAGE($G$2:G898)</f>
        <v>8.4726867335562991E-2</v>
      </c>
      <c r="I898">
        <f ca="1">_xlfn.VAR.P($G$2:G898)</f>
        <v>15.609320800537901</v>
      </c>
      <c r="AE898">
        <f t="shared" si="97"/>
        <v>896</v>
      </c>
      <c r="AF898" s="66">
        <f t="shared" si="96"/>
        <v>1</v>
      </c>
    </row>
    <row r="899" spans="1:32" x14ac:dyDescent="0.3">
      <c r="A899">
        <f t="shared" ref="A899:A962" ca="1" si="98">RAND()</f>
        <v>0.30766687139011295</v>
      </c>
      <c r="B899">
        <f t="shared" ref="B899:B962" ca="1" si="99">LOOKUP(A899,$AF$2:$AF$1002,$AE$2:$AE$1002)</f>
        <v>1</v>
      </c>
      <c r="C899">
        <f ca="1">AVERAGE($B$2:B899)</f>
        <v>2.4175946547884188</v>
      </c>
      <c r="D899">
        <f ca="1">_xlfn.VAR.P($B$2:B899)</f>
        <v>7.5572405394814508</v>
      </c>
      <c r="E899">
        <f t="shared" ref="E899:E962" ca="1" si="100">RAND()</f>
        <v>0.41702875207747436</v>
      </c>
      <c r="F899">
        <f t="shared" ref="F899:F962" ca="1" si="101">LOOKUP(E899,$AF$2:$AF$1002,$AE$2:$AE$1002)</f>
        <v>1</v>
      </c>
      <c r="G899">
        <f t="shared" ref="G899:G962" ca="1" si="102">B899-F899</f>
        <v>0</v>
      </c>
      <c r="H899">
        <f ca="1">AVERAGE($G$2:G899)</f>
        <v>8.4632516703786187E-2</v>
      </c>
      <c r="I899">
        <f ca="1">_xlfn.VAR.P($G$2:G899)</f>
        <v>15.591946468519501</v>
      </c>
      <c r="AE899">
        <f t="shared" si="97"/>
        <v>897</v>
      </c>
      <c r="AF899" s="66">
        <f t="shared" ref="AF899:AF962" si="103">_xlfn.NEGBINOM.DIST(AE899-1,1,$K$1,TRUE)</f>
        <v>1</v>
      </c>
    </row>
    <row r="900" spans="1:32" x14ac:dyDescent="0.3">
      <c r="A900">
        <f t="shared" ca="1" si="98"/>
        <v>0.30851291563813499</v>
      </c>
      <c r="B900">
        <f t="shared" ca="1" si="99"/>
        <v>1</v>
      </c>
      <c r="C900">
        <f ca="1">AVERAGE($B$2:B900)</f>
        <v>2.4160177975528363</v>
      </c>
      <c r="D900">
        <f ca="1">_xlfn.VAR.P($B$2:B900)</f>
        <v>7.5510671231537696</v>
      </c>
      <c r="E900">
        <f t="shared" ca="1" si="100"/>
        <v>0.35031296632226994</v>
      </c>
      <c r="F900">
        <f t="shared" ca="1" si="101"/>
        <v>1</v>
      </c>
      <c r="G900">
        <f t="shared" ca="1" si="102"/>
        <v>0</v>
      </c>
      <c r="H900">
        <f ca="1">AVERAGE($G$2:G900)</f>
        <v>8.4538375973303673E-2</v>
      </c>
      <c r="I900">
        <f ca="1">_xlfn.VAR.P($G$2:G900)</f>
        <v>15.574610771330399</v>
      </c>
      <c r="AE900">
        <f t="shared" si="97"/>
        <v>898</v>
      </c>
      <c r="AF900" s="66">
        <f t="shared" si="103"/>
        <v>1</v>
      </c>
    </row>
    <row r="901" spans="1:32" x14ac:dyDescent="0.3">
      <c r="A901">
        <f t="shared" ca="1" si="98"/>
        <v>0.29180260973415928</v>
      </c>
      <c r="B901">
        <f t="shared" ca="1" si="99"/>
        <v>0</v>
      </c>
      <c r="C901">
        <f ca="1">AVERAGE($B$2:B901)</f>
        <v>2.4133333333333336</v>
      </c>
      <c r="D901">
        <f ca="1">_xlfn.VAR.P($B$2:B901)</f>
        <v>7.5491555555555552</v>
      </c>
      <c r="E901">
        <f t="shared" ca="1" si="100"/>
        <v>0.55000120215853032</v>
      </c>
      <c r="F901">
        <f t="shared" ca="1" si="101"/>
        <v>2</v>
      </c>
      <c r="G901">
        <f t="shared" ca="1" si="102"/>
        <v>-2</v>
      </c>
      <c r="H901">
        <f ca="1">AVERAGE($G$2:G901)</f>
        <v>8.2222222222222224E-2</v>
      </c>
      <c r="I901">
        <f ca="1">_xlfn.VAR.P($G$2:G901)</f>
        <v>15.562128395061729</v>
      </c>
      <c r="AE901">
        <f t="shared" ref="AE901:AE964" si="104">AE900+1</f>
        <v>899</v>
      </c>
      <c r="AF901" s="66">
        <f t="shared" si="103"/>
        <v>1</v>
      </c>
    </row>
    <row r="902" spans="1:32" x14ac:dyDescent="0.3">
      <c r="A902">
        <f t="shared" ca="1" si="98"/>
        <v>0.47515592760950087</v>
      </c>
      <c r="B902">
        <f t="shared" ca="1" si="99"/>
        <v>1</v>
      </c>
      <c r="C902">
        <f ca="1">AVERAGE($B$2:B902)</f>
        <v>2.4117647058823528</v>
      </c>
      <c r="D902">
        <f ca="1">_xlfn.VAR.P($B$2:B902)</f>
        <v>7.5429914474113726</v>
      </c>
      <c r="E902">
        <f t="shared" ca="1" si="100"/>
        <v>0.26459530477043902</v>
      </c>
      <c r="F902">
        <f t="shared" ca="1" si="101"/>
        <v>0</v>
      </c>
      <c r="G902">
        <f t="shared" ca="1" si="102"/>
        <v>1</v>
      </c>
      <c r="H902">
        <f ca="1">AVERAGE($G$2:G902)</f>
        <v>8.324084350721421E-2</v>
      </c>
      <c r="I902">
        <f ca="1">_xlfn.VAR.P($G$2:G902)</f>
        <v>15.54579016286011</v>
      </c>
      <c r="AE902">
        <f t="shared" si="104"/>
        <v>900</v>
      </c>
      <c r="AF902" s="66">
        <f t="shared" si="103"/>
        <v>1</v>
      </c>
    </row>
    <row r="903" spans="1:32" x14ac:dyDescent="0.3">
      <c r="A903">
        <f t="shared" ca="1" si="98"/>
        <v>0.53035205096460469</v>
      </c>
      <c r="B903">
        <f t="shared" ca="1" si="99"/>
        <v>2</v>
      </c>
      <c r="C903">
        <f ca="1">AVERAGE($B$2:B903)</f>
        <v>2.4113082039911307</v>
      </c>
      <c r="D903">
        <f ca="1">_xlfn.VAR.P($B$2:B903)</f>
        <v>7.5348166921499891</v>
      </c>
      <c r="E903">
        <f t="shared" ca="1" si="100"/>
        <v>0.11087750084191383</v>
      </c>
      <c r="F903">
        <f t="shared" ca="1" si="101"/>
        <v>0</v>
      </c>
      <c r="G903">
        <f t="shared" ca="1" si="102"/>
        <v>2</v>
      </c>
      <c r="H903">
        <f ca="1">AVERAGE($G$2:G903)</f>
        <v>8.5365853658536592E-2</v>
      </c>
      <c r="I903">
        <f ca="1">_xlfn.VAR.P($G$2:G903)</f>
        <v>15.53262397923314</v>
      </c>
      <c r="AE903">
        <f t="shared" si="104"/>
        <v>901</v>
      </c>
      <c r="AF903" s="66">
        <f t="shared" si="103"/>
        <v>1</v>
      </c>
    </row>
    <row r="904" spans="1:32" x14ac:dyDescent="0.3">
      <c r="A904">
        <f t="shared" ca="1" si="98"/>
        <v>0.61090611007924778</v>
      </c>
      <c r="B904">
        <f t="shared" ca="1" si="99"/>
        <v>2</v>
      </c>
      <c r="C904">
        <f ca="1">AVERAGE($B$2:B904)</f>
        <v>2.4108527131782944</v>
      </c>
      <c r="D904">
        <f ca="1">_xlfn.VAR.P($B$2:B904)</f>
        <v>7.5266596272545438</v>
      </c>
      <c r="E904">
        <f t="shared" ca="1" si="100"/>
        <v>3.0588249994264349E-2</v>
      </c>
      <c r="F904">
        <f t="shared" ca="1" si="101"/>
        <v>0</v>
      </c>
      <c r="G904">
        <f t="shared" ca="1" si="102"/>
        <v>2</v>
      </c>
      <c r="H904">
        <f ca="1">AVERAGE($G$2:G904)</f>
        <v>8.7486157253599109E-2</v>
      </c>
      <c r="I904">
        <f ca="1">_xlfn.VAR.P($G$2:G904)</f>
        <v>15.519477955234734</v>
      </c>
      <c r="AE904">
        <f t="shared" si="104"/>
        <v>902</v>
      </c>
      <c r="AF904" s="66">
        <f t="shared" si="103"/>
        <v>1</v>
      </c>
    </row>
    <row r="905" spans="1:32" x14ac:dyDescent="0.3">
      <c r="A905">
        <f t="shared" ca="1" si="98"/>
        <v>0.59779574645447087</v>
      </c>
      <c r="B905">
        <f t="shared" ca="1" si="99"/>
        <v>2</v>
      </c>
      <c r="C905">
        <f ca="1">AVERAGE($B$2:B905)</f>
        <v>2.4103982300884956</v>
      </c>
      <c r="D905">
        <f ca="1">_xlfn.VAR.P($B$2:B905)</f>
        <v>7.5185201953950971</v>
      </c>
      <c r="E905">
        <f t="shared" ca="1" si="100"/>
        <v>0.8703763694547253</v>
      </c>
      <c r="F905">
        <f t="shared" ca="1" si="101"/>
        <v>5</v>
      </c>
      <c r="G905">
        <f t="shared" ca="1" si="102"/>
        <v>-3</v>
      </c>
      <c r="H905">
        <f ca="1">AVERAGE($G$2:G905)</f>
        <v>8.4070796460176997E-2</v>
      </c>
      <c r="I905">
        <f ca="1">_xlfn.VAR.P($G$2:G905)</f>
        <v>15.51284360560733</v>
      </c>
      <c r="AE905">
        <f t="shared" si="104"/>
        <v>903</v>
      </c>
      <c r="AF905" s="66">
        <f t="shared" si="103"/>
        <v>1</v>
      </c>
    </row>
    <row r="906" spans="1:32" x14ac:dyDescent="0.3">
      <c r="A906">
        <f t="shared" ca="1" si="98"/>
        <v>0.79441759001786405</v>
      </c>
      <c r="B906">
        <f t="shared" ca="1" si="99"/>
        <v>4</v>
      </c>
      <c r="C906">
        <f ca="1">AVERAGE($B$2:B906)</f>
        <v>2.4121546961325966</v>
      </c>
      <c r="D906">
        <f ca="1">_xlfn.VAR.P($B$2:B906)</f>
        <v>7.5130014346326428</v>
      </c>
      <c r="E906">
        <f t="shared" ca="1" si="100"/>
        <v>0.36925892772898339</v>
      </c>
      <c r="F906">
        <f t="shared" ca="1" si="101"/>
        <v>1</v>
      </c>
      <c r="G906">
        <f t="shared" ca="1" si="102"/>
        <v>3</v>
      </c>
      <c r="H906">
        <f ca="1">AVERAGE($G$2:G906)</f>
        <v>8.7292817679558016E-2</v>
      </c>
      <c r="I906">
        <f ca="1">_xlfn.VAR.P($G$2:G906)</f>
        <v>15.505087146302005</v>
      </c>
      <c r="AE906">
        <f t="shared" si="104"/>
        <v>904</v>
      </c>
      <c r="AF906" s="66">
        <f t="shared" si="103"/>
        <v>1</v>
      </c>
    </row>
    <row r="907" spans="1:32" x14ac:dyDescent="0.3">
      <c r="A907">
        <f t="shared" ca="1" si="98"/>
        <v>0.56568877203605561</v>
      </c>
      <c r="B907">
        <f t="shared" ca="1" si="99"/>
        <v>2</v>
      </c>
      <c r="C907">
        <f ca="1">AVERAGE($B$2:B907)</f>
        <v>2.4116997792494481</v>
      </c>
      <c r="D907">
        <f ca="1">_xlfn.VAR.P($B$2:B907)</f>
        <v>7.5048962277482953</v>
      </c>
      <c r="E907">
        <f t="shared" ca="1" si="100"/>
        <v>0.18868557158534693</v>
      </c>
      <c r="F907">
        <f t="shared" ca="1" si="101"/>
        <v>0</v>
      </c>
      <c r="G907">
        <f t="shared" ca="1" si="102"/>
        <v>2</v>
      </c>
      <c r="H907">
        <f ca="1">AVERAGE($G$2:G907)</f>
        <v>8.9403973509933773E-2</v>
      </c>
      <c r="I907">
        <f ca="1">_xlfn.VAR.P($G$2:G907)</f>
        <v>15.492006929520635</v>
      </c>
      <c r="AE907">
        <f t="shared" si="104"/>
        <v>905</v>
      </c>
      <c r="AF907" s="66">
        <f t="shared" si="103"/>
        <v>1</v>
      </c>
    </row>
    <row r="908" spans="1:32" x14ac:dyDescent="0.3">
      <c r="A908">
        <f t="shared" ca="1" si="98"/>
        <v>0.23967697602308535</v>
      </c>
      <c r="B908">
        <f t="shared" ca="1" si="99"/>
        <v>0</v>
      </c>
      <c r="C908">
        <f ca="1">AVERAGE($B$2:B908)</f>
        <v>2.4090407938257994</v>
      </c>
      <c r="D908">
        <f ca="1">_xlfn.VAR.P($B$2:B908)</f>
        <v>7.5030274150944081</v>
      </c>
      <c r="E908">
        <f t="shared" ca="1" si="100"/>
        <v>0.4147444617731727</v>
      </c>
      <c r="F908">
        <f t="shared" ca="1" si="101"/>
        <v>1</v>
      </c>
      <c r="G908">
        <f t="shared" ca="1" si="102"/>
        <v>-1</v>
      </c>
      <c r="H908">
        <f ca="1">AVERAGE($G$2:G908)</f>
        <v>8.8202866593164272E-2</v>
      </c>
      <c r="I908">
        <f ca="1">_xlfn.VAR.P($G$2:G908)</f>
        <v>15.476233484754738</v>
      </c>
      <c r="AE908">
        <f t="shared" si="104"/>
        <v>906</v>
      </c>
      <c r="AF908" s="66">
        <f t="shared" si="103"/>
        <v>1</v>
      </c>
    </row>
    <row r="909" spans="1:32" x14ac:dyDescent="0.3">
      <c r="A909">
        <f t="shared" ca="1" si="98"/>
        <v>0.28797742653938263</v>
      </c>
      <c r="B909">
        <f t="shared" ca="1" si="99"/>
        <v>0</v>
      </c>
      <c r="C909">
        <f ca="1">AVERAGE($B$2:B909)</f>
        <v>2.4063876651982379</v>
      </c>
      <c r="D909">
        <f ca="1">_xlfn.VAR.P($B$2:B909)</f>
        <v>7.5011486250460901</v>
      </c>
      <c r="E909">
        <f t="shared" ca="1" si="100"/>
        <v>1.3408211045364826E-2</v>
      </c>
      <c r="F909">
        <f t="shared" ca="1" si="101"/>
        <v>0</v>
      </c>
      <c r="G909">
        <f t="shared" ca="1" si="102"/>
        <v>0</v>
      </c>
      <c r="H909">
        <f ca="1">AVERAGE($G$2:G909)</f>
        <v>8.8105726872246701E-2</v>
      </c>
      <c r="I909">
        <f ca="1">_xlfn.VAR.P($G$2:G909)</f>
        <v>15.45919773331522</v>
      </c>
      <c r="AE909">
        <f t="shared" si="104"/>
        <v>907</v>
      </c>
      <c r="AF909" s="66">
        <f t="shared" si="103"/>
        <v>1</v>
      </c>
    </row>
    <row r="910" spans="1:32" x14ac:dyDescent="0.3">
      <c r="A910">
        <f t="shared" ca="1" si="98"/>
        <v>0.2202277924613939</v>
      </c>
      <c r="B910">
        <f t="shared" ca="1" si="99"/>
        <v>0</v>
      </c>
      <c r="C910">
        <f ca="1">AVERAGE($B$2:B910)</f>
        <v>2.4037403740374037</v>
      </c>
      <c r="D910">
        <f ca="1">_xlfn.VAR.P($B$2:B910)</f>
        <v>7.4992599369947994</v>
      </c>
      <c r="E910">
        <f t="shared" ca="1" si="100"/>
        <v>0.44945445760721736</v>
      </c>
      <c r="F910">
        <f t="shared" ca="1" si="101"/>
        <v>1</v>
      </c>
      <c r="G910">
        <f t="shared" ca="1" si="102"/>
        <v>-1</v>
      </c>
      <c r="H910">
        <f ca="1">AVERAGE($G$2:G910)</f>
        <v>8.690869086908691E-2</v>
      </c>
      <c r="I910">
        <f ca="1">_xlfn.VAR.P($G$2:G910)</f>
        <v>15.443491983961872</v>
      </c>
      <c r="AE910">
        <f t="shared" si="104"/>
        <v>908</v>
      </c>
      <c r="AF910" s="66">
        <f t="shared" si="103"/>
        <v>1</v>
      </c>
    </row>
    <row r="911" spans="1:32" x14ac:dyDescent="0.3">
      <c r="A911">
        <f t="shared" ca="1" si="98"/>
        <v>0.50112270848923057</v>
      </c>
      <c r="B911">
        <f t="shared" ca="1" si="99"/>
        <v>1</v>
      </c>
      <c r="C911">
        <f ca="1">AVERAGE($B$2:B911)</f>
        <v>2.4021978021978021</v>
      </c>
      <c r="D911">
        <f ca="1">_xlfn.VAR.P($B$2:B911)</f>
        <v>7.4931819828523123</v>
      </c>
      <c r="E911">
        <f t="shared" ca="1" si="100"/>
        <v>0.60232512882115086</v>
      </c>
      <c r="F911">
        <f t="shared" ca="1" si="101"/>
        <v>2</v>
      </c>
      <c r="G911">
        <f t="shared" ca="1" si="102"/>
        <v>-1</v>
      </c>
      <c r="H911">
        <f ca="1">AVERAGE($G$2:G911)</f>
        <v>8.5714285714285715E-2</v>
      </c>
      <c r="I911">
        <f ca="1">_xlfn.VAR.P($G$2:G911)</f>
        <v>15.427817896389325</v>
      </c>
      <c r="AE911">
        <f t="shared" si="104"/>
        <v>909</v>
      </c>
      <c r="AF911" s="66">
        <f t="shared" si="103"/>
        <v>1</v>
      </c>
    </row>
    <row r="912" spans="1:32" x14ac:dyDescent="0.3">
      <c r="A912">
        <f t="shared" ca="1" si="98"/>
        <v>8.2799082930732903E-2</v>
      </c>
      <c r="B912">
        <f t="shared" ca="1" si="99"/>
        <v>0</v>
      </c>
      <c r="C912">
        <f ca="1">AVERAGE($B$2:B912)</f>
        <v>2.3995609220636664</v>
      </c>
      <c r="D912">
        <f ca="1">_xlfn.VAR.P($B$2:B912)</f>
        <v>7.4912841101743419</v>
      </c>
      <c r="E912">
        <f t="shared" ca="1" si="100"/>
        <v>0.6192313669725229</v>
      </c>
      <c r="F912">
        <f t="shared" ca="1" si="101"/>
        <v>2</v>
      </c>
      <c r="G912">
        <f t="shared" ca="1" si="102"/>
        <v>-2</v>
      </c>
      <c r="H912">
        <f ca="1">AVERAGE($G$2:G912)</f>
        <v>8.3424807903402856E-2</v>
      </c>
      <c r="I912">
        <f ca="1">_xlfn.VAR.P($G$2:G912)</f>
        <v>15.415652815147466</v>
      </c>
      <c r="AE912">
        <f t="shared" si="104"/>
        <v>910</v>
      </c>
      <c r="AF912" s="66">
        <f t="shared" si="103"/>
        <v>1</v>
      </c>
    </row>
    <row r="913" spans="1:32" x14ac:dyDescent="0.3">
      <c r="A913">
        <f t="shared" ca="1" si="98"/>
        <v>0.1381262755054582</v>
      </c>
      <c r="B913">
        <f t="shared" ca="1" si="99"/>
        <v>0</v>
      </c>
      <c r="C913">
        <f ca="1">AVERAGE($B$2:B913)</f>
        <v>2.3969298245614037</v>
      </c>
      <c r="D913">
        <f ca="1">_xlfn.VAR.P($B$2:B913)</f>
        <v>7.4893765389350566</v>
      </c>
      <c r="E913">
        <f t="shared" ca="1" si="100"/>
        <v>0.73783132887936453</v>
      </c>
      <c r="F913">
        <f t="shared" ca="1" si="101"/>
        <v>3</v>
      </c>
      <c r="G913">
        <f t="shared" ca="1" si="102"/>
        <v>-3</v>
      </c>
      <c r="H913">
        <f ca="1">AVERAGE($G$2:G913)</f>
        <v>8.0043859649122806E-2</v>
      </c>
      <c r="I913">
        <f ca="1">_xlfn.VAR.P($G$2:G913)</f>
        <v>15.409163155971068</v>
      </c>
      <c r="AE913">
        <f t="shared" si="104"/>
        <v>911</v>
      </c>
      <c r="AF913" s="66">
        <f t="shared" si="103"/>
        <v>1</v>
      </c>
    </row>
    <row r="914" spans="1:32" x14ac:dyDescent="0.3">
      <c r="A914">
        <f t="shared" ca="1" si="98"/>
        <v>0.18503337380077911</v>
      </c>
      <c r="B914">
        <f t="shared" ca="1" si="99"/>
        <v>0</v>
      </c>
      <c r="C914">
        <f ca="1">AVERAGE($B$2:B914)</f>
        <v>2.394304490690033</v>
      </c>
      <c r="D914">
        <f ca="1">_xlfn.VAR.P($B$2:B914)</f>
        <v>7.4874593464968111</v>
      </c>
      <c r="E914">
        <f t="shared" ca="1" si="100"/>
        <v>0.12656369717636085</v>
      </c>
      <c r="F914">
        <f t="shared" ca="1" si="101"/>
        <v>0</v>
      </c>
      <c r="G914">
        <f t="shared" ca="1" si="102"/>
        <v>0</v>
      </c>
      <c r="H914">
        <f ca="1">AVERAGE($G$2:G914)</f>
        <v>7.9956188389923327E-2</v>
      </c>
      <c r="I914">
        <f ca="1">_xlfn.VAR.P($G$2:G914)</f>
        <v>15.392292659635855</v>
      </c>
      <c r="AE914">
        <f t="shared" si="104"/>
        <v>912</v>
      </c>
      <c r="AF914" s="66">
        <f t="shared" si="103"/>
        <v>1</v>
      </c>
    </row>
    <row r="915" spans="1:32" x14ac:dyDescent="0.3">
      <c r="A915">
        <f t="shared" ca="1" si="98"/>
        <v>0.70855315433981469</v>
      </c>
      <c r="B915">
        <f t="shared" ca="1" si="99"/>
        <v>3</v>
      </c>
      <c r="C915">
        <f ca="1">AVERAGE($B$2:B915)</f>
        <v>2.3949671772428882</v>
      </c>
      <c r="D915">
        <f ca="1">_xlfn.VAR.P($B$2:B915)</f>
        <v>7.4796683249620539</v>
      </c>
      <c r="E915">
        <f t="shared" ca="1" si="100"/>
        <v>0.65833504982674551</v>
      </c>
      <c r="F915">
        <f t="shared" ca="1" si="101"/>
        <v>3</v>
      </c>
      <c r="G915">
        <f t="shared" ca="1" si="102"/>
        <v>0</v>
      </c>
      <c r="H915">
        <f ca="1">AVERAGE($G$2:G915)</f>
        <v>7.9868708971553612E-2</v>
      </c>
      <c r="I915">
        <f ca="1">_xlfn.VAR.P($G$2:G915)</f>
        <v>15.375459063725467</v>
      </c>
      <c r="AE915">
        <f t="shared" si="104"/>
        <v>913</v>
      </c>
      <c r="AF915" s="66">
        <f t="shared" si="103"/>
        <v>1</v>
      </c>
    </row>
    <row r="916" spans="1:32" x14ac:dyDescent="0.3">
      <c r="A916">
        <f t="shared" ca="1" si="98"/>
        <v>0.93079882312280637</v>
      </c>
      <c r="B916">
        <f t="shared" ca="1" si="99"/>
        <v>7</v>
      </c>
      <c r="C916">
        <f ca="1">AVERAGE($B$2:B916)</f>
        <v>2.4</v>
      </c>
      <c r="D916">
        <f ca="1">_xlfn.VAR.P($B$2:B916)</f>
        <v>7.4946448087431694</v>
      </c>
      <c r="E916">
        <f t="shared" ca="1" si="100"/>
        <v>0.22389326279665522</v>
      </c>
      <c r="F916">
        <f t="shared" ca="1" si="101"/>
        <v>0</v>
      </c>
      <c r="G916">
        <f t="shared" ca="1" si="102"/>
        <v>7</v>
      </c>
      <c r="H916">
        <f ca="1">AVERAGE($G$2:G916)</f>
        <v>8.7431693989071038E-2</v>
      </c>
      <c r="I916">
        <f ca="1">_xlfn.VAR.P($G$2:G916)</f>
        <v>15.410934933858879</v>
      </c>
      <c r="AE916">
        <f t="shared" si="104"/>
        <v>914</v>
      </c>
      <c r="AF916" s="66">
        <f t="shared" si="103"/>
        <v>1</v>
      </c>
    </row>
    <row r="917" spans="1:32" x14ac:dyDescent="0.3">
      <c r="A917">
        <f t="shared" ca="1" si="98"/>
        <v>0.52581075130842392</v>
      </c>
      <c r="B917">
        <f t="shared" ca="1" si="99"/>
        <v>2</v>
      </c>
      <c r="C917">
        <f ca="1">AVERAGE($B$2:B917)</f>
        <v>2.3995633187772927</v>
      </c>
      <c r="D917">
        <f ca="1">_xlfn.VAR.P($B$2:B917)</f>
        <v>7.4866373638946628</v>
      </c>
      <c r="E917">
        <f t="shared" ca="1" si="100"/>
        <v>0.49896899272102169</v>
      </c>
      <c r="F917">
        <f t="shared" ca="1" si="101"/>
        <v>1</v>
      </c>
      <c r="G917">
        <f t="shared" ca="1" si="102"/>
        <v>1</v>
      </c>
      <c r="H917">
        <f ca="1">AVERAGE($G$2:G917)</f>
        <v>8.8427947598253273E-2</v>
      </c>
      <c r="I917">
        <f ca="1">_xlfn.VAR.P($G$2:G917)</f>
        <v>15.39501892603116</v>
      </c>
      <c r="AE917">
        <f t="shared" si="104"/>
        <v>915</v>
      </c>
      <c r="AF917" s="66">
        <f t="shared" si="103"/>
        <v>1</v>
      </c>
    </row>
    <row r="918" spans="1:32" x14ac:dyDescent="0.3">
      <c r="A918">
        <f t="shared" ca="1" si="98"/>
        <v>0.27411622272766445</v>
      </c>
      <c r="B918">
        <f t="shared" ca="1" si="99"/>
        <v>0</v>
      </c>
      <c r="C918">
        <f ca="1">AVERAGE($B$2:B918)</f>
        <v>2.3969465648854964</v>
      </c>
      <c r="D918">
        <f ca="1">_xlfn.VAR.P($B$2:B918)</f>
        <v>7.4847453112123006</v>
      </c>
      <c r="E918">
        <f t="shared" ca="1" si="100"/>
        <v>0.69265343271219348</v>
      </c>
      <c r="F918">
        <f t="shared" ca="1" si="101"/>
        <v>3</v>
      </c>
      <c r="G918">
        <f t="shared" ca="1" si="102"/>
        <v>-3</v>
      </c>
      <c r="H918">
        <f ca="1">AVERAGE($G$2:G918)</f>
        <v>8.5059978189749183E-2</v>
      </c>
      <c r="I918">
        <f ca="1">_xlfn.VAR.P($G$2:G918)</f>
        <v>15.388620852454961</v>
      </c>
      <c r="AE918">
        <f t="shared" si="104"/>
        <v>916</v>
      </c>
      <c r="AF918" s="66">
        <f t="shared" si="103"/>
        <v>1</v>
      </c>
    </row>
    <row r="919" spans="1:32" x14ac:dyDescent="0.3">
      <c r="A919">
        <f t="shared" ca="1" si="98"/>
        <v>0.62696003248137533</v>
      </c>
      <c r="B919">
        <f t="shared" ca="1" si="99"/>
        <v>2</v>
      </c>
      <c r="C919">
        <f ca="1">AVERAGE($B$2:B919)</f>
        <v>2.3965141612200438</v>
      </c>
      <c r="D919">
        <f ca="1">_xlfn.VAR.P($B$2:B919)</f>
        <v>7.4767634480565404</v>
      </c>
      <c r="E919">
        <f t="shared" ca="1" si="100"/>
        <v>0.47945620517944298</v>
      </c>
      <c r="F919">
        <f t="shared" ca="1" si="101"/>
        <v>1</v>
      </c>
      <c r="G919">
        <f t="shared" ca="1" si="102"/>
        <v>1</v>
      </c>
      <c r="H919">
        <f ca="1">AVERAGE($G$2:G919)</f>
        <v>8.6056644880174296E-2</v>
      </c>
      <c r="I919">
        <f ca="1">_xlfn.VAR.P($G$2:G919)</f>
        <v>15.372768545810965</v>
      </c>
      <c r="AE919">
        <f t="shared" si="104"/>
        <v>917</v>
      </c>
      <c r="AF919" s="66">
        <f t="shared" si="103"/>
        <v>1</v>
      </c>
    </row>
    <row r="920" spans="1:32" x14ac:dyDescent="0.3">
      <c r="A920">
        <f t="shared" ca="1" si="98"/>
        <v>0.29765246445857174</v>
      </c>
      <c r="B920">
        <f t="shared" ca="1" si="99"/>
        <v>0</v>
      </c>
      <c r="C920">
        <f ca="1">AVERAGE($B$2:B920)</f>
        <v>2.3939064200217626</v>
      </c>
      <c r="D920">
        <f ca="1">_xlfn.VAR.P($B$2:B920)</f>
        <v>7.4748703764440938</v>
      </c>
      <c r="E920">
        <f t="shared" ca="1" si="100"/>
        <v>0.17151209741947759</v>
      </c>
      <c r="F920">
        <f t="shared" ca="1" si="101"/>
        <v>0</v>
      </c>
      <c r="G920">
        <f t="shared" ca="1" si="102"/>
        <v>0</v>
      </c>
      <c r="H920">
        <f ca="1">AVERAGE($G$2:G920)</f>
        <v>8.5963003264417845E-2</v>
      </c>
      <c r="I920">
        <f ca="1">_xlfn.VAR.P($G$2:G920)</f>
        <v>15.356048882200339</v>
      </c>
      <c r="AE920">
        <f t="shared" si="104"/>
        <v>918</v>
      </c>
      <c r="AF920" s="66">
        <f t="shared" si="103"/>
        <v>1</v>
      </c>
    </row>
    <row r="921" spans="1:32" x14ac:dyDescent="0.3">
      <c r="A921">
        <f t="shared" ca="1" si="98"/>
        <v>0.72193238245169167</v>
      </c>
      <c r="B921">
        <f t="shared" ca="1" si="99"/>
        <v>3</v>
      </c>
      <c r="C921">
        <f ca="1">AVERAGE($B$2:B921)</f>
        <v>2.3945652173913046</v>
      </c>
      <c r="D921">
        <f ca="1">_xlfn.VAR.P($B$2:B921)</f>
        <v>7.4671443761814746</v>
      </c>
      <c r="E921">
        <f t="shared" ca="1" si="100"/>
        <v>0.80551679886079652</v>
      </c>
      <c r="F921">
        <f t="shared" ca="1" si="101"/>
        <v>4</v>
      </c>
      <c r="G921">
        <f t="shared" ca="1" si="102"/>
        <v>-1</v>
      </c>
      <c r="H921">
        <f ca="1">AVERAGE($G$2:G921)</f>
        <v>8.478260869565217E-2</v>
      </c>
      <c r="I921">
        <f ca="1">_xlfn.VAR.P($G$2:G921)</f>
        <v>15.340637996219282</v>
      </c>
      <c r="AE921">
        <f t="shared" si="104"/>
        <v>919</v>
      </c>
      <c r="AF921" s="66">
        <f t="shared" si="103"/>
        <v>1</v>
      </c>
    </row>
    <row r="922" spans="1:32" x14ac:dyDescent="0.3">
      <c r="A922">
        <f t="shared" ca="1" si="98"/>
        <v>0.91723320213616355</v>
      </c>
      <c r="B922">
        <f t="shared" ca="1" si="99"/>
        <v>6</v>
      </c>
      <c r="C922">
        <f ca="1">AVERAGE($B$2:B922)</f>
        <v>2.3984799131378938</v>
      </c>
      <c r="D922">
        <f ca="1">_xlfn.VAR.P($B$2:B922)</f>
        <v>7.4731355829298511</v>
      </c>
      <c r="E922">
        <f t="shared" ca="1" si="100"/>
        <v>0.8724171411709174</v>
      </c>
      <c r="F922">
        <f t="shared" ca="1" si="101"/>
        <v>5</v>
      </c>
      <c r="G922">
        <f t="shared" ca="1" si="102"/>
        <v>1</v>
      </c>
      <c r="H922">
        <f ca="1">AVERAGE($G$2:G922)</f>
        <v>8.577633007600434E-2</v>
      </c>
      <c r="I922">
        <f ca="1">_xlfn.VAR.P($G$2:G922)</f>
        <v>15.32488997820195</v>
      </c>
      <c r="AE922">
        <f t="shared" si="104"/>
        <v>920</v>
      </c>
      <c r="AF922" s="66">
        <f t="shared" si="103"/>
        <v>1</v>
      </c>
    </row>
    <row r="923" spans="1:32" x14ac:dyDescent="0.3">
      <c r="A923">
        <f t="shared" ca="1" si="98"/>
        <v>0.24340473399577289</v>
      </c>
      <c r="B923">
        <f t="shared" ca="1" si="99"/>
        <v>0</v>
      </c>
      <c r="C923">
        <f ca="1">AVERAGE($B$2:B923)</f>
        <v>2.3958785249457701</v>
      </c>
      <c r="D923">
        <f ca="1">_xlfn.VAR.P($B$2:B923)</f>
        <v>7.4712628399075856</v>
      </c>
      <c r="E923">
        <f t="shared" ca="1" si="100"/>
        <v>0.15346339955682287</v>
      </c>
      <c r="F923">
        <f t="shared" ca="1" si="101"/>
        <v>0</v>
      </c>
      <c r="G923">
        <f t="shared" ca="1" si="102"/>
        <v>0</v>
      </c>
      <c r="H923">
        <f ca="1">AVERAGE($G$2:G923)</f>
        <v>8.5683297180043388E-2</v>
      </c>
      <c r="I923">
        <f ca="1">_xlfn.VAR.P($G$2:G923)</f>
        <v>15.308276593842491</v>
      </c>
      <c r="AE923">
        <f t="shared" si="104"/>
        <v>921</v>
      </c>
      <c r="AF923" s="66">
        <f t="shared" si="103"/>
        <v>1</v>
      </c>
    </row>
    <row r="924" spans="1:32" x14ac:dyDescent="0.3">
      <c r="A924">
        <f t="shared" ca="1" si="98"/>
        <v>0.12058695885938897</v>
      </c>
      <c r="B924">
        <f t="shared" ca="1" si="99"/>
        <v>0</v>
      </c>
      <c r="C924">
        <f ca="1">AVERAGE($B$2:B924)</f>
        <v>2.3932827735644637</v>
      </c>
      <c r="D924">
        <f ca="1">_xlfn.VAR.P($B$2:B924)</f>
        <v>7.4693806643511369</v>
      </c>
      <c r="E924">
        <f t="shared" ca="1" si="100"/>
        <v>0.74749653000071115</v>
      </c>
      <c r="F924">
        <f t="shared" ca="1" si="101"/>
        <v>3</v>
      </c>
      <c r="G924">
        <f t="shared" ca="1" si="102"/>
        <v>-3</v>
      </c>
      <c r="H924">
        <f ca="1">AVERAGE($G$2:G924)</f>
        <v>8.2340195016251352E-2</v>
      </c>
      <c r="I924">
        <f ca="1">_xlfn.VAR.P($G$2:G924)</f>
        <v>15.301995823595629</v>
      </c>
      <c r="AE924">
        <f t="shared" si="104"/>
        <v>922</v>
      </c>
      <c r="AF924" s="66">
        <f t="shared" si="103"/>
        <v>1</v>
      </c>
    </row>
    <row r="925" spans="1:32" x14ac:dyDescent="0.3">
      <c r="A925">
        <f t="shared" ca="1" si="98"/>
        <v>0.6561043723655785</v>
      </c>
      <c r="B925">
        <f t="shared" ca="1" si="99"/>
        <v>2</v>
      </c>
      <c r="C925">
        <f ca="1">AVERAGE($B$2:B925)</f>
        <v>2.3928571428571428</v>
      </c>
      <c r="D925">
        <f ca="1">_xlfn.VAR.P($B$2:B925)</f>
        <v>7.4614641311069878</v>
      </c>
      <c r="E925">
        <f t="shared" ca="1" si="100"/>
        <v>0.17209377752457611</v>
      </c>
      <c r="F925">
        <f t="shared" ca="1" si="101"/>
        <v>0</v>
      </c>
      <c r="G925">
        <f t="shared" ca="1" si="102"/>
        <v>2</v>
      </c>
      <c r="H925">
        <f ca="1">AVERAGE($G$2:G925)</f>
        <v>8.4415584415584416E-2</v>
      </c>
      <c r="I925">
        <f ca="1">_xlfn.VAR.P($G$2:G925)</f>
        <v>15.289410805644572</v>
      </c>
      <c r="AE925">
        <f t="shared" si="104"/>
        <v>923</v>
      </c>
      <c r="AF925" s="66">
        <f t="shared" si="103"/>
        <v>1</v>
      </c>
    </row>
    <row r="926" spans="1:32" x14ac:dyDescent="0.3">
      <c r="A926">
        <f t="shared" ca="1" si="98"/>
        <v>0.19932617853286416</v>
      </c>
      <c r="B926">
        <f t="shared" ca="1" si="99"/>
        <v>0</v>
      </c>
      <c r="C926">
        <f ca="1">AVERAGE($B$2:B926)</f>
        <v>2.3902702702702703</v>
      </c>
      <c r="D926">
        <f ca="1">_xlfn.VAR.P($B$2:B926)</f>
        <v>7.4595810080350624</v>
      </c>
      <c r="E926">
        <f t="shared" ca="1" si="100"/>
        <v>0.39414159262587889</v>
      </c>
      <c r="F926">
        <f t="shared" ca="1" si="101"/>
        <v>1</v>
      </c>
      <c r="G926">
        <f t="shared" ca="1" si="102"/>
        <v>-1</v>
      </c>
      <c r="H926">
        <f ca="1">AVERAGE($G$2:G926)</f>
        <v>8.324324324324324E-2</v>
      </c>
      <c r="I926">
        <f ca="1">_xlfn.VAR.P($G$2:G926)</f>
        <v>15.274151643535427</v>
      </c>
      <c r="AE926">
        <f t="shared" si="104"/>
        <v>924</v>
      </c>
      <c r="AF926" s="66">
        <f t="shared" si="103"/>
        <v>1</v>
      </c>
    </row>
    <row r="927" spans="1:32" x14ac:dyDescent="0.3">
      <c r="A927">
        <f t="shared" ca="1" si="98"/>
        <v>0.83238513602781483</v>
      </c>
      <c r="B927">
        <f t="shared" ca="1" si="99"/>
        <v>5</v>
      </c>
      <c r="C927">
        <f ca="1">AVERAGE($B$2:B927)</f>
        <v>2.3930885529157666</v>
      </c>
      <c r="D927">
        <f ca="1">_xlfn.VAR.P($B$2:B927)</f>
        <v>7.4588723182922907</v>
      </c>
      <c r="E927">
        <f t="shared" ca="1" si="100"/>
        <v>0.80447153640867253</v>
      </c>
      <c r="F927">
        <f t="shared" ca="1" si="101"/>
        <v>4</v>
      </c>
      <c r="G927">
        <f t="shared" ca="1" si="102"/>
        <v>1</v>
      </c>
      <c r="H927">
        <f ca="1">AVERAGE($G$2:G927)</f>
        <v>8.4233261339092869E-2</v>
      </c>
      <c r="I927">
        <f ca="1">_xlfn.VAR.P($G$2:G927)</f>
        <v>15.258563504984396</v>
      </c>
      <c r="AE927">
        <f t="shared" si="104"/>
        <v>925</v>
      </c>
      <c r="AF927" s="66">
        <f t="shared" si="103"/>
        <v>1</v>
      </c>
    </row>
    <row r="928" spans="1:32" x14ac:dyDescent="0.3">
      <c r="A928">
        <f t="shared" ca="1" si="98"/>
        <v>0.70460641135314173</v>
      </c>
      <c r="B928">
        <f t="shared" ca="1" si="99"/>
        <v>3</v>
      </c>
      <c r="C928">
        <f ca="1">AVERAGE($B$2:B928)</f>
        <v>2.3937432578209279</v>
      </c>
      <c r="D928">
        <f ca="1">_xlfn.VAR.P($B$2:B928)</f>
        <v>7.4512229890996347</v>
      </c>
      <c r="E928">
        <f t="shared" ca="1" si="100"/>
        <v>0.14017095839381932</v>
      </c>
      <c r="F928">
        <f t="shared" ca="1" si="101"/>
        <v>0</v>
      </c>
      <c r="G928">
        <f t="shared" ca="1" si="102"/>
        <v>3</v>
      </c>
      <c r="H928">
        <f ca="1">AVERAGE($G$2:G928)</f>
        <v>8.7378640776699032E-2</v>
      </c>
      <c r="I928">
        <f ca="1">_xlfn.VAR.P($G$2:G928)</f>
        <v>15.251264649511421</v>
      </c>
      <c r="AE928">
        <f t="shared" si="104"/>
        <v>926</v>
      </c>
      <c r="AF928" s="66">
        <f t="shared" si="103"/>
        <v>1</v>
      </c>
    </row>
    <row r="929" spans="1:32" x14ac:dyDescent="0.3">
      <c r="A929">
        <f t="shared" ca="1" si="98"/>
        <v>0.47830654031860409</v>
      </c>
      <c r="B929">
        <f t="shared" ca="1" si="99"/>
        <v>1</v>
      </c>
      <c r="C929">
        <f ca="1">AVERAGE($B$2:B929)</f>
        <v>2.3922413793103448</v>
      </c>
      <c r="D929">
        <f ca="1">_xlfn.VAR.P($B$2:B929)</f>
        <v>7.4452846313912007</v>
      </c>
      <c r="E929">
        <f t="shared" ca="1" si="100"/>
        <v>0.54021022716359901</v>
      </c>
      <c r="F929">
        <f t="shared" ca="1" si="101"/>
        <v>2</v>
      </c>
      <c r="G929">
        <f t="shared" ca="1" si="102"/>
        <v>-1</v>
      </c>
      <c r="H929">
        <f ca="1">AVERAGE($G$2:G929)</f>
        <v>8.6206896551724144E-2</v>
      </c>
      <c r="I929">
        <f ca="1">_xlfn.VAR.P($G$2:G929)</f>
        <v>15.236102853745541</v>
      </c>
      <c r="AE929">
        <f t="shared" si="104"/>
        <v>927</v>
      </c>
      <c r="AF929" s="66">
        <f t="shared" si="103"/>
        <v>1</v>
      </c>
    </row>
    <row r="930" spans="1:32" x14ac:dyDescent="0.3">
      <c r="A930">
        <f t="shared" ca="1" si="98"/>
        <v>0.45232877331498178</v>
      </c>
      <c r="B930">
        <f t="shared" ca="1" si="99"/>
        <v>1</v>
      </c>
      <c r="C930">
        <f ca="1">AVERAGE($B$2:B930)</f>
        <v>2.3907427341227128</v>
      </c>
      <c r="D930">
        <f ca="1">_xlfn.VAR.P($B$2:B930)</f>
        <v>7.4393545613707808</v>
      </c>
      <c r="E930">
        <f t="shared" ca="1" si="100"/>
        <v>1.6277413870968704E-4</v>
      </c>
      <c r="F930">
        <f t="shared" ca="1" si="101"/>
        <v>0</v>
      </c>
      <c r="G930">
        <f t="shared" ca="1" si="102"/>
        <v>1</v>
      </c>
      <c r="H930">
        <f ca="1">AVERAGE($G$2:G930)</f>
        <v>8.7190527448869751E-2</v>
      </c>
      <c r="I930">
        <f ca="1">_xlfn.VAR.P($G$2:G930)</f>
        <v>15.22060018006097</v>
      </c>
      <c r="AE930">
        <f t="shared" si="104"/>
        <v>928</v>
      </c>
      <c r="AF930" s="66">
        <f t="shared" si="103"/>
        <v>1</v>
      </c>
    </row>
    <row r="931" spans="1:32" x14ac:dyDescent="0.3">
      <c r="A931">
        <f t="shared" ca="1" si="98"/>
        <v>0.53491398574068061</v>
      </c>
      <c r="B931">
        <f t="shared" ca="1" si="99"/>
        <v>2</v>
      </c>
      <c r="C931">
        <f ca="1">AVERAGE($B$2:B931)</f>
        <v>2.3903225806451611</v>
      </c>
      <c r="D931">
        <f ca="1">_xlfn.VAR.P($B$2:B931)</f>
        <v>7.4315192507804371</v>
      </c>
      <c r="E931">
        <f t="shared" ca="1" si="100"/>
        <v>0.11090044381166353</v>
      </c>
      <c r="F931">
        <f t="shared" ca="1" si="101"/>
        <v>0</v>
      </c>
      <c r="G931">
        <f t="shared" ca="1" si="102"/>
        <v>2</v>
      </c>
      <c r="H931">
        <f ca="1">AVERAGE($G$2:G931)</f>
        <v>8.924731182795699E-2</v>
      </c>
      <c r="I931">
        <f ca="1">_xlfn.VAR.P($G$2:G931)</f>
        <v>15.208163949589547</v>
      </c>
      <c r="AE931">
        <f t="shared" si="104"/>
        <v>929</v>
      </c>
      <c r="AF931" s="66">
        <f t="shared" si="103"/>
        <v>1</v>
      </c>
    </row>
    <row r="932" spans="1:32" x14ac:dyDescent="0.3">
      <c r="A932">
        <f t="shared" ca="1" si="98"/>
        <v>0.90708468804170395</v>
      </c>
      <c r="B932">
        <f t="shared" ca="1" si="99"/>
        <v>6</v>
      </c>
      <c r="C932">
        <f ca="1">AVERAGE($B$2:B932)</f>
        <v>2.394199785177229</v>
      </c>
      <c r="D932">
        <f ca="1">_xlfn.VAR.P($B$2:B932)</f>
        <v>7.4375173779161727</v>
      </c>
      <c r="E932">
        <f t="shared" ca="1" si="100"/>
        <v>0.19003030867794268</v>
      </c>
      <c r="F932">
        <f t="shared" ca="1" si="101"/>
        <v>0</v>
      </c>
      <c r="G932">
        <f t="shared" ca="1" si="102"/>
        <v>6</v>
      </c>
      <c r="H932">
        <f ca="1">AVERAGE($G$2:G932)</f>
        <v>9.5596133190118157E-2</v>
      </c>
      <c r="I932">
        <f ca="1">_xlfn.VAR.P($G$2:G932)</f>
        <v>15.229314655366359</v>
      </c>
      <c r="AE932">
        <f t="shared" si="104"/>
        <v>930</v>
      </c>
      <c r="AF932" s="66">
        <f t="shared" si="103"/>
        <v>1</v>
      </c>
    </row>
    <row r="933" spans="1:32" x14ac:dyDescent="0.3">
      <c r="A933">
        <f t="shared" ca="1" si="98"/>
        <v>0.54219725162158305</v>
      </c>
      <c r="B933">
        <f t="shared" ca="1" si="99"/>
        <v>2</v>
      </c>
      <c r="C933">
        <f ca="1">AVERAGE($B$2:B933)</f>
        <v>2.3937768240343349</v>
      </c>
      <c r="D933">
        <f ca="1">_xlfn.VAR.P($B$2:B933)</f>
        <v>7.4297037613512869</v>
      </c>
      <c r="E933">
        <f t="shared" ca="1" si="100"/>
        <v>0.51087500655051488</v>
      </c>
      <c r="F933">
        <f t="shared" ca="1" si="101"/>
        <v>2</v>
      </c>
      <c r="G933">
        <f t="shared" ca="1" si="102"/>
        <v>0</v>
      </c>
      <c r="H933">
        <f ca="1">AVERAGE($G$2:G933)</f>
        <v>9.5493562231759657E-2</v>
      </c>
      <c r="I933">
        <f ca="1">_xlfn.VAR.P($G$2:G933)</f>
        <v>15.212983983864135</v>
      </c>
      <c r="AE933">
        <f t="shared" si="104"/>
        <v>931</v>
      </c>
      <c r="AF933" s="66">
        <f t="shared" si="103"/>
        <v>1</v>
      </c>
    </row>
    <row r="934" spans="1:32" x14ac:dyDescent="0.3">
      <c r="A934">
        <f t="shared" ca="1" si="98"/>
        <v>0.10730356152384235</v>
      </c>
      <c r="B934">
        <f t="shared" ca="1" si="99"/>
        <v>0</v>
      </c>
      <c r="C934">
        <f ca="1">AVERAGE($B$2:B934)</f>
        <v>2.3912111468381565</v>
      </c>
      <c r="D934">
        <f ca="1">_xlfn.VAR.P($B$2:B934)</f>
        <v>7.4278755963602068</v>
      </c>
      <c r="E934">
        <f t="shared" ca="1" si="100"/>
        <v>0.15716021584856776</v>
      </c>
      <c r="F934">
        <f t="shared" ca="1" si="101"/>
        <v>0</v>
      </c>
      <c r="G934">
        <f t="shared" ca="1" si="102"/>
        <v>0</v>
      </c>
      <c r="H934">
        <f ca="1">AVERAGE($G$2:G934)</f>
        <v>9.5391211146838156E-2</v>
      </c>
      <c r="I934">
        <f ca="1">_xlfn.VAR.P($G$2:G934)</f>
        <v>15.196688298186421</v>
      </c>
      <c r="AE934">
        <f t="shared" si="104"/>
        <v>932</v>
      </c>
      <c r="AF934" s="66">
        <f t="shared" si="103"/>
        <v>1</v>
      </c>
    </row>
    <row r="935" spans="1:32" x14ac:dyDescent="0.3">
      <c r="A935">
        <f t="shared" ca="1" si="98"/>
        <v>0.25409882655895977</v>
      </c>
      <c r="B935">
        <f t="shared" ca="1" si="99"/>
        <v>0</v>
      </c>
      <c r="C935">
        <f ca="1">AVERAGE($B$2:B935)</f>
        <v>2.3886509635974305</v>
      </c>
      <c r="D935">
        <f ca="1">_xlfn.VAR.P($B$2:B935)</f>
        <v>7.4260382229273372</v>
      </c>
      <c r="E935">
        <f t="shared" ca="1" si="100"/>
        <v>0.34484127706838019</v>
      </c>
      <c r="F935">
        <f t="shared" ca="1" si="101"/>
        <v>1</v>
      </c>
      <c r="G935">
        <f t="shared" ca="1" si="102"/>
        <v>-1</v>
      </c>
      <c r="H935">
        <f ca="1">AVERAGE($G$2:G935)</f>
        <v>9.421841541755889E-2</v>
      </c>
      <c r="I935">
        <f ca="1">_xlfn.VAR.P($G$2:G935)</f>
        <v>15.181701048654448</v>
      </c>
      <c r="AE935">
        <f t="shared" si="104"/>
        <v>933</v>
      </c>
      <c r="AF935" s="66">
        <f t="shared" si="103"/>
        <v>1</v>
      </c>
    </row>
    <row r="936" spans="1:32" x14ac:dyDescent="0.3">
      <c r="A936">
        <f t="shared" ca="1" si="98"/>
        <v>0.74934761770696334</v>
      </c>
      <c r="B936">
        <f t="shared" ca="1" si="99"/>
        <v>3</v>
      </c>
      <c r="C936">
        <f ca="1">AVERAGE($B$2:B936)</f>
        <v>2.3893048128342245</v>
      </c>
      <c r="D936">
        <f ca="1">_xlfn.VAR.P($B$2:B936)</f>
        <v>7.4184952386399381</v>
      </c>
      <c r="E936">
        <f t="shared" ca="1" si="100"/>
        <v>0.60852091645417583</v>
      </c>
      <c r="F936">
        <f t="shared" ca="1" si="101"/>
        <v>2</v>
      </c>
      <c r="G936">
        <f t="shared" ca="1" si="102"/>
        <v>1</v>
      </c>
      <c r="H936">
        <f ca="1">AVERAGE($G$2:G936)</f>
        <v>9.5187165775401067E-2</v>
      </c>
      <c r="I936">
        <f ca="1">_xlfn.VAR.P($G$2:G936)</f>
        <v>15.166340472990363</v>
      </c>
      <c r="AE936">
        <f t="shared" si="104"/>
        <v>934</v>
      </c>
      <c r="AF936" s="66">
        <f t="shared" si="103"/>
        <v>1</v>
      </c>
    </row>
    <row r="937" spans="1:32" x14ac:dyDescent="0.3">
      <c r="A937">
        <f t="shared" ca="1" si="98"/>
        <v>0.18914487636894972</v>
      </c>
      <c r="B937">
        <f t="shared" ca="1" si="99"/>
        <v>0</v>
      </c>
      <c r="C937">
        <f ca="1">AVERAGE($B$2:B937)</f>
        <v>2.3867521367521367</v>
      </c>
      <c r="D937">
        <f ca="1">_xlfn.VAR.P($B$2:B937)</f>
        <v>7.4166621009569731</v>
      </c>
      <c r="E937">
        <f t="shared" ca="1" si="100"/>
        <v>0.75807821373268014</v>
      </c>
      <c r="F937">
        <f t="shared" ca="1" si="101"/>
        <v>3</v>
      </c>
      <c r="G937">
        <f t="shared" ca="1" si="102"/>
        <v>-3</v>
      </c>
      <c r="H937">
        <f ca="1">AVERAGE($G$2:G937)</f>
        <v>9.1880341880341887E-2</v>
      </c>
      <c r="I937">
        <f ca="1">_xlfn.VAR.P($G$2:G937)</f>
        <v>15.160361421579371</v>
      </c>
      <c r="AE937">
        <f t="shared" si="104"/>
        <v>935</v>
      </c>
      <c r="AF937" s="66">
        <f t="shared" si="103"/>
        <v>1</v>
      </c>
    </row>
    <row r="938" spans="1:32" x14ac:dyDescent="0.3">
      <c r="A938">
        <f t="shared" ca="1" si="98"/>
        <v>0.77593822073375751</v>
      </c>
      <c r="B938">
        <f t="shared" ca="1" si="99"/>
        <v>4</v>
      </c>
      <c r="C938">
        <f ca="1">AVERAGE($B$2:B938)</f>
        <v>2.3884738527214515</v>
      </c>
      <c r="D938">
        <f ca="1">_xlfn.VAR.P($B$2:B938)</f>
        <v>7.4115213635105563</v>
      </c>
      <c r="E938">
        <f t="shared" ca="1" si="100"/>
        <v>0.93169559525436119</v>
      </c>
      <c r="F938">
        <f t="shared" ca="1" si="101"/>
        <v>7</v>
      </c>
      <c r="G938">
        <f t="shared" ca="1" si="102"/>
        <v>-3</v>
      </c>
      <c r="H938">
        <f ca="1">AVERAGE($G$2:G938)</f>
        <v>8.8580576307363934E-2</v>
      </c>
      <c r="I938">
        <f ca="1">_xlfn.VAR.P($G$2:G938)</f>
        <v>15.154373332088035</v>
      </c>
      <c r="AE938">
        <f t="shared" si="104"/>
        <v>936</v>
      </c>
      <c r="AF938" s="66">
        <f t="shared" si="103"/>
        <v>1</v>
      </c>
    </row>
    <row r="939" spans="1:32" x14ac:dyDescent="0.3">
      <c r="A939">
        <f t="shared" ca="1" si="98"/>
        <v>9.8181542129300081E-2</v>
      </c>
      <c r="B939">
        <f t="shared" ca="1" si="99"/>
        <v>0</v>
      </c>
      <c r="C939">
        <f ca="1">AVERAGE($B$2:B939)</f>
        <v>2.3859275053304905</v>
      </c>
      <c r="D939">
        <f ca="1">_xlfn.VAR.P($B$2:B939)</f>
        <v>7.4096953550856739</v>
      </c>
      <c r="E939">
        <f t="shared" ca="1" si="100"/>
        <v>0.95040957182325347</v>
      </c>
      <c r="F939">
        <f t="shared" ca="1" si="101"/>
        <v>8</v>
      </c>
      <c r="G939">
        <f t="shared" ca="1" si="102"/>
        <v>-8</v>
      </c>
      <c r="H939">
        <f ca="1">AVERAGE($G$2:G939)</f>
        <v>7.9957356076759065E-2</v>
      </c>
      <c r="I939">
        <f ca="1">_xlfn.VAR.P($G$2:G939)</f>
        <v>15.207892535494929</v>
      </c>
      <c r="AE939">
        <f t="shared" si="104"/>
        <v>937</v>
      </c>
      <c r="AF939" s="66">
        <f t="shared" si="103"/>
        <v>1</v>
      </c>
    </row>
    <row r="940" spans="1:32" x14ac:dyDescent="0.3">
      <c r="A940">
        <f t="shared" ca="1" si="98"/>
        <v>0.87807141290438506</v>
      </c>
      <c r="B940">
        <f t="shared" ca="1" si="99"/>
        <v>5</v>
      </c>
      <c r="C940">
        <f ca="1">AVERAGE($B$2:B940)</f>
        <v>2.3887113951011716</v>
      </c>
      <c r="D940">
        <f ca="1">_xlfn.VAR.P($B$2:B940)</f>
        <v>7.40907384535471</v>
      </c>
      <c r="E940">
        <f t="shared" ca="1" si="100"/>
        <v>0.11658054919104655</v>
      </c>
      <c r="F940">
        <f t="shared" ca="1" si="101"/>
        <v>0</v>
      </c>
      <c r="G940">
        <f t="shared" ca="1" si="102"/>
        <v>5</v>
      </c>
      <c r="H940">
        <f ca="1">AVERAGE($G$2:G940)</f>
        <v>8.5197018104366348E-2</v>
      </c>
      <c r="I940">
        <f ca="1">_xlfn.VAR.P($G$2:G940)</f>
        <v>15.21744860335639</v>
      </c>
      <c r="AE940">
        <f t="shared" si="104"/>
        <v>938</v>
      </c>
      <c r="AF940" s="66">
        <f t="shared" si="103"/>
        <v>1</v>
      </c>
    </row>
    <row r="941" spans="1:32" x14ac:dyDescent="0.3">
      <c r="A941">
        <f t="shared" ca="1" si="98"/>
        <v>0.94449434477398475</v>
      </c>
      <c r="B941">
        <f t="shared" ca="1" si="99"/>
        <v>8</v>
      </c>
      <c r="C941">
        <f ca="1">AVERAGE($B$2:B941)</f>
        <v>2.3946808510638298</v>
      </c>
      <c r="D941">
        <f ca="1">_xlfn.VAR.P($B$2:B941)</f>
        <v>7.434652557718425</v>
      </c>
      <c r="E941">
        <f t="shared" ca="1" si="100"/>
        <v>0.44925333759522901</v>
      </c>
      <c r="F941">
        <f t="shared" ca="1" si="101"/>
        <v>1</v>
      </c>
      <c r="G941">
        <f t="shared" ca="1" si="102"/>
        <v>7</v>
      </c>
      <c r="H941">
        <f ca="1">AVERAGE($G$2:G941)</f>
        <v>9.2553191489361697E-2</v>
      </c>
      <c r="I941">
        <f ca="1">_xlfn.VAR.P($G$2:G941)</f>
        <v>15.252072204617473</v>
      </c>
      <c r="AE941">
        <f t="shared" si="104"/>
        <v>939</v>
      </c>
      <c r="AF941" s="66">
        <f t="shared" si="103"/>
        <v>1</v>
      </c>
    </row>
    <row r="942" spans="1:32" x14ac:dyDescent="0.3">
      <c r="A942">
        <f t="shared" ca="1" si="98"/>
        <v>0.20993995473230531</v>
      </c>
      <c r="B942">
        <f t="shared" ca="1" si="99"/>
        <v>0</v>
      </c>
      <c r="C942">
        <f ca="1">AVERAGE($B$2:B942)</f>
        <v>2.3921360255047821</v>
      </c>
      <c r="D942">
        <f ca="1">_xlfn.VAR.P($B$2:B942)</f>
        <v>7.43283932687432</v>
      </c>
      <c r="E942">
        <f t="shared" ca="1" si="100"/>
        <v>0.97110557327198765</v>
      </c>
      <c r="F942">
        <f t="shared" ca="1" si="101"/>
        <v>9</v>
      </c>
      <c r="G942">
        <f t="shared" ca="1" si="102"/>
        <v>-9</v>
      </c>
      <c r="H942">
        <f ca="1">AVERAGE($G$2:G942)</f>
        <v>8.2890541976620616E-2</v>
      </c>
      <c r="I942">
        <f ca="1">_xlfn.VAR.P($G$2:G942)</f>
        <v>15.323628626701193</v>
      </c>
      <c r="AE942">
        <f t="shared" si="104"/>
        <v>940</v>
      </c>
      <c r="AF942" s="66">
        <f t="shared" si="103"/>
        <v>1</v>
      </c>
    </row>
    <row r="943" spans="1:32" x14ac:dyDescent="0.3">
      <c r="A943">
        <f t="shared" ca="1" si="98"/>
        <v>0.46582903358577432</v>
      </c>
      <c r="B943">
        <f t="shared" ca="1" si="99"/>
        <v>1</v>
      </c>
      <c r="C943">
        <f ca="1">AVERAGE($B$2:B943)</f>
        <v>2.3906581740976645</v>
      </c>
      <c r="D943">
        <f ca="1">_xlfn.VAR.P($B$2:B943)</f>
        <v>7.4270040254055836</v>
      </c>
      <c r="E943">
        <f t="shared" ca="1" si="100"/>
        <v>0.3552321517075353</v>
      </c>
      <c r="F943">
        <f t="shared" ca="1" si="101"/>
        <v>1</v>
      </c>
      <c r="G943">
        <f t="shared" ca="1" si="102"/>
        <v>0</v>
      </c>
      <c r="H943">
        <f ca="1">AVERAGE($G$2:G943)</f>
        <v>8.2802547770700632E-2</v>
      </c>
      <c r="I943">
        <f ca="1">_xlfn.VAR.P($G$2:G943)</f>
        <v>15.307368791161236</v>
      </c>
      <c r="AE943">
        <f t="shared" si="104"/>
        <v>941</v>
      </c>
      <c r="AF943" s="66">
        <f t="shared" si="103"/>
        <v>1</v>
      </c>
    </row>
    <row r="944" spans="1:32" x14ac:dyDescent="0.3">
      <c r="A944">
        <f t="shared" ca="1" si="98"/>
        <v>0.57263289172876131</v>
      </c>
      <c r="B944">
        <f t="shared" ca="1" si="99"/>
        <v>2</v>
      </c>
      <c r="C944">
        <f ca="1">AVERAGE($B$2:B944)</f>
        <v>2.3902439024390243</v>
      </c>
      <c r="D944">
        <f ca="1">_xlfn.VAR.P($B$2:B944)</f>
        <v>7.419289760235884</v>
      </c>
      <c r="E944">
        <f t="shared" ca="1" si="100"/>
        <v>0.33796870302320259</v>
      </c>
      <c r="F944">
        <f t="shared" ca="1" si="101"/>
        <v>1</v>
      </c>
      <c r="G944">
        <f t="shared" ca="1" si="102"/>
        <v>1</v>
      </c>
      <c r="H944">
        <f ca="1">AVERAGE($G$2:G944)</f>
        <v>8.3775185577942737E-2</v>
      </c>
      <c r="I944">
        <f ca="1">_xlfn.VAR.P($G$2:G944)</f>
        <v>15.292027317433025</v>
      </c>
      <c r="AE944">
        <f t="shared" si="104"/>
        <v>942</v>
      </c>
      <c r="AF944" s="66">
        <f t="shared" si="103"/>
        <v>1</v>
      </c>
    </row>
    <row r="945" spans="1:32" x14ac:dyDescent="0.3">
      <c r="A945">
        <f t="shared" ca="1" si="98"/>
        <v>9.8874789477165659E-2</v>
      </c>
      <c r="B945">
        <f t="shared" ca="1" si="99"/>
        <v>0</v>
      </c>
      <c r="C945">
        <f ca="1">AVERAGE($B$2:B945)</f>
        <v>2.3877118644067798</v>
      </c>
      <c r="D945">
        <f ca="1">_xlfn.VAR.P($B$2:B945)</f>
        <v>7.4174761203677102</v>
      </c>
      <c r="E945">
        <f t="shared" ca="1" si="100"/>
        <v>0.74861374257367608</v>
      </c>
      <c r="F945">
        <f t="shared" ca="1" si="101"/>
        <v>3</v>
      </c>
      <c r="G945">
        <f t="shared" ca="1" si="102"/>
        <v>-3</v>
      </c>
      <c r="H945">
        <f ca="1">AVERAGE($G$2:G945)</f>
        <v>8.050847457627118E-2</v>
      </c>
      <c r="I945">
        <f ca="1">_xlfn.VAR.P($G$2:G945)</f>
        <v>15.285891266877334</v>
      </c>
      <c r="AE945">
        <f t="shared" si="104"/>
        <v>943</v>
      </c>
      <c r="AF945" s="66">
        <f t="shared" si="103"/>
        <v>1</v>
      </c>
    </row>
    <row r="946" spans="1:32" x14ac:dyDescent="0.3">
      <c r="A946">
        <f t="shared" ca="1" si="98"/>
        <v>0.98186198883464681</v>
      </c>
      <c r="B946">
        <f t="shared" ca="1" si="99"/>
        <v>11</v>
      </c>
      <c r="C946">
        <f ca="1">AVERAGE($B$2:B946)</f>
        <v>2.3968253968253967</v>
      </c>
      <c r="D946">
        <f ca="1">_xlfn.VAR.P($B$2:B946)</f>
        <v>7.488032249937012</v>
      </c>
      <c r="E946">
        <f t="shared" ca="1" si="100"/>
        <v>0.84720340248292247</v>
      </c>
      <c r="F946">
        <f t="shared" ca="1" si="101"/>
        <v>5</v>
      </c>
      <c r="G946">
        <f t="shared" ca="1" si="102"/>
        <v>6</v>
      </c>
      <c r="H946">
        <f ca="1">AVERAGE($G$2:G946)</f>
        <v>8.6772486772486779E-2</v>
      </c>
      <c r="I946">
        <f ca="1">_xlfn.VAR.P($G$2:G946)</f>
        <v>15.306756249825034</v>
      </c>
      <c r="AE946">
        <f t="shared" si="104"/>
        <v>944</v>
      </c>
      <c r="AF946" s="66">
        <f t="shared" si="103"/>
        <v>1</v>
      </c>
    </row>
    <row r="947" spans="1:32" x14ac:dyDescent="0.3">
      <c r="A947">
        <f t="shared" ca="1" si="98"/>
        <v>0.50989388785458822</v>
      </c>
      <c r="B947">
        <f t="shared" ca="1" si="99"/>
        <v>1</v>
      </c>
      <c r="C947">
        <f ca="1">AVERAGE($B$2:B947)</f>
        <v>2.3953488372093021</v>
      </c>
      <c r="D947">
        <f ca="1">_xlfn.VAR.P($B$2:B947)</f>
        <v>7.4821770981857512</v>
      </c>
      <c r="E947">
        <f t="shared" ca="1" si="100"/>
        <v>0.41634321418502807</v>
      </c>
      <c r="F947">
        <f t="shared" ca="1" si="101"/>
        <v>1</v>
      </c>
      <c r="G947">
        <f t="shared" ca="1" si="102"/>
        <v>0</v>
      </c>
      <c r="H947">
        <f ca="1">AVERAGE($G$2:G947)</f>
        <v>8.6680761099365747E-2</v>
      </c>
      <c r="I947">
        <f ca="1">_xlfn.VAR.P($G$2:G947)</f>
        <v>15.290583697240859</v>
      </c>
      <c r="AE947">
        <f t="shared" si="104"/>
        <v>945</v>
      </c>
      <c r="AF947" s="66">
        <f t="shared" si="103"/>
        <v>1</v>
      </c>
    </row>
    <row r="948" spans="1:32" x14ac:dyDescent="0.3">
      <c r="A948">
        <f t="shared" ca="1" si="98"/>
        <v>9.6451242714085339E-2</v>
      </c>
      <c r="B948">
        <f t="shared" ca="1" si="99"/>
        <v>0</v>
      </c>
      <c r="C948">
        <f ca="1">AVERAGE($B$2:B948)</f>
        <v>2.392819429778247</v>
      </c>
      <c r="D948">
        <f ca="1">_xlfn.VAR.P($B$2:B948)</f>
        <v>7.4803285872465599</v>
      </c>
      <c r="E948">
        <f t="shared" ca="1" si="100"/>
        <v>0.88950464881898428</v>
      </c>
      <c r="F948">
        <f t="shared" ca="1" si="101"/>
        <v>6</v>
      </c>
      <c r="G948">
        <f t="shared" ca="1" si="102"/>
        <v>-6</v>
      </c>
      <c r="H948">
        <f ca="1">AVERAGE($G$2:G948)</f>
        <v>8.0253431890179514E-2</v>
      </c>
      <c r="I948">
        <f ca="1">_xlfn.VAR.P($G$2:G948)</f>
        <v>15.313517148021486</v>
      </c>
      <c r="AE948">
        <f t="shared" si="104"/>
        <v>946</v>
      </c>
      <c r="AF948" s="66">
        <f t="shared" si="103"/>
        <v>1</v>
      </c>
    </row>
    <row r="949" spans="1:32" x14ac:dyDescent="0.3">
      <c r="A949">
        <f t="shared" ca="1" si="98"/>
        <v>0.74801147936390644</v>
      </c>
      <c r="B949">
        <f t="shared" ca="1" si="99"/>
        <v>3</v>
      </c>
      <c r="C949">
        <f ca="1">AVERAGE($B$2:B949)</f>
        <v>2.3934599156118144</v>
      </c>
      <c r="D949">
        <f ca="1">_xlfn.VAR.P($B$2:B949)</f>
        <v>7.4728264256084316</v>
      </c>
      <c r="E949">
        <f t="shared" ca="1" si="100"/>
        <v>0.37556852257275886</v>
      </c>
      <c r="F949">
        <f t="shared" ca="1" si="101"/>
        <v>1</v>
      </c>
      <c r="G949">
        <f t="shared" ca="1" si="102"/>
        <v>2</v>
      </c>
      <c r="H949">
        <f ca="1">AVERAGE($G$2:G949)</f>
        <v>8.2278481012658222E-2</v>
      </c>
      <c r="I949">
        <f ca="1">_xlfn.VAR.P($G$2:G949)</f>
        <v>15.30124712919938</v>
      </c>
      <c r="AE949">
        <f t="shared" si="104"/>
        <v>947</v>
      </c>
      <c r="AF949" s="66">
        <f t="shared" si="103"/>
        <v>1</v>
      </c>
    </row>
    <row r="950" spans="1:32" x14ac:dyDescent="0.3">
      <c r="A950">
        <f t="shared" ca="1" si="98"/>
        <v>4.1229336075181422E-3</v>
      </c>
      <c r="B950">
        <f t="shared" ca="1" si="99"/>
        <v>0</v>
      </c>
      <c r="C950">
        <f ca="1">AVERAGE($B$2:B950)</f>
        <v>2.3909378292939936</v>
      </c>
      <c r="D950">
        <f ca="1">_xlfn.VAR.P($B$2:B950)</f>
        <v>7.4709821552496614</v>
      </c>
      <c r="E950">
        <f t="shared" ca="1" si="100"/>
        <v>0.29077430357428224</v>
      </c>
      <c r="F950">
        <f t="shared" ca="1" si="101"/>
        <v>0</v>
      </c>
      <c r="G950">
        <f t="shared" ca="1" si="102"/>
        <v>0</v>
      </c>
      <c r="H950">
        <f ca="1">AVERAGE($G$2:G950)</f>
        <v>8.2191780821917804E-2</v>
      </c>
      <c r="I950">
        <f ca="1">_xlfn.VAR.P($G$2:G950)</f>
        <v>15.285130707161107</v>
      </c>
      <c r="AE950">
        <f t="shared" si="104"/>
        <v>948</v>
      </c>
      <c r="AF950" s="66">
        <f t="shared" si="103"/>
        <v>1</v>
      </c>
    </row>
    <row r="951" spans="1:32" x14ac:dyDescent="0.3">
      <c r="A951">
        <f t="shared" ca="1" si="98"/>
        <v>2.1334722927283112E-2</v>
      </c>
      <c r="B951">
        <f t="shared" ca="1" si="99"/>
        <v>0</v>
      </c>
      <c r="C951">
        <f ca="1">AVERAGE($B$2:B951)</f>
        <v>2.3884210526315788</v>
      </c>
      <c r="D951">
        <f ca="1">_xlfn.VAR.P($B$2:B951)</f>
        <v>7.4691290858725763</v>
      </c>
      <c r="E951">
        <f t="shared" ca="1" si="100"/>
        <v>5.1389772760186303E-2</v>
      </c>
      <c r="F951">
        <f t="shared" ca="1" si="101"/>
        <v>0</v>
      </c>
      <c r="G951">
        <f t="shared" ca="1" si="102"/>
        <v>0</v>
      </c>
      <c r="H951">
        <f ca="1">AVERAGE($G$2:G951)</f>
        <v>8.2105263157894737E-2</v>
      </c>
      <c r="I951">
        <f ca="1">_xlfn.VAR.P($G$2:G951)</f>
        <v>15.269048199445983</v>
      </c>
      <c r="AE951">
        <f t="shared" si="104"/>
        <v>949</v>
      </c>
      <c r="AF951" s="66">
        <f t="shared" si="103"/>
        <v>1</v>
      </c>
    </row>
    <row r="952" spans="1:32" x14ac:dyDescent="0.3">
      <c r="A952">
        <f t="shared" ca="1" si="98"/>
        <v>0.91679617646687317</v>
      </c>
      <c r="B952">
        <f t="shared" ca="1" si="99"/>
        <v>6</v>
      </c>
      <c r="C952">
        <f ca="1">AVERAGE($B$2:B952)</f>
        <v>2.3922187171398526</v>
      </c>
      <c r="D952">
        <f ca="1">_xlfn.VAR.P($B$2:B952)</f>
        <v>7.4749762550019296</v>
      </c>
      <c r="E952">
        <f t="shared" ca="1" si="100"/>
        <v>0.45993376485298365</v>
      </c>
      <c r="F952">
        <f t="shared" ca="1" si="101"/>
        <v>1</v>
      </c>
      <c r="G952">
        <f t="shared" ca="1" si="102"/>
        <v>5</v>
      </c>
      <c r="H952">
        <f ca="1">AVERAGE($G$2:G952)</f>
        <v>8.7276550998948474E-2</v>
      </c>
      <c r="I952">
        <f ca="1">_xlfn.VAR.P($G$2:G952)</f>
        <v>15.27839752499168</v>
      </c>
      <c r="AE952">
        <f t="shared" si="104"/>
        <v>950</v>
      </c>
      <c r="AF952" s="66">
        <f t="shared" si="103"/>
        <v>1</v>
      </c>
    </row>
    <row r="953" spans="1:32" x14ac:dyDescent="0.3">
      <c r="A953">
        <f t="shared" ca="1" si="98"/>
        <v>0.7144705897918574</v>
      </c>
      <c r="B953">
        <f t="shared" ca="1" si="99"/>
        <v>3</v>
      </c>
      <c r="C953">
        <f ca="1">AVERAGE($B$2:B953)</f>
        <v>2.3928571428571428</v>
      </c>
      <c r="D953">
        <f ca="1">_xlfn.VAR.P($B$2:B953)</f>
        <v>7.4675120048019208</v>
      </c>
      <c r="E953">
        <f t="shared" ca="1" si="100"/>
        <v>0.49124270582628005</v>
      </c>
      <c r="F953">
        <f t="shared" ca="1" si="101"/>
        <v>1</v>
      </c>
      <c r="G953">
        <f t="shared" ca="1" si="102"/>
        <v>2</v>
      </c>
      <c r="H953">
        <f ca="1">AVERAGE($G$2:G953)</f>
        <v>8.9285714285714288E-2</v>
      </c>
      <c r="I953">
        <f ca="1">_xlfn.VAR.P($G$2:G953)</f>
        <v>15.266187725090036</v>
      </c>
      <c r="AE953">
        <f t="shared" si="104"/>
        <v>951</v>
      </c>
      <c r="AF953" s="66">
        <f t="shared" si="103"/>
        <v>1</v>
      </c>
    </row>
    <row r="954" spans="1:32" x14ac:dyDescent="0.3">
      <c r="A954">
        <f t="shared" ca="1" si="98"/>
        <v>0.1085205166162696</v>
      </c>
      <c r="B954">
        <f t="shared" ca="1" si="99"/>
        <v>0</v>
      </c>
      <c r="C954">
        <f ca="1">AVERAGE($B$2:B954)</f>
        <v>2.3903462749213014</v>
      </c>
      <c r="D954">
        <f ca="1">_xlfn.VAR.P($B$2:B954)</f>
        <v>7.4656780542804571</v>
      </c>
      <c r="E954">
        <f t="shared" ca="1" si="100"/>
        <v>0.29320206959638917</v>
      </c>
      <c r="F954">
        <f t="shared" ca="1" si="101"/>
        <v>0</v>
      </c>
      <c r="G954">
        <f t="shared" ca="1" si="102"/>
        <v>0</v>
      </c>
      <c r="H954">
        <f ca="1">AVERAGE($G$2:G954)</f>
        <v>8.9192025183630647E-2</v>
      </c>
      <c r="I954">
        <f ca="1">_xlfn.VAR.P($G$2:G954)</f>
        <v>15.250176996704504</v>
      </c>
      <c r="AE954">
        <f t="shared" si="104"/>
        <v>952</v>
      </c>
      <c r="AF954" s="66">
        <f t="shared" si="103"/>
        <v>1</v>
      </c>
    </row>
    <row r="955" spans="1:32" x14ac:dyDescent="0.3">
      <c r="A955">
        <f t="shared" ca="1" si="98"/>
        <v>0.74084896222953733</v>
      </c>
      <c r="B955">
        <f t="shared" ca="1" si="99"/>
        <v>3</v>
      </c>
      <c r="C955">
        <f ca="1">AVERAGE($B$2:B955)</f>
        <v>2.390985324947589</v>
      </c>
      <c r="D955">
        <f ca="1">_xlfn.VAR.P($B$2:B955)</f>
        <v>7.4582415867867393</v>
      </c>
      <c r="E955">
        <f t="shared" ca="1" si="100"/>
        <v>0.86670222299305821</v>
      </c>
      <c r="F955">
        <f t="shared" ca="1" si="101"/>
        <v>5</v>
      </c>
      <c r="G955">
        <f t="shared" ca="1" si="102"/>
        <v>-2</v>
      </c>
      <c r="H955">
        <f ca="1">AVERAGE($G$2:G955)</f>
        <v>8.7002096436058704E-2</v>
      </c>
      <c r="I955">
        <f ca="1">_xlfn.VAR.P($G$2:G955)</f>
        <v>15.238761872113006</v>
      </c>
      <c r="AE955">
        <f t="shared" si="104"/>
        <v>953</v>
      </c>
      <c r="AF955" s="66">
        <f t="shared" si="103"/>
        <v>1</v>
      </c>
    </row>
    <row r="956" spans="1:32" x14ac:dyDescent="0.3">
      <c r="A956">
        <f t="shared" ca="1" si="98"/>
        <v>0.17604782947637698</v>
      </c>
      <c r="B956">
        <f t="shared" ca="1" si="99"/>
        <v>0</v>
      </c>
      <c r="C956">
        <f ca="1">AVERAGE($B$2:B956)</f>
        <v>2.3884816753926703</v>
      </c>
      <c r="D956">
        <f ca="1">_xlfn.VAR.P($B$2:B956)</f>
        <v>7.456411830816041</v>
      </c>
      <c r="E956">
        <f t="shared" ca="1" si="100"/>
        <v>0.91331234837664788</v>
      </c>
      <c r="F956">
        <f t="shared" ca="1" si="101"/>
        <v>6</v>
      </c>
      <c r="G956">
        <f t="shared" ca="1" si="102"/>
        <v>-6</v>
      </c>
      <c r="H956">
        <f ca="1">AVERAGE($G$2:G956)</f>
        <v>8.0628272251308905E-2</v>
      </c>
      <c r="I956">
        <f ca="1">_xlfn.VAR.P($G$2:G956)</f>
        <v>15.2615619089389</v>
      </c>
      <c r="AE956">
        <f t="shared" si="104"/>
        <v>954</v>
      </c>
      <c r="AF956" s="66">
        <f t="shared" si="103"/>
        <v>1</v>
      </c>
    </row>
    <row r="957" spans="1:32" x14ac:dyDescent="0.3">
      <c r="A957">
        <f t="shared" ca="1" si="98"/>
        <v>0.87431972963938431</v>
      </c>
      <c r="B957">
        <f t="shared" ca="1" si="99"/>
        <v>5</v>
      </c>
      <c r="C957">
        <f ca="1">AVERAGE($B$2:B957)</f>
        <v>2.3912133891213387</v>
      </c>
      <c r="D957">
        <f ca="1">_xlfn.VAR.P($B$2:B957)</f>
        <v>7.4557386950508571</v>
      </c>
      <c r="E957">
        <f t="shared" ca="1" si="100"/>
        <v>0.13271563307068734</v>
      </c>
      <c r="F957">
        <f t="shared" ca="1" si="101"/>
        <v>0</v>
      </c>
      <c r="G957">
        <f t="shared" ca="1" si="102"/>
        <v>5</v>
      </c>
      <c r="H957">
        <f ca="1">AVERAGE($G$2:G957)</f>
        <v>8.5774058577405859E-2</v>
      </c>
      <c r="I957">
        <f ca="1">_xlfn.VAR.P($G$2:G957)</f>
        <v>15.270885488699427</v>
      </c>
      <c r="AE957">
        <f t="shared" si="104"/>
        <v>955</v>
      </c>
      <c r="AF957" s="66">
        <f t="shared" si="103"/>
        <v>1</v>
      </c>
    </row>
    <row r="958" spans="1:32" x14ac:dyDescent="0.3">
      <c r="A958">
        <f t="shared" ca="1" si="98"/>
        <v>0.86900582330749943</v>
      </c>
      <c r="B958">
        <f t="shared" ca="1" si="99"/>
        <v>5</v>
      </c>
      <c r="C958">
        <f ca="1">AVERAGE($B$2:B958)</f>
        <v>2.393939393939394</v>
      </c>
      <c r="D958">
        <f ca="1">_xlfn.VAR.P($B$2:B958)</f>
        <v>7.4550520882809286</v>
      </c>
      <c r="E958">
        <f t="shared" ca="1" si="100"/>
        <v>0.17830309955259993</v>
      </c>
      <c r="F958">
        <f t="shared" ca="1" si="101"/>
        <v>0</v>
      </c>
      <c r="G958">
        <f t="shared" ca="1" si="102"/>
        <v>5</v>
      </c>
      <c r="H958">
        <f ca="1">AVERAGE($G$2:G958)</f>
        <v>9.0909090909090912E-2</v>
      </c>
      <c r="I958">
        <f ca="1">_xlfn.VAR.P($G$2:G958)</f>
        <v>15.280136791108578</v>
      </c>
      <c r="AE958">
        <f t="shared" si="104"/>
        <v>956</v>
      </c>
      <c r="AF958" s="66">
        <f t="shared" si="103"/>
        <v>1</v>
      </c>
    </row>
    <row r="959" spans="1:32" x14ac:dyDescent="0.3">
      <c r="A959">
        <f t="shared" ca="1" si="98"/>
        <v>0.90776812874000823</v>
      </c>
      <c r="B959">
        <f t="shared" ca="1" si="99"/>
        <v>6</v>
      </c>
      <c r="C959">
        <f ca="1">AVERAGE($B$2:B959)</f>
        <v>2.3977035490605427</v>
      </c>
      <c r="D959">
        <f ca="1">_xlfn.VAR.P($B$2:B959)</f>
        <v>7.4608297993819761</v>
      </c>
      <c r="E959">
        <f t="shared" ca="1" si="100"/>
        <v>9.3705525808341239E-2</v>
      </c>
      <c r="F959">
        <f t="shared" ca="1" si="101"/>
        <v>0</v>
      </c>
      <c r="G959">
        <f t="shared" ca="1" si="102"/>
        <v>6</v>
      </c>
      <c r="H959">
        <f ca="1">AVERAGE($G$2:G959)</f>
        <v>9.7077244258872653E-2</v>
      </c>
      <c r="I959">
        <f ca="1">_xlfn.VAR.P($G$2:G959)</f>
        <v>15.300596885473826</v>
      </c>
      <c r="AE959">
        <f t="shared" si="104"/>
        <v>957</v>
      </c>
      <c r="AF959" s="66">
        <f t="shared" si="103"/>
        <v>1</v>
      </c>
    </row>
    <row r="960" spans="1:32" x14ac:dyDescent="0.3">
      <c r="A960">
        <f t="shared" ca="1" si="98"/>
        <v>0.34770516044880384</v>
      </c>
      <c r="B960">
        <f t="shared" ca="1" si="99"/>
        <v>1</v>
      </c>
      <c r="C960">
        <f ca="1">AVERAGE($B$2:B960)</f>
        <v>2.3962460896767466</v>
      </c>
      <c r="D960">
        <f ca="1">_xlfn.VAR.P($B$2:B960)</f>
        <v>7.4550849696797039</v>
      </c>
      <c r="E960">
        <f t="shared" ca="1" si="100"/>
        <v>0.18845034865129717</v>
      </c>
      <c r="F960">
        <f t="shared" ca="1" si="101"/>
        <v>0</v>
      </c>
      <c r="G960">
        <f t="shared" ca="1" si="102"/>
        <v>1</v>
      </c>
      <c r="H960">
        <f ca="1">AVERAGE($G$2:G960)</f>
        <v>9.8018769551616272E-2</v>
      </c>
      <c r="I960">
        <f ca="1">_xlfn.VAR.P($G$2:G960)</f>
        <v>15.285491382338007</v>
      </c>
      <c r="AE960">
        <f t="shared" si="104"/>
        <v>958</v>
      </c>
      <c r="AF960" s="66">
        <f t="shared" si="103"/>
        <v>1</v>
      </c>
    </row>
    <row r="961" spans="1:32" x14ac:dyDescent="0.3">
      <c r="A961">
        <f t="shared" ca="1" si="98"/>
        <v>8.3509960012256856E-3</v>
      </c>
      <c r="B961">
        <f t="shared" ca="1" si="99"/>
        <v>0</v>
      </c>
      <c r="C961">
        <f ca="1">AVERAGE($B$2:B961)</f>
        <v>2.3937499999999998</v>
      </c>
      <c r="D961">
        <f ca="1">_xlfn.VAR.P($B$2:B961)</f>
        <v>7.4532942708333332</v>
      </c>
      <c r="E961">
        <f t="shared" ca="1" si="100"/>
        <v>3.2265325264131284E-2</v>
      </c>
      <c r="F961">
        <f t="shared" ca="1" si="101"/>
        <v>0</v>
      </c>
      <c r="G961">
        <f t="shared" ca="1" si="102"/>
        <v>0</v>
      </c>
      <c r="H961">
        <f ca="1">AVERAGE($G$2:G961)</f>
        <v>9.7916666666666666E-2</v>
      </c>
      <c r="I961">
        <f ca="1">_xlfn.VAR.P($G$2:G961)</f>
        <v>15.269578993055555</v>
      </c>
      <c r="AE961">
        <f t="shared" si="104"/>
        <v>959</v>
      </c>
      <c r="AF961" s="66">
        <f t="shared" si="103"/>
        <v>1</v>
      </c>
    </row>
    <row r="962" spans="1:32" x14ac:dyDescent="0.3">
      <c r="A962">
        <f t="shared" ca="1" si="98"/>
        <v>0.9003161553673199</v>
      </c>
      <c r="B962">
        <f t="shared" ca="1" si="99"/>
        <v>6</v>
      </c>
      <c r="C962">
        <f ca="1">AVERAGE($B$2:B962)</f>
        <v>2.3975026014568157</v>
      </c>
      <c r="D962">
        <f ca="1">_xlfn.VAR.P($B$2:B962)</f>
        <v>7.4590572385468228</v>
      </c>
      <c r="E962">
        <f t="shared" ca="1" si="100"/>
        <v>0.83761300016669249</v>
      </c>
      <c r="F962">
        <f t="shared" ca="1" si="101"/>
        <v>5</v>
      </c>
      <c r="G962">
        <f t="shared" ca="1" si="102"/>
        <v>1</v>
      </c>
      <c r="H962">
        <f ca="1">AVERAGE($G$2:G962)</f>
        <v>9.8855359001040588E-2</v>
      </c>
      <c r="I962">
        <f ca="1">_xlfn.VAR.P($G$2:G962)</f>
        <v>15.254535630483769</v>
      </c>
      <c r="AE962">
        <f t="shared" si="104"/>
        <v>960</v>
      </c>
      <c r="AF962" s="66">
        <f t="shared" si="103"/>
        <v>1</v>
      </c>
    </row>
    <row r="963" spans="1:32" x14ac:dyDescent="0.3">
      <c r="A963">
        <f t="shared" ref="A963:A1001" ca="1" si="105">RAND()</f>
        <v>0.68977584525336066</v>
      </c>
      <c r="B963">
        <f t="shared" ref="B963:B1001" ca="1" si="106">LOOKUP(A963,$AF$2:$AF$1002,$AE$2:$AE$1002)</f>
        <v>3</v>
      </c>
      <c r="C963">
        <f ca="1">AVERAGE($B$2:B963)</f>
        <v>2.3981288981288982</v>
      </c>
      <c r="D963">
        <f ca="1">_xlfn.VAR.P($B$2:B963)</f>
        <v>7.4516804906617793</v>
      </c>
      <c r="E963">
        <f t="shared" ref="E963:E1001" ca="1" si="107">RAND()</f>
        <v>0.42524908243265147</v>
      </c>
      <c r="F963">
        <f t="shared" ref="F963:F1001" ca="1" si="108">LOOKUP(E963,$AF$2:$AF$1002,$AE$2:$AE$1002)</f>
        <v>1</v>
      </c>
      <c r="G963">
        <f t="shared" ref="G963:G1001" ca="1" si="109">B963-F963</f>
        <v>2</v>
      </c>
      <c r="H963">
        <f ca="1">AVERAGE($G$2:G963)</f>
        <v>0.10083160083160084</v>
      </c>
      <c r="I963">
        <f ca="1">_xlfn.VAR.P($G$2:G963)</f>
        <v>15.242431740872489</v>
      </c>
      <c r="AE963">
        <f t="shared" si="104"/>
        <v>961</v>
      </c>
      <c r="AF963" s="66">
        <f t="shared" ref="AF963:AF1002" si="110">_xlfn.NEGBINOM.DIST(AE963-1,1,$K$1,TRUE)</f>
        <v>1</v>
      </c>
    </row>
    <row r="964" spans="1:32" x14ac:dyDescent="0.3">
      <c r="A964">
        <f t="shared" ca="1" si="105"/>
        <v>0.31580194079477453</v>
      </c>
      <c r="B964">
        <f t="shared" ca="1" si="106"/>
        <v>1</v>
      </c>
      <c r="C964">
        <f ca="1">AVERAGE($B$2:B964)</f>
        <v>2.3966770508826585</v>
      </c>
      <c r="D964">
        <f ca="1">_xlfn.VAR.P($B$2:B964)</f>
        <v>7.4459702664203782</v>
      </c>
      <c r="E964">
        <f t="shared" ca="1" si="107"/>
        <v>0.88351637700000263</v>
      </c>
      <c r="F964">
        <f t="shared" ca="1" si="108"/>
        <v>6</v>
      </c>
      <c r="G964">
        <f t="shared" ca="1" si="109"/>
        <v>-5</v>
      </c>
      <c r="H964">
        <f ca="1">AVERAGE($G$2:G964)</f>
        <v>9.5534787123572176E-2</v>
      </c>
      <c r="I964">
        <f ca="1">_xlfn.VAR.P($G$2:G964)</f>
        <v>15.253593769039076</v>
      </c>
      <c r="AE964">
        <f t="shared" si="104"/>
        <v>962</v>
      </c>
      <c r="AF964" s="66">
        <f t="shared" si="110"/>
        <v>1</v>
      </c>
    </row>
    <row r="965" spans="1:32" x14ac:dyDescent="0.3">
      <c r="A965">
        <f t="shared" ca="1" si="105"/>
        <v>0.46219869566606486</v>
      </c>
      <c r="B965">
        <f t="shared" ca="1" si="106"/>
        <v>1</v>
      </c>
      <c r="C965">
        <f ca="1">AVERAGE($B$2:B965)</f>
        <v>2.3952282157676348</v>
      </c>
      <c r="D965">
        <f ca="1">_xlfn.VAR.P($B$2:B965)</f>
        <v>7.4402676865067754</v>
      </c>
      <c r="E965">
        <f t="shared" ca="1" si="107"/>
        <v>0.25329240114999996</v>
      </c>
      <c r="F965">
        <f t="shared" ca="1" si="108"/>
        <v>0</v>
      </c>
      <c r="G965">
        <f t="shared" ca="1" si="109"/>
        <v>1</v>
      </c>
      <c r="H965">
        <f ca="1">AVERAGE($G$2:G965)</f>
        <v>9.6473029045643158E-2</v>
      </c>
      <c r="I965">
        <f ca="1">_xlfn.VAR.P($G$2:G965)</f>
        <v>15.238618265870079</v>
      </c>
      <c r="AE965">
        <f t="shared" ref="AE965:AE1002" si="111">AE964+1</f>
        <v>963</v>
      </c>
      <c r="AF965" s="66">
        <f t="shared" si="110"/>
        <v>1</v>
      </c>
    </row>
    <row r="966" spans="1:32" x14ac:dyDescent="0.3">
      <c r="A966">
        <f t="shared" ca="1" si="105"/>
        <v>0.71176995648465946</v>
      </c>
      <c r="B966">
        <f t="shared" ca="1" si="106"/>
        <v>3</v>
      </c>
      <c r="C966">
        <f ca="1">AVERAGE($B$2:B966)</f>
        <v>2.3958549222797929</v>
      </c>
      <c r="D966">
        <f ca="1">_xlfn.VAR.P($B$2:B966)</f>
        <v>7.4329361862063408</v>
      </c>
      <c r="E966">
        <f t="shared" ca="1" si="107"/>
        <v>0.35710611639691447</v>
      </c>
      <c r="F966">
        <f t="shared" ca="1" si="108"/>
        <v>1</v>
      </c>
      <c r="G966">
        <f t="shared" ca="1" si="109"/>
        <v>2</v>
      </c>
      <c r="H966">
        <f ca="1">AVERAGE($G$2:G966)</f>
        <v>9.8445595854922283E-2</v>
      </c>
      <c r="I966">
        <f ca="1">_xlfn.VAR.P($G$2:G966)</f>
        <v>15.226577894708583</v>
      </c>
      <c r="AE966">
        <f t="shared" si="111"/>
        <v>964</v>
      </c>
      <c r="AF966" s="66">
        <f t="shared" si="110"/>
        <v>1</v>
      </c>
    </row>
    <row r="967" spans="1:32" x14ac:dyDescent="0.3">
      <c r="A967">
        <f t="shared" ca="1" si="105"/>
        <v>0.79399045326506434</v>
      </c>
      <c r="B967">
        <f t="shared" ca="1" si="106"/>
        <v>4</v>
      </c>
      <c r="C967">
        <f ca="1">AVERAGE($B$2:B967)</f>
        <v>2.3975155279503104</v>
      </c>
      <c r="D967">
        <f ca="1">_xlfn.VAR.P($B$2:B967)</f>
        <v>7.4279027300901461</v>
      </c>
      <c r="E967">
        <f t="shared" ca="1" si="107"/>
        <v>0.59433492185010772</v>
      </c>
      <c r="F967">
        <f t="shared" ca="1" si="108"/>
        <v>2</v>
      </c>
      <c r="G967">
        <f t="shared" ca="1" si="109"/>
        <v>2</v>
      </c>
      <c r="H967">
        <f ca="1">AVERAGE($G$2:G967)</f>
        <v>0.10041407867494824</v>
      </c>
      <c r="I967">
        <f ca="1">_xlfn.VAR.P($G$2:G967)</f>
        <v>15.214554693963281</v>
      </c>
      <c r="AE967">
        <f t="shared" si="111"/>
        <v>965</v>
      </c>
      <c r="AF967" s="66">
        <f t="shared" si="110"/>
        <v>1</v>
      </c>
    </row>
    <row r="968" spans="1:32" x14ac:dyDescent="0.3">
      <c r="A968">
        <f t="shared" ca="1" si="105"/>
        <v>0.70640634278718228</v>
      </c>
      <c r="B968">
        <f t="shared" ca="1" si="106"/>
        <v>3</v>
      </c>
      <c r="C968">
        <f ca="1">AVERAGE($B$2:B968)</f>
        <v>2.3981385729058946</v>
      </c>
      <c r="D968">
        <f ca="1">_xlfn.VAR.P($B$2:B968)</f>
        <v>7.4205963282639402</v>
      </c>
      <c r="E968">
        <f t="shared" ca="1" si="107"/>
        <v>0.6254688765179528</v>
      </c>
      <c r="F968">
        <f t="shared" ca="1" si="108"/>
        <v>2</v>
      </c>
      <c r="G968">
        <f t="shared" ca="1" si="109"/>
        <v>1</v>
      </c>
      <c r="H968">
        <f ca="1">AVERAGE($G$2:G968)</f>
        <v>0.10134436401240951</v>
      </c>
      <c r="I968">
        <f ca="1">_xlfn.VAR.P($G$2:G968)</f>
        <v>15.199656931051482</v>
      </c>
      <c r="AE968">
        <f t="shared" si="111"/>
        <v>966</v>
      </c>
      <c r="AF968" s="66">
        <f t="shared" si="110"/>
        <v>1</v>
      </c>
    </row>
    <row r="969" spans="1:32" x14ac:dyDescent="0.3">
      <c r="A969">
        <f t="shared" ca="1" si="105"/>
        <v>0.43452386184176817</v>
      </c>
      <c r="B969">
        <f t="shared" ca="1" si="106"/>
        <v>1</v>
      </c>
      <c r="C969">
        <f ca="1">AVERAGE($B$2:B969)</f>
        <v>2.3966942148760331</v>
      </c>
      <c r="D969">
        <f ca="1">_xlfn.VAR.P($B$2:B969)</f>
        <v>7.4149477494706648</v>
      </c>
      <c r="E969">
        <f t="shared" ca="1" si="107"/>
        <v>0.67080078128373699</v>
      </c>
      <c r="F969">
        <f t="shared" ca="1" si="108"/>
        <v>3</v>
      </c>
      <c r="G969">
        <f t="shared" ca="1" si="109"/>
        <v>-2</v>
      </c>
      <c r="H969">
        <f ca="1">AVERAGE($G$2:G969)</f>
        <v>9.9173553719008267E-2</v>
      </c>
      <c r="I969">
        <f ca="1">_xlfn.VAR.P($G$2:G969)</f>
        <v>15.188511713680759</v>
      </c>
      <c r="AE969">
        <f t="shared" si="111"/>
        <v>967</v>
      </c>
      <c r="AF969" s="66">
        <f t="shared" si="110"/>
        <v>1</v>
      </c>
    </row>
    <row r="970" spans="1:32" x14ac:dyDescent="0.3">
      <c r="A970">
        <f t="shared" ca="1" si="105"/>
        <v>7.1801876295661815E-2</v>
      </c>
      <c r="B970">
        <f t="shared" ca="1" si="106"/>
        <v>0</v>
      </c>
      <c r="C970">
        <f ca="1">AVERAGE($B$2:B970)</f>
        <v>2.3942208462332299</v>
      </c>
      <c r="D970">
        <f ca="1">_xlfn.VAR.P($B$2:B970)</f>
        <v>7.4132173753755479</v>
      </c>
      <c r="E970">
        <f t="shared" ca="1" si="107"/>
        <v>0.21800614671001906</v>
      </c>
      <c r="F970">
        <f t="shared" ca="1" si="108"/>
        <v>0</v>
      </c>
      <c r="G970">
        <f t="shared" ca="1" si="109"/>
        <v>0</v>
      </c>
      <c r="H970">
        <f ca="1">AVERAGE($G$2:G970)</f>
        <v>9.9071207430340563E-2</v>
      </c>
      <c r="I970">
        <f ca="1">_xlfn.VAR.P($G$2:G970)</f>
        <v>15.172847434557985</v>
      </c>
      <c r="AE970">
        <f t="shared" si="111"/>
        <v>968</v>
      </c>
      <c r="AF970" s="66">
        <f t="shared" si="110"/>
        <v>1</v>
      </c>
    </row>
    <row r="971" spans="1:32" x14ac:dyDescent="0.3">
      <c r="A971">
        <f t="shared" ca="1" si="105"/>
        <v>0.59742163127715198</v>
      </c>
      <c r="B971">
        <f t="shared" ca="1" si="106"/>
        <v>2</v>
      </c>
      <c r="C971">
        <f ca="1">AVERAGE($B$2:B971)</f>
        <v>2.3938144329896907</v>
      </c>
      <c r="D971">
        <f ca="1">_xlfn.VAR.P($B$2:B971)</f>
        <v>7.4057349346370493</v>
      </c>
      <c r="E971">
        <f t="shared" ca="1" si="107"/>
        <v>0.79752108595912163</v>
      </c>
      <c r="F971">
        <f t="shared" ca="1" si="108"/>
        <v>4</v>
      </c>
      <c r="G971">
        <f t="shared" ca="1" si="109"/>
        <v>-2</v>
      </c>
      <c r="H971">
        <f ca="1">AVERAGE($G$2:G971)</f>
        <v>9.6907216494845363E-2</v>
      </c>
      <c r="I971">
        <f ca="1">_xlfn.VAR.P($G$2:G971)</f>
        <v>15.161743012009778</v>
      </c>
      <c r="AE971">
        <f t="shared" si="111"/>
        <v>969</v>
      </c>
      <c r="AF971" s="66">
        <f t="shared" si="110"/>
        <v>1</v>
      </c>
    </row>
    <row r="972" spans="1:32" x14ac:dyDescent="0.3">
      <c r="A972">
        <f t="shared" ca="1" si="105"/>
        <v>0.43612050516790746</v>
      </c>
      <c r="B972">
        <f t="shared" ca="1" si="106"/>
        <v>1</v>
      </c>
      <c r="C972">
        <f ca="1">AVERAGE($B$2:B972)</f>
        <v>2.392378990731205</v>
      </c>
      <c r="D972">
        <f ca="1">_xlfn.VAR.P($B$2:B972)</f>
        <v>7.4001066987965096</v>
      </c>
      <c r="E972">
        <f t="shared" ca="1" si="107"/>
        <v>0.84351162250391998</v>
      </c>
      <c r="F972">
        <f t="shared" ca="1" si="108"/>
        <v>5</v>
      </c>
      <c r="G972">
        <f t="shared" ca="1" si="109"/>
        <v>-4</v>
      </c>
      <c r="H972">
        <f ca="1">AVERAGE($G$2:G972)</f>
        <v>9.2687950566426369E-2</v>
      </c>
      <c r="I972">
        <f ca="1">_xlfn.VAR.P($G$2:G972)</f>
        <v>15.163396585426387</v>
      </c>
      <c r="AE972">
        <f t="shared" si="111"/>
        <v>970</v>
      </c>
      <c r="AF972" s="66">
        <f t="shared" si="110"/>
        <v>1</v>
      </c>
    </row>
    <row r="973" spans="1:32" x14ac:dyDescent="0.3">
      <c r="A973">
        <f t="shared" ca="1" si="105"/>
        <v>0.37537828353615454</v>
      </c>
      <c r="B973">
        <f t="shared" ca="1" si="106"/>
        <v>1</v>
      </c>
      <c r="C973">
        <f ca="1">AVERAGE($B$2:B973)</f>
        <v>2.3909465020576133</v>
      </c>
      <c r="D973">
        <f ca="1">_xlfn.VAR.P($B$2:B973)</f>
        <v>7.3944859354095751</v>
      </c>
      <c r="E973">
        <f t="shared" ca="1" si="107"/>
        <v>0.76379561461473355</v>
      </c>
      <c r="F973">
        <f t="shared" ca="1" si="108"/>
        <v>4</v>
      </c>
      <c r="G973">
        <f t="shared" ca="1" si="109"/>
        <v>-3</v>
      </c>
      <c r="H973">
        <f ca="1">AVERAGE($G$2:G973)</f>
        <v>8.9506172839506168E-2</v>
      </c>
      <c r="I973">
        <f ca="1">_xlfn.VAR.P($G$2:G973)</f>
        <v>15.157626505105929</v>
      </c>
      <c r="AE973">
        <f t="shared" si="111"/>
        <v>971</v>
      </c>
      <c r="AF973" s="66">
        <f t="shared" si="110"/>
        <v>1</v>
      </c>
    </row>
    <row r="974" spans="1:32" x14ac:dyDescent="0.3">
      <c r="A974">
        <f t="shared" ca="1" si="105"/>
        <v>0.21866424080955515</v>
      </c>
      <c r="B974">
        <f t="shared" ca="1" si="106"/>
        <v>0</v>
      </c>
      <c r="C974">
        <f ca="1">AVERAGE($B$2:B974)</f>
        <v>2.3884892086330933</v>
      </c>
      <c r="D974">
        <f ca="1">_xlfn.VAR.P($B$2:B974)</f>
        <v>7.3927554770161263</v>
      </c>
      <c r="E974">
        <f t="shared" ca="1" si="107"/>
        <v>0.35573045814886661</v>
      </c>
      <c r="F974">
        <f t="shared" ca="1" si="108"/>
        <v>1</v>
      </c>
      <c r="G974">
        <f t="shared" ca="1" si="109"/>
        <v>-1</v>
      </c>
      <c r="H974">
        <f ca="1">AVERAGE($G$2:G974)</f>
        <v>8.8386433710174711E-2</v>
      </c>
      <c r="I974">
        <f ca="1">_xlfn.VAR.P($G$2:G974)</f>
        <v>15.143266975026645</v>
      </c>
      <c r="AE974">
        <f t="shared" si="111"/>
        <v>972</v>
      </c>
      <c r="AF974" s="66">
        <f t="shared" si="110"/>
        <v>1</v>
      </c>
    </row>
    <row r="975" spans="1:32" x14ac:dyDescent="0.3">
      <c r="A975">
        <f t="shared" ca="1" si="105"/>
        <v>0.31723042716557448</v>
      </c>
      <c r="B975">
        <f t="shared" ca="1" si="106"/>
        <v>1</v>
      </c>
      <c r="C975">
        <f ca="1">AVERAGE($B$2:B975)</f>
        <v>2.3870636550308006</v>
      </c>
      <c r="D975">
        <f ca="1">_xlfn.VAR.P($B$2:B975)</f>
        <v>7.3871427125804807</v>
      </c>
      <c r="E975">
        <f t="shared" ca="1" si="107"/>
        <v>0.15090103862658144</v>
      </c>
      <c r="F975">
        <f t="shared" ca="1" si="108"/>
        <v>0</v>
      </c>
      <c r="G975">
        <f t="shared" ca="1" si="109"/>
        <v>1</v>
      </c>
      <c r="H975">
        <f ca="1">AVERAGE($G$2:G975)</f>
        <v>8.932238193018481E-2</v>
      </c>
      <c r="I975">
        <f ca="1">_xlfn.VAR.P($G$2:G975)</f>
        <v>15.128571820094532</v>
      </c>
      <c r="AE975">
        <f t="shared" si="111"/>
        <v>973</v>
      </c>
      <c r="AF975" s="66">
        <f t="shared" si="110"/>
        <v>1</v>
      </c>
    </row>
    <row r="976" spans="1:32" x14ac:dyDescent="0.3">
      <c r="A976">
        <f t="shared" ca="1" si="105"/>
        <v>0.18754747583042741</v>
      </c>
      <c r="B976">
        <f t="shared" ca="1" si="106"/>
        <v>0</v>
      </c>
      <c r="C976">
        <f ca="1">AVERAGE($B$2:B976)</f>
        <v>2.3846153846153846</v>
      </c>
      <c r="D976">
        <f ca="1">_xlfn.VAR.P($B$2:B976)</f>
        <v>7.3854043392504929</v>
      </c>
      <c r="E976">
        <f t="shared" ca="1" si="107"/>
        <v>0.64942061831638742</v>
      </c>
      <c r="F976">
        <f t="shared" ca="1" si="108"/>
        <v>2</v>
      </c>
      <c r="G976">
        <f t="shared" ca="1" si="109"/>
        <v>-2</v>
      </c>
      <c r="H976">
        <f ca="1">AVERAGE($G$2:G976)</f>
        <v>8.7179487179487175E-2</v>
      </c>
      <c r="I976">
        <f ca="1">_xlfn.VAR.P($G$2:G976)</f>
        <v>15.117527942143326</v>
      </c>
      <c r="AE976">
        <f t="shared" si="111"/>
        <v>974</v>
      </c>
      <c r="AF976" s="66">
        <f t="shared" si="110"/>
        <v>1</v>
      </c>
    </row>
    <row r="977" spans="1:32" x14ac:dyDescent="0.3">
      <c r="A977">
        <f t="shared" ca="1" si="105"/>
        <v>0.78030001328193233</v>
      </c>
      <c r="B977">
        <f t="shared" ca="1" si="106"/>
        <v>4</v>
      </c>
      <c r="C977">
        <f ca="1">AVERAGE($B$2:B977)</f>
        <v>2.3862704918032787</v>
      </c>
      <c r="D977">
        <f ca="1">_xlfn.VAR.P($B$2:B977)</f>
        <v>7.380508221916152</v>
      </c>
      <c r="E977">
        <f t="shared" ca="1" si="107"/>
        <v>0.18166057211699671</v>
      </c>
      <c r="F977">
        <f t="shared" ca="1" si="108"/>
        <v>0</v>
      </c>
      <c r="G977">
        <f t="shared" ca="1" si="109"/>
        <v>4</v>
      </c>
      <c r="H977">
        <f ca="1">AVERAGE($G$2:G977)</f>
        <v>9.1188524590163939E-2</v>
      </c>
      <c r="I977">
        <f ca="1">_xlfn.VAR.P($G$2:G977)</f>
        <v>15.117709243147004</v>
      </c>
      <c r="AE977">
        <f t="shared" si="111"/>
        <v>975</v>
      </c>
      <c r="AF977" s="66">
        <f t="shared" si="110"/>
        <v>1</v>
      </c>
    </row>
    <row r="978" spans="1:32" x14ac:dyDescent="0.3">
      <c r="A978">
        <f t="shared" ca="1" si="105"/>
        <v>0.29778537918488179</v>
      </c>
      <c r="B978">
        <f t="shared" ca="1" si="106"/>
        <v>0</v>
      </c>
      <c r="C978">
        <f ca="1">AVERAGE($B$2:B978)</f>
        <v>2.3838280450358238</v>
      </c>
      <c r="D978">
        <f ca="1">_xlfn.VAR.P($B$2:B978)</f>
        <v>7.3787763389064134</v>
      </c>
      <c r="E978">
        <f t="shared" ca="1" si="107"/>
        <v>0.16201355748882973</v>
      </c>
      <c r="F978">
        <f t="shared" ca="1" si="108"/>
        <v>0</v>
      </c>
      <c r="G978">
        <f t="shared" ca="1" si="109"/>
        <v>0</v>
      </c>
      <c r="H978">
        <f ca="1">AVERAGE($G$2:G978)</f>
        <v>9.1095189355168887E-2</v>
      </c>
      <c r="I978">
        <f ca="1">_xlfn.VAR.P($G$2:G978)</f>
        <v>15.102244143446663</v>
      </c>
      <c r="AE978">
        <f t="shared" si="111"/>
        <v>976</v>
      </c>
      <c r="AF978" s="66">
        <f t="shared" si="110"/>
        <v>1</v>
      </c>
    </row>
    <row r="979" spans="1:32" x14ac:dyDescent="0.3">
      <c r="A979">
        <f t="shared" ca="1" si="105"/>
        <v>4.2410595026456943E-2</v>
      </c>
      <c r="B979">
        <f t="shared" ca="1" si="106"/>
        <v>0</v>
      </c>
      <c r="C979">
        <f ca="1">AVERAGE($B$2:B979)</f>
        <v>2.3813905930470347</v>
      </c>
      <c r="D979">
        <f ca="1">_xlfn.VAR.P($B$2:B979)</f>
        <v>7.3770361030607932</v>
      </c>
      <c r="E979">
        <f t="shared" ca="1" si="107"/>
        <v>0.60289681465809797</v>
      </c>
      <c r="F979">
        <f t="shared" ca="1" si="108"/>
        <v>2</v>
      </c>
      <c r="G979">
        <f t="shared" ca="1" si="109"/>
        <v>-2</v>
      </c>
      <c r="H979">
        <f ca="1">AVERAGE($G$2:G979)</f>
        <v>8.8957055214723926E-2</v>
      </c>
      <c r="I979">
        <f ca="1">_xlfn.VAR.P($G$2:G979)</f>
        <v>15.091268646417504</v>
      </c>
      <c r="AE979">
        <f t="shared" si="111"/>
        <v>977</v>
      </c>
      <c r="AF979" s="66">
        <f t="shared" si="110"/>
        <v>1</v>
      </c>
    </row>
    <row r="980" spans="1:32" x14ac:dyDescent="0.3">
      <c r="A980">
        <f t="shared" ca="1" si="105"/>
        <v>6.0681965008834382E-2</v>
      </c>
      <c r="B980">
        <f t="shared" ca="1" si="106"/>
        <v>0</v>
      </c>
      <c r="C980">
        <f ca="1">AVERAGE($B$2:B980)</f>
        <v>2.3789581205311543</v>
      </c>
      <c r="D980">
        <f ca="1">_xlfn.VAR.P($B$2:B980)</f>
        <v>7.3752875763870707</v>
      </c>
      <c r="E980">
        <f t="shared" ca="1" si="107"/>
        <v>4.4657526796775815E-2</v>
      </c>
      <c r="F980">
        <f t="shared" ca="1" si="108"/>
        <v>0</v>
      </c>
      <c r="G980">
        <f t="shared" ca="1" si="109"/>
        <v>0</v>
      </c>
      <c r="H980">
        <f ca="1">AVERAGE($G$2:G980)</f>
        <v>8.8866189989785502E-2</v>
      </c>
      <c r="I980">
        <f ca="1">_xlfn.VAR.P($G$2:G980)</f>
        <v>15.075861737968221</v>
      </c>
      <c r="AE980">
        <f t="shared" si="111"/>
        <v>978</v>
      </c>
      <c r="AF980" s="66">
        <f t="shared" si="110"/>
        <v>1</v>
      </c>
    </row>
    <row r="981" spans="1:32" x14ac:dyDescent="0.3">
      <c r="A981">
        <f t="shared" ca="1" si="105"/>
        <v>0.41355858170730109</v>
      </c>
      <c r="B981">
        <f t="shared" ca="1" si="106"/>
        <v>1</v>
      </c>
      <c r="C981">
        <f ca="1">AVERAGE($B$2:B981)</f>
        <v>2.3775510204081631</v>
      </c>
      <c r="D981">
        <f ca="1">_xlfn.VAR.P($B$2:B981)</f>
        <v>7.3697001249479381</v>
      </c>
      <c r="E981">
        <f t="shared" ca="1" si="107"/>
        <v>0.10035264149490797</v>
      </c>
      <c r="F981">
        <f t="shared" ca="1" si="108"/>
        <v>0</v>
      </c>
      <c r="G981">
        <f t="shared" ca="1" si="109"/>
        <v>1</v>
      </c>
      <c r="H981">
        <f ca="1">AVERAGE($G$2:G981)</f>
        <v>8.9795918367346933E-2</v>
      </c>
      <c r="I981">
        <f ca="1">_xlfn.VAR.P($G$2:G981)</f>
        <v>15.061324448146605</v>
      </c>
      <c r="AE981">
        <f t="shared" si="111"/>
        <v>979</v>
      </c>
      <c r="AF981" s="66">
        <f t="shared" si="110"/>
        <v>1</v>
      </c>
    </row>
    <row r="982" spans="1:32" x14ac:dyDescent="0.3">
      <c r="A982">
        <f t="shared" ca="1" si="105"/>
        <v>0.83913304769979635</v>
      </c>
      <c r="B982">
        <f t="shared" ca="1" si="106"/>
        <v>5</v>
      </c>
      <c r="C982">
        <f ca="1">AVERAGE($B$2:B982)</f>
        <v>2.3802242609582058</v>
      </c>
      <c r="D982">
        <f ca="1">_xlfn.VAR.P($B$2:B982)</f>
        <v>7.3691909792686943</v>
      </c>
      <c r="E982">
        <f t="shared" ca="1" si="107"/>
        <v>0.78603616245261909</v>
      </c>
      <c r="F982">
        <f t="shared" ca="1" si="108"/>
        <v>4</v>
      </c>
      <c r="G982">
        <f t="shared" ca="1" si="109"/>
        <v>1</v>
      </c>
      <c r="H982">
        <f ca="1">AVERAGE($G$2:G982)</f>
        <v>9.0723751274209993E-2</v>
      </c>
      <c r="I982">
        <f ca="1">_xlfn.VAR.P($G$2:G982)</f>
        <v>15.046815072514368</v>
      </c>
      <c r="AE982">
        <f t="shared" si="111"/>
        <v>980</v>
      </c>
      <c r="AF982" s="66">
        <f t="shared" si="110"/>
        <v>1</v>
      </c>
    </row>
    <row r="983" spans="1:32" x14ac:dyDescent="0.3">
      <c r="A983">
        <f t="shared" ca="1" si="105"/>
        <v>0.55684401965393659</v>
      </c>
      <c r="B983">
        <f t="shared" ca="1" si="106"/>
        <v>2</v>
      </c>
      <c r="C983">
        <f ca="1">AVERAGE($B$2:B983)</f>
        <v>2.3798370672097762</v>
      </c>
      <c r="D983">
        <f ca="1">_xlfn.VAR.P($B$2:B983)</f>
        <v>7.3618337820068778</v>
      </c>
      <c r="E983">
        <f t="shared" ca="1" si="107"/>
        <v>2.8068360686164362E-2</v>
      </c>
      <c r="F983">
        <f t="shared" ca="1" si="108"/>
        <v>0</v>
      </c>
      <c r="G983">
        <f t="shared" ca="1" si="109"/>
        <v>2</v>
      </c>
      <c r="H983">
        <f ca="1">AVERAGE($G$2:G983)</f>
        <v>9.2668024439918534E-2</v>
      </c>
      <c r="I983">
        <f ca="1">_xlfn.VAR.P($G$2:G983)</f>
        <v>15.035200824619112</v>
      </c>
      <c r="AE983">
        <f t="shared" si="111"/>
        <v>981</v>
      </c>
      <c r="AF983" s="66">
        <f t="shared" si="110"/>
        <v>1</v>
      </c>
    </row>
    <row r="984" spans="1:32" x14ac:dyDescent="0.3">
      <c r="A984">
        <f t="shared" ca="1" si="105"/>
        <v>0.1698524678903317</v>
      </c>
      <c r="B984">
        <f t="shared" ca="1" si="106"/>
        <v>0</v>
      </c>
      <c r="C984">
        <f ca="1">AVERAGE($B$2:B984)</f>
        <v>2.3774160732451679</v>
      </c>
      <c r="D984">
        <f ca="1">_xlfn.VAR.P($B$2:B984)</f>
        <v>7.360100342651112</v>
      </c>
      <c r="E984">
        <f t="shared" ca="1" si="107"/>
        <v>1.6010103728106406E-2</v>
      </c>
      <c r="F984">
        <f t="shared" ca="1" si="108"/>
        <v>0</v>
      </c>
      <c r="G984">
        <f t="shared" ca="1" si="109"/>
        <v>0</v>
      </c>
      <c r="H984">
        <f ca="1">AVERAGE($G$2:G984)</f>
        <v>9.2573753814852486E-2</v>
      </c>
      <c r="I984">
        <f ca="1">_xlfn.VAR.P($G$2:G984)</f>
        <v>15.019914332047659</v>
      </c>
      <c r="AE984">
        <f t="shared" si="111"/>
        <v>982</v>
      </c>
      <c r="AF984" s="66">
        <f t="shared" si="110"/>
        <v>1</v>
      </c>
    </row>
    <row r="985" spans="1:32" x14ac:dyDescent="0.3">
      <c r="A985">
        <f t="shared" ca="1" si="105"/>
        <v>0.25645655281636459</v>
      </c>
      <c r="B985">
        <f t="shared" ca="1" si="106"/>
        <v>0</v>
      </c>
      <c r="C985">
        <f ca="1">AVERAGE($B$2:B985)</f>
        <v>2.375</v>
      </c>
      <c r="D985">
        <f ca="1">_xlfn.VAR.P($B$2:B985)</f>
        <v>7.3583587398373984</v>
      </c>
      <c r="E985">
        <f t="shared" ca="1" si="107"/>
        <v>0.25486613731755658</v>
      </c>
      <c r="F985">
        <f t="shared" ca="1" si="108"/>
        <v>0</v>
      </c>
      <c r="G985">
        <f t="shared" ca="1" si="109"/>
        <v>0</v>
      </c>
      <c r="H985">
        <f ca="1">AVERAGE($G$2:G985)</f>
        <v>9.2479674796747971E-2</v>
      </c>
      <c r="I985">
        <f ca="1">_xlfn.VAR.P($G$2:G985)</f>
        <v>15.004658891863309</v>
      </c>
      <c r="AE985">
        <f t="shared" si="111"/>
        <v>983</v>
      </c>
      <c r="AF985" s="66">
        <f t="shared" si="110"/>
        <v>1</v>
      </c>
    </row>
    <row r="986" spans="1:32" x14ac:dyDescent="0.3">
      <c r="A986">
        <f t="shared" ca="1" si="105"/>
        <v>1.3733093070734892E-2</v>
      </c>
      <c r="B986">
        <f t="shared" ca="1" si="106"/>
        <v>0</v>
      </c>
      <c r="C986">
        <f ca="1">AVERAGE($B$2:B986)</f>
        <v>2.3725888324873097</v>
      </c>
      <c r="D986">
        <f ca="1">_xlfn.VAR.P($B$2:B986)</f>
        <v>7.3566090339869614</v>
      </c>
      <c r="E986">
        <f t="shared" ca="1" si="107"/>
        <v>0.20625835241995705</v>
      </c>
      <c r="F986">
        <f t="shared" ca="1" si="108"/>
        <v>0</v>
      </c>
      <c r="G986">
        <f t="shared" ca="1" si="109"/>
        <v>0</v>
      </c>
      <c r="H986">
        <f ca="1">AVERAGE($G$2:G986)</f>
        <v>9.2385786802030453E-2</v>
      </c>
      <c r="I986">
        <f ca="1">_xlfn.VAR.P($G$2:G986)</f>
        <v>14.989434409544177</v>
      </c>
      <c r="AE986">
        <f t="shared" si="111"/>
        <v>984</v>
      </c>
      <c r="AF986" s="66">
        <f t="shared" si="110"/>
        <v>1</v>
      </c>
    </row>
    <row r="987" spans="1:32" x14ac:dyDescent="0.3">
      <c r="A987">
        <f t="shared" ca="1" si="105"/>
        <v>0.64642264971578733</v>
      </c>
      <c r="B987">
        <f t="shared" ca="1" si="106"/>
        <v>2</v>
      </c>
      <c r="C987">
        <f ca="1">AVERAGE($B$2:B987)</f>
        <v>2.3722109533468561</v>
      </c>
      <c r="D987">
        <f ca="1">_xlfn.VAR.P($B$2:B987)</f>
        <v>7.3492886208130868</v>
      </c>
      <c r="E987">
        <f t="shared" ca="1" si="107"/>
        <v>0.6400994154085724</v>
      </c>
      <c r="F987">
        <f t="shared" ca="1" si="108"/>
        <v>2</v>
      </c>
      <c r="G987">
        <f t="shared" ca="1" si="109"/>
        <v>0</v>
      </c>
      <c r="H987">
        <f ca="1">AVERAGE($G$2:G987)</f>
        <v>9.2292089249492906E-2</v>
      </c>
      <c r="I987">
        <f ca="1">_xlfn.VAR.P($G$2:G987)</f>
        <v>14.974240790951619</v>
      </c>
      <c r="AE987">
        <f t="shared" si="111"/>
        <v>985</v>
      </c>
      <c r="AF987" s="66">
        <f t="shared" si="110"/>
        <v>1</v>
      </c>
    </row>
    <row r="988" spans="1:32" x14ac:dyDescent="0.3">
      <c r="A988">
        <f t="shared" ca="1" si="105"/>
        <v>0.76799019133591184</v>
      </c>
      <c r="B988">
        <f t="shared" ca="1" si="106"/>
        <v>4</v>
      </c>
      <c r="C988">
        <f ca="1">AVERAGE($B$2:B988)</f>
        <v>2.3738601823708207</v>
      </c>
      <c r="D988">
        <f ca="1">_xlfn.VAR.P($B$2:B988)</f>
        <v>7.3445244100356302</v>
      </c>
      <c r="E988">
        <f t="shared" ca="1" si="107"/>
        <v>0.78403049480520492</v>
      </c>
      <c r="F988">
        <f t="shared" ca="1" si="108"/>
        <v>4</v>
      </c>
      <c r="G988">
        <f t="shared" ca="1" si="109"/>
        <v>0</v>
      </c>
      <c r="H988">
        <f ca="1">AVERAGE($G$2:G988)</f>
        <v>9.2198581560283682E-2</v>
      </c>
      <c r="I988">
        <f ca="1">_xlfn.VAR.P($G$2:G988)</f>
        <v>14.959077942328282</v>
      </c>
      <c r="AE988">
        <f t="shared" si="111"/>
        <v>986</v>
      </c>
      <c r="AF988" s="66">
        <f t="shared" si="110"/>
        <v>1</v>
      </c>
    </row>
    <row r="989" spans="1:32" x14ac:dyDescent="0.3">
      <c r="A989">
        <f t="shared" ca="1" si="105"/>
        <v>0.64755640695655392</v>
      </c>
      <c r="B989">
        <f t="shared" ca="1" si="106"/>
        <v>2</v>
      </c>
      <c r="C989">
        <f ca="1">AVERAGE($B$2:B989)</f>
        <v>2.3734817813765181</v>
      </c>
      <c r="D989">
        <f ca="1">_xlfn.VAR.P($B$2:B989)</f>
        <v>7.3372320067531023</v>
      </c>
      <c r="E989">
        <f t="shared" ca="1" si="107"/>
        <v>0.66478883925076204</v>
      </c>
      <c r="F989">
        <f t="shared" ca="1" si="108"/>
        <v>3</v>
      </c>
      <c r="G989">
        <f t="shared" ca="1" si="109"/>
        <v>-1</v>
      </c>
      <c r="H989">
        <f ca="1">AVERAGE($G$2:G989)</f>
        <v>9.1093117408906882E-2</v>
      </c>
      <c r="I989">
        <f ca="1">_xlfn.VAR.P($G$2:G989)</f>
        <v>14.945143339507286</v>
      </c>
      <c r="AE989">
        <f t="shared" si="111"/>
        <v>987</v>
      </c>
      <c r="AF989" s="66">
        <f t="shared" si="110"/>
        <v>1</v>
      </c>
    </row>
    <row r="990" spans="1:32" x14ac:dyDescent="0.3">
      <c r="A990">
        <f t="shared" ca="1" si="105"/>
        <v>0.46723876763800354</v>
      </c>
      <c r="B990">
        <f t="shared" ca="1" si="106"/>
        <v>1</v>
      </c>
      <c r="C990">
        <f ca="1">AVERAGE($B$2:B990)</f>
        <v>2.3720930232558142</v>
      </c>
      <c r="D990">
        <f ca="1">_xlfn.VAR.P($B$2:B990)</f>
        <v>7.3317186728431354</v>
      </c>
      <c r="E990">
        <f t="shared" ca="1" si="107"/>
        <v>0.886592847068576</v>
      </c>
      <c r="F990">
        <f t="shared" ca="1" si="108"/>
        <v>6</v>
      </c>
      <c r="G990">
        <f t="shared" ca="1" si="109"/>
        <v>-5</v>
      </c>
      <c r="H990">
        <f ca="1">AVERAGE($G$2:G990)</f>
        <v>8.5945399393326599E-2</v>
      </c>
      <c r="I990">
        <f ca="1">_xlfn.VAR.P($G$2:G990)</f>
        <v>14.956212983874183</v>
      </c>
      <c r="AE990">
        <f t="shared" si="111"/>
        <v>988</v>
      </c>
      <c r="AF990" s="66">
        <f t="shared" si="110"/>
        <v>1</v>
      </c>
    </row>
    <row r="991" spans="1:32" x14ac:dyDescent="0.3">
      <c r="A991">
        <f t="shared" ca="1" si="105"/>
        <v>0.17925396523422699</v>
      </c>
      <c r="B991">
        <f t="shared" ca="1" si="106"/>
        <v>0</v>
      </c>
      <c r="C991">
        <f ca="1">AVERAGE($B$2:B991)</f>
        <v>2.3696969696969696</v>
      </c>
      <c r="D991">
        <f ca="1">_xlfn.VAR.P($B$2:B991)</f>
        <v>7.3299908172635444</v>
      </c>
      <c r="E991">
        <f t="shared" ca="1" si="107"/>
        <v>0.88396202129150414</v>
      </c>
      <c r="F991">
        <f t="shared" ca="1" si="108"/>
        <v>6</v>
      </c>
      <c r="G991">
        <f t="shared" ca="1" si="109"/>
        <v>-6</v>
      </c>
      <c r="H991">
        <f ca="1">AVERAGE($G$2:G991)</f>
        <v>7.9797979797979798E-2</v>
      </c>
      <c r="I991">
        <f ca="1">_xlfn.VAR.P($G$2:G991)</f>
        <v>14.978480767268646</v>
      </c>
      <c r="AE991">
        <f t="shared" si="111"/>
        <v>989</v>
      </c>
      <c r="AF991" s="66">
        <f t="shared" si="110"/>
        <v>1</v>
      </c>
    </row>
    <row r="992" spans="1:32" x14ac:dyDescent="0.3">
      <c r="A992">
        <f t="shared" ca="1" si="105"/>
        <v>0.87208198161642558</v>
      </c>
      <c r="B992">
        <f t="shared" ca="1" si="106"/>
        <v>5</v>
      </c>
      <c r="C992">
        <f ca="1">AVERAGE($B$2:B992)</f>
        <v>2.372351160443996</v>
      </c>
      <c r="D992">
        <f ca="1">_xlfn.VAR.P($B$2:B992)</f>
        <v>7.3295685386439615</v>
      </c>
      <c r="E992">
        <f t="shared" ca="1" si="107"/>
        <v>0.65446612000314097</v>
      </c>
      <c r="F992">
        <f t="shared" ca="1" si="108"/>
        <v>2</v>
      </c>
      <c r="G992">
        <f t="shared" ca="1" si="109"/>
        <v>3</v>
      </c>
      <c r="H992">
        <f ca="1">AVERAGE($G$2:G992)</f>
        <v>8.2744702320887986E-2</v>
      </c>
      <c r="I992">
        <f ca="1">_xlfn.VAR.P($G$2:G992)</f>
        <v>14.971962597789796</v>
      </c>
      <c r="AE992">
        <f t="shared" si="111"/>
        <v>990</v>
      </c>
      <c r="AF992" s="66">
        <f t="shared" si="110"/>
        <v>1</v>
      </c>
    </row>
    <row r="993" spans="1:32" x14ac:dyDescent="0.3">
      <c r="A993">
        <f t="shared" ca="1" si="105"/>
        <v>0.54160253509736134</v>
      </c>
      <c r="B993">
        <f t="shared" ca="1" si="106"/>
        <v>2</v>
      </c>
      <c r="C993">
        <f ca="1">AVERAGE($B$2:B993)</f>
        <v>2.371975806451613</v>
      </c>
      <c r="D993">
        <f ca="1">_xlfn.VAR.P($B$2:B993)</f>
        <v>7.3223194832856402</v>
      </c>
      <c r="E993">
        <f t="shared" ca="1" si="107"/>
        <v>0.33826403208977696</v>
      </c>
      <c r="F993">
        <f t="shared" ca="1" si="108"/>
        <v>1</v>
      </c>
      <c r="G993">
        <f t="shared" ca="1" si="109"/>
        <v>1</v>
      </c>
      <c r="H993">
        <f ca="1">AVERAGE($G$2:G993)</f>
        <v>8.3669354838709672E-2</v>
      </c>
      <c r="I993">
        <f ca="1">_xlfn.VAR.P($G$2:G993)</f>
        <v>14.957717180996358</v>
      </c>
      <c r="AE993">
        <f t="shared" si="111"/>
        <v>991</v>
      </c>
      <c r="AF993" s="66">
        <f t="shared" si="110"/>
        <v>1</v>
      </c>
    </row>
    <row r="994" spans="1:32" x14ac:dyDescent="0.3">
      <c r="A994">
        <f t="shared" ca="1" si="105"/>
        <v>0.46278829493775797</v>
      </c>
      <c r="B994">
        <f t="shared" ca="1" si="106"/>
        <v>1</v>
      </c>
      <c r="C994">
        <f ca="1">AVERAGE($B$2:B994)</f>
        <v>2.3705941591137965</v>
      </c>
      <c r="D994">
        <f ca="1">_xlfn.VAR.P($B$2:B994)</f>
        <v>7.3168392240142222</v>
      </c>
      <c r="E994">
        <f t="shared" ca="1" si="107"/>
        <v>0.19232974672828584</v>
      </c>
      <c r="F994">
        <f t="shared" ca="1" si="108"/>
        <v>0</v>
      </c>
      <c r="G994">
        <f t="shared" ca="1" si="109"/>
        <v>1</v>
      </c>
      <c r="H994">
        <f ca="1">AVERAGE($G$2:G994)</f>
        <v>8.4592145015105744E-2</v>
      </c>
      <c r="I994">
        <f ca="1">_xlfn.VAR.P($G$2:G994)</f>
        <v>14.943498751076264</v>
      </c>
      <c r="AE994">
        <f t="shared" si="111"/>
        <v>992</v>
      </c>
      <c r="AF994" s="66">
        <f t="shared" si="110"/>
        <v>1</v>
      </c>
    </row>
    <row r="995" spans="1:32" x14ac:dyDescent="0.3">
      <c r="A995">
        <f t="shared" ca="1" si="105"/>
        <v>0.89050029473203562</v>
      </c>
      <c r="B995">
        <f t="shared" ca="1" si="106"/>
        <v>6</v>
      </c>
      <c r="C995">
        <f ca="1">AVERAGE($B$2:B995)</f>
        <v>2.3742454728370221</v>
      </c>
      <c r="D995">
        <f ca="1">_xlfn.VAR.P($B$2:B995)</f>
        <v>7.3227169860207519</v>
      </c>
      <c r="E995">
        <f t="shared" ca="1" si="107"/>
        <v>0.75337307747000581</v>
      </c>
      <c r="F995">
        <f t="shared" ca="1" si="108"/>
        <v>3</v>
      </c>
      <c r="G995">
        <f t="shared" ca="1" si="109"/>
        <v>3</v>
      </c>
      <c r="H995">
        <f ca="1">AVERAGE($G$2:G995)</f>
        <v>8.75251509054326E-2</v>
      </c>
      <c r="I995">
        <f ca="1">_xlfn.VAR.P($G$2:G995)</f>
        <v>14.937007356007271</v>
      </c>
      <c r="AE995">
        <f t="shared" si="111"/>
        <v>993</v>
      </c>
      <c r="AF995" s="66">
        <f t="shared" si="110"/>
        <v>1</v>
      </c>
    </row>
    <row r="996" spans="1:32" x14ac:dyDescent="0.3">
      <c r="A996">
        <f t="shared" ca="1" si="105"/>
        <v>0.67036086801391603</v>
      </c>
      <c r="B996">
        <f t="shared" ca="1" si="106"/>
        <v>3</v>
      </c>
      <c r="C996">
        <f ca="1">AVERAGE($B$2:B996)</f>
        <v>2.3748743718592964</v>
      </c>
      <c r="D996">
        <f ca="1">_xlfn.VAR.P($B$2:B996)</f>
        <v>7.3157506123582738</v>
      </c>
      <c r="E996">
        <f t="shared" ca="1" si="107"/>
        <v>0.12913985626456337</v>
      </c>
      <c r="F996">
        <f t="shared" ca="1" si="108"/>
        <v>0</v>
      </c>
      <c r="G996">
        <f t="shared" ca="1" si="109"/>
        <v>3</v>
      </c>
      <c r="H996">
        <f ca="1">AVERAGE($G$2:G996)</f>
        <v>9.0452261306532666E-2</v>
      </c>
      <c r="I996">
        <f ca="1">_xlfn.VAR.P($G$2:G996)</f>
        <v>14.930511855761218</v>
      </c>
      <c r="AE996">
        <f t="shared" si="111"/>
        <v>994</v>
      </c>
      <c r="AF996" s="66">
        <f t="shared" si="110"/>
        <v>1</v>
      </c>
    </row>
    <row r="997" spans="1:32" x14ac:dyDescent="0.3">
      <c r="A997">
        <f t="shared" ca="1" si="105"/>
        <v>2.9450084641261531E-2</v>
      </c>
      <c r="B997">
        <f t="shared" ca="1" si="106"/>
        <v>0</v>
      </c>
      <c r="C997">
        <f ca="1">AVERAGE($B$2:B997)</f>
        <v>2.3724899598393576</v>
      </c>
      <c r="D997">
        <f ca="1">_xlfn.VAR.P($B$2:B997)</f>
        <v>7.3140624747987939</v>
      </c>
      <c r="E997">
        <f t="shared" ca="1" si="107"/>
        <v>0.6702539260047703</v>
      </c>
      <c r="F997">
        <f t="shared" ca="1" si="108"/>
        <v>3</v>
      </c>
      <c r="G997">
        <f t="shared" ca="1" si="109"/>
        <v>-3</v>
      </c>
      <c r="H997">
        <f ca="1">AVERAGE($G$2:G997)</f>
        <v>8.7349397590361449E-2</v>
      </c>
      <c r="I997">
        <f ca="1">_xlfn.VAR.P($G$2:G997)</f>
        <v>14.92510100643538</v>
      </c>
      <c r="AE997">
        <f t="shared" si="111"/>
        <v>995</v>
      </c>
      <c r="AF997" s="66">
        <f t="shared" si="110"/>
        <v>1</v>
      </c>
    </row>
    <row r="998" spans="1:32" x14ac:dyDescent="0.3">
      <c r="A998">
        <f t="shared" ca="1" si="105"/>
        <v>0.96401272139403804</v>
      </c>
      <c r="B998">
        <f t="shared" ca="1" si="106"/>
        <v>9</v>
      </c>
      <c r="C998">
        <f ca="1">AVERAGE($B$2:B998)</f>
        <v>2.3791374122367102</v>
      </c>
      <c r="D998">
        <f ca="1">_xlfn.VAR.P($B$2:B998)</f>
        <v>7.350738272993504</v>
      </c>
      <c r="E998">
        <f t="shared" ca="1" si="107"/>
        <v>0.99034753764246208</v>
      </c>
      <c r="F998">
        <f t="shared" ca="1" si="108"/>
        <v>13</v>
      </c>
      <c r="G998">
        <f t="shared" ca="1" si="109"/>
        <v>-4</v>
      </c>
      <c r="H998">
        <f ca="1">AVERAGE($G$2:G998)</f>
        <v>8.3249749247743227E-2</v>
      </c>
      <c r="I998">
        <f ca="1">_xlfn.VAR.P($G$2:G998)</f>
        <v>14.926870883462826</v>
      </c>
      <c r="AE998">
        <f t="shared" si="111"/>
        <v>996</v>
      </c>
      <c r="AF998" s="66">
        <f t="shared" si="110"/>
        <v>1</v>
      </c>
    </row>
    <row r="999" spans="1:32" x14ac:dyDescent="0.3">
      <c r="A999">
        <f t="shared" ca="1" si="105"/>
        <v>0.60012040786037746</v>
      </c>
      <c r="B999">
        <f t="shared" ca="1" si="106"/>
        <v>2</v>
      </c>
      <c r="C999">
        <f ca="1">AVERAGE($B$2:B999)</f>
        <v>2.3787575150300602</v>
      </c>
      <c r="D999">
        <f ca="1">_xlfn.VAR.P($B$2:B999)</f>
        <v>7.3435166927040454</v>
      </c>
      <c r="E999">
        <f t="shared" ca="1" si="107"/>
        <v>0.41051126142130001</v>
      </c>
      <c r="F999">
        <f t="shared" ca="1" si="108"/>
        <v>1</v>
      </c>
      <c r="G999">
        <f t="shared" ca="1" si="109"/>
        <v>1</v>
      </c>
      <c r="H999">
        <f ca="1">AVERAGE($G$2:G999)</f>
        <v>8.4168336673346694E-2</v>
      </c>
      <c r="I999">
        <f ca="1">_xlfn.VAR.P($G$2:G999)</f>
        <v>14.91275537046036</v>
      </c>
      <c r="AE999">
        <f t="shared" si="111"/>
        <v>997</v>
      </c>
      <c r="AF999" s="66">
        <f t="shared" si="110"/>
        <v>1</v>
      </c>
    </row>
    <row r="1000" spans="1:32" x14ac:dyDescent="0.3">
      <c r="A1000">
        <f t="shared" ca="1" si="105"/>
        <v>0.23634489790063185</v>
      </c>
      <c r="B1000">
        <f t="shared" ca="1" si="106"/>
        <v>0</v>
      </c>
      <c r="C1000">
        <f ca="1">AVERAGE($B$2:B1000)</f>
        <v>2.3763763763763763</v>
      </c>
      <c r="D1000">
        <f ca="1">_xlfn.VAR.P($B$2:B1000)</f>
        <v>7.3418243067892721</v>
      </c>
      <c r="E1000">
        <f t="shared" ca="1" si="107"/>
        <v>0.91090547997986493</v>
      </c>
      <c r="F1000">
        <f t="shared" ca="1" si="108"/>
        <v>6</v>
      </c>
      <c r="G1000">
        <f t="shared" ca="1" si="109"/>
        <v>-6</v>
      </c>
      <c r="H1000">
        <f ca="1">AVERAGE($G$2:G1000)</f>
        <v>7.8078078078078081E-2</v>
      </c>
      <c r="I1000">
        <f ca="1">_xlfn.VAR.P($G$2:G1000)</f>
        <v>14.934844754664574</v>
      </c>
      <c r="AE1000">
        <f t="shared" si="111"/>
        <v>998</v>
      </c>
      <c r="AF1000" s="66">
        <f t="shared" si="110"/>
        <v>1</v>
      </c>
    </row>
    <row r="1001" spans="1:32" x14ac:dyDescent="0.3">
      <c r="A1001">
        <f t="shared" ca="1" si="105"/>
        <v>0.47395432369691604</v>
      </c>
      <c r="B1001">
        <f t="shared" ca="1" si="106"/>
        <v>1</v>
      </c>
      <c r="C1001">
        <f ca="1">AVERAGE($B$2:B1001)</f>
        <v>2.375</v>
      </c>
      <c r="D1001">
        <f ca="1">_xlfn.VAR.P($B$2:B1001)</f>
        <v>7.3363750000000003</v>
      </c>
      <c r="E1001">
        <f t="shared" ca="1" si="107"/>
        <v>0.52769450113738436</v>
      </c>
      <c r="F1001">
        <f t="shared" ca="1" si="108"/>
        <v>2</v>
      </c>
      <c r="G1001">
        <f t="shared" ca="1" si="109"/>
        <v>-1</v>
      </c>
      <c r="H1001">
        <f ca="1">AVERAGE($G$2:G1001)</f>
        <v>7.6999999999999999E-2</v>
      </c>
      <c r="I1001">
        <f ca="1">_xlfn.VAR.P($G$2:G1001)</f>
        <v>14.921071</v>
      </c>
      <c r="AE1001">
        <f t="shared" si="111"/>
        <v>999</v>
      </c>
      <c r="AF1001" s="66">
        <f t="shared" si="110"/>
        <v>1</v>
      </c>
    </row>
    <row r="1002" spans="1:32" x14ac:dyDescent="0.3">
      <c r="AE1002">
        <f t="shared" si="111"/>
        <v>1000</v>
      </c>
      <c r="AF1002" s="66">
        <f t="shared" si="110"/>
        <v>1</v>
      </c>
    </row>
  </sheetData>
  <mergeCells count="1">
    <mergeCell ref="J2:L2"/>
  </mergeCells>
  <conditionalFormatting sqref="J2">
    <cfRule type="expression" dxfId="1" priority="1" stopIfTrue="1">
      <formula>LEN($J$2)=0</formula>
    </cfRule>
    <cfRule type="expression" dxfId="0" priority="2">
      <formula>LEN($J$2)&gt;0</formula>
    </cfRule>
  </conditionalFormatting>
  <pageMargins left="0.7" right="0.7" top="0.75" bottom="0.75" header="0.3" footer="0.3"/>
  <pageSetup orientation="portrait" horizontalDpi="200" verticalDpi="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Intro</vt:lpstr>
      <vt:lpstr>Laplace Distribution Ex.</vt:lpstr>
      <vt:lpstr>Test Firm Data</vt:lpstr>
      <vt:lpstr>Unprotected Summary</vt:lpstr>
      <vt:lpstr>Basic Laplace Implementation</vt:lpstr>
      <vt:lpstr>Naïve Employment Protection</vt:lpstr>
      <vt:lpstr>Better Employment Protection</vt:lpstr>
      <vt:lpstr>Smooth Laplace Parameter Limits</vt:lpstr>
      <vt:lpstr>Geometric Distribution 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2018-10-29T02:09:33Z</dcterms:created>
  <dcterms:modified xsi:type="dcterms:W3CDTF">2020-03-11T17:58:14Z</dcterms:modified>
</cp:coreProperties>
</file>